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ksuemailprod.sharepoint.com/sites/CubeSatTechnicalDesign/Shared Documents/General/"/>
    </mc:Choice>
  </mc:AlternateContent>
  <xr:revisionPtr revIDLastSave="0" documentId="8_{5BB9C118-9E2A-40C2-9D6D-9EA475E46BC0}" xr6:coauthVersionLast="47" xr6:coauthVersionMax="47" xr10:uidLastSave="{00000000-0000-0000-0000-000000000000}"/>
  <bookViews>
    <workbookView xWindow="-108" yWindow="-108" windowWidth="23256" windowHeight="14616" xr2:uid="{C31AEDDE-0F67-457A-A675-9ACABDCB485C}"/>
  </bookViews>
  <sheets>
    <sheet name="NuKat Requirements" sheetId="1" r:id="rId1"/>
    <sheet name="Diet RVM" sheetId="6" r:id="rId2"/>
    <sheet name="SRR Handoffs &amp; Timing" sheetId="2" r:id="rId3"/>
    <sheet name="PDR Handoffs &amp; Timing" sheetId="3" r:id="rId4"/>
  </sheets>
  <externalReferences>
    <externalReference r:id="rId5"/>
  </externalReferences>
  <definedNames>
    <definedName name="_xlnm._FilterDatabase" localSheetId="0" hidden="1">'NuKat Requirements'!$A$1:$Q$8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5" i="1" l="1"/>
  <c r="M397" i="1" s="1"/>
  <c r="H360" i="1" l="1"/>
  <c r="H361" i="1"/>
  <c r="H362" i="1"/>
  <c r="H363" i="1"/>
  <c r="H342" i="1"/>
  <c r="H341" i="1"/>
  <c r="H25" i="3"/>
  <c r="H278" i="1"/>
  <c r="H11" i="6"/>
  <c r="H12" i="6"/>
  <c r="H13" i="6"/>
  <c r="H14" i="6"/>
  <c r="H15" i="6"/>
  <c r="H16" i="6"/>
  <c r="H17" i="6"/>
  <c r="H18" i="6"/>
  <c r="H19" i="6"/>
  <c r="H20"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4" i="6"/>
  <c r="H55" i="6"/>
  <c r="H56" i="6"/>
  <c r="H57" i="6"/>
  <c r="H58" i="6"/>
  <c r="H59" i="6"/>
  <c r="H60" i="6"/>
  <c r="H61" i="6"/>
  <c r="H63" i="6"/>
  <c r="H64" i="6"/>
  <c r="H65" i="6"/>
  <c r="H66" i="6"/>
  <c r="H67" i="6"/>
  <c r="H68" i="6"/>
  <c r="H69" i="6"/>
  <c r="H70" i="6"/>
  <c r="H71" i="6"/>
  <c r="H72" i="6"/>
  <c r="H73" i="6"/>
  <c r="H74" i="6"/>
  <c r="H75" i="6"/>
  <c r="H76" i="6"/>
  <c r="H77" i="6"/>
  <c r="H78" i="6"/>
  <c r="H79" i="6"/>
  <c r="H80" i="6"/>
  <c r="H81" i="6"/>
  <c r="H82" i="6"/>
  <c r="H83" i="6"/>
  <c r="H84" i="6"/>
  <c r="H89" i="6"/>
  <c r="H90" i="6"/>
  <c r="H91" i="6"/>
  <c r="H93" i="6"/>
  <c r="H96" i="6"/>
  <c r="H97" i="6"/>
  <c r="H98" i="6"/>
  <c r="H99" i="6"/>
  <c r="H100" i="6"/>
  <c r="H101" i="6"/>
  <c r="H102" i="6"/>
  <c r="H103" i="6"/>
  <c r="H104" i="6"/>
  <c r="H105" i="6"/>
  <c r="H106" i="6"/>
  <c r="H107" i="6"/>
  <c r="H108" i="6"/>
  <c r="H109" i="6"/>
  <c r="H110" i="6"/>
  <c r="H111" i="6"/>
  <c r="H112" i="6"/>
  <c r="H113" i="6"/>
  <c r="H114" i="6"/>
  <c r="H117" i="6"/>
  <c r="H118" i="6"/>
  <c r="H119" i="6"/>
  <c r="H120" i="6"/>
  <c r="H121" i="6"/>
  <c r="H122" i="6"/>
  <c r="H123" i="6"/>
  <c r="H124" i="6"/>
  <c r="H125" i="6"/>
  <c r="H126" i="6"/>
  <c r="H128" i="6"/>
  <c r="H129" i="6"/>
  <c r="H130" i="6"/>
  <c r="H131" i="6"/>
  <c r="H132" i="6"/>
  <c r="H133" i="6"/>
  <c r="H134" i="6"/>
  <c r="H135" i="6"/>
  <c r="H136" i="6"/>
  <c r="H137" i="6"/>
  <c r="H138" i="6"/>
  <c r="H139" i="6"/>
  <c r="H140" i="6"/>
  <c r="H141" i="6"/>
  <c r="H142" i="6"/>
  <c r="H143" i="6"/>
  <c r="H144" i="6"/>
  <c r="H145" i="6"/>
  <c r="H146" i="6"/>
  <c r="H147" i="6"/>
  <c r="H149" i="6"/>
  <c r="H150" i="6"/>
  <c r="H151" i="6"/>
  <c r="H152" i="6"/>
  <c r="H153" i="6"/>
  <c r="H154" i="6"/>
  <c r="H155" i="6"/>
  <c r="H156" i="6"/>
  <c r="H157" i="6"/>
  <c r="H158" i="6"/>
  <c r="H160" i="6"/>
  <c r="H161" i="6"/>
  <c r="H162" i="6"/>
  <c r="H163" i="6"/>
  <c r="H164" i="6"/>
  <c r="H166" i="6"/>
  <c r="H167" i="6"/>
  <c r="H168" i="6"/>
  <c r="H169" i="6"/>
  <c r="H170" i="6"/>
  <c r="H171" i="6"/>
  <c r="H172" i="6"/>
  <c r="H173" i="6"/>
  <c r="H174" i="6"/>
  <c r="H175" i="6"/>
  <c r="H176" i="6"/>
  <c r="H177" i="6"/>
  <c r="H178" i="6"/>
  <c r="H179" i="6"/>
  <c r="H181" i="6"/>
  <c r="H182" i="6"/>
  <c r="H183" i="6"/>
  <c r="H184" i="6"/>
  <c r="H185" i="6"/>
  <c r="H186" i="6"/>
  <c r="H187" i="6"/>
  <c r="H188" i="6"/>
  <c r="H189" i="6"/>
  <c r="H191" i="6"/>
  <c r="H192" i="6"/>
  <c r="H193" i="6"/>
  <c r="H194" i="6"/>
  <c r="H195" i="6"/>
  <c r="H196" i="6"/>
  <c r="H197" i="6"/>
  <c r="H198" i="6"/>
  <c r="H199" i="6"/>
  <c r="H200" i="6"/>
  <c r="H201" i="6"/>
  <c r="H203" i="6"/>
  <c r="H204" i="6"/>
  <c r="H205" i="6"/>
  <c r="H206" i="6"/>
  <c r="H207" i="6"/>
  <c r="H208" i="6"/>
  <c r="H209" i="6"/>
  <c r="H210" i="6"/>
  <c r="H212" i="6"/>
  <c r="H213" i="6"/>
  <c r="H214" i="6"/>
  <c r="H215" i="6"/>
  <c r="H216" i="6"/>
  <c r="H217" i="6"/>
  <c r="H218" i="6"/>
  <c r="H220" i="6"/>
  <c r="H221" i="6"/>
  <c r="H222" i="6"/>
  <c r="H223" i="6"/>
  <c r="H224" i="6"/>
  <c r="H225" i="6"/>
  <c r="H226" i="6"/>
  <c r="H234" i="6"/>
  <c r="H235" i="6"/>
  <c r="H236" i="6"/>
  <c r="H237" i="6"/>
  <c r="H238" i="6"/>
  <c r="H240" i="6"/>
  <c r="H241" i="6"/>
  <c r="H242" i="6"/>
  <c r="H243" i="6"/>
  <c r="H246" i="6"/>
  <c r="H259" i="6"/>
  <c r="H260" i="6"/>
  <c r="H261" i="6"/>
  <c r="H262" i="6"/>
  <c r="H263" i="6"/>
  <c r="H264" i="6"/>
  <c r="H265" i="6"/>
  <c r="H266" i="6"/>
  <c r="H267" i="6"/>
  <c r="H273" i="6"/>
  <c r="H274" i="6"/>
  <c r="H275" i="6"/>
  <c r="H276" i="6"/>
  <c r="H278" i="6"/>
  <c r="H279" i="6"/>
  <c r="H281" i="6"/>
  <c r="H284" i="6"/>
  <c r="H285" i="6"/>
  <c r="H287" i="6"/>
  <c r="H292" i="6"/>
  <c r="H297" i="6"/>
  <c r="H298" i="6"/>
  <c r="H299" i="6"/>
  <c r="H300" i="6"/>
  <c r="H301" i="6"/>
  <c r="H302" i="6"/>
  <c r="H304" i="6"/>
  <c r="H305" i="6"/>
  <c r="H306" i="6"/>
  <c r="H308" i="6"/>
  <c r="H310" i="6"/>
  <c r="H311" i="6"/>
  <c r="H312" i="6"/>
  <c r="H313" i="6"/>
  <c r="H314" i="6"/>
  <c r="H315" i="6"/>
  <c r="H316" i="6"/>
  <c r="H317" i="6"/>
  <c r="H318" i="6"/>
  <c r="H320" i="6"/>
  <c r="H321" i="6"/>
  <c r="H322" i="6"/>
  <c r="H323" i="6"/>
  <c r="H324" i="6"/>
  <c r="H325" i="6"/>
  <c r="H326" i="6"/>
  <c r="H327" i="6"/>
  <c r="H328" i="6"/>
  <c r="H329" i="6"/>
  <c r="H330" i="6"/>
  <c r="H331" i="6"/>
  <c r="H333" i="6"/>
  <c r="H334" i="6"/>
  <c r="H335" i="6"/>
  <c r="H336" i="6"/>
  <c r="H337" i="6"/>
  <c r="H338" i="6"/>
  <c r="H339" i="6"/>
  <c r="H340" i="6"/>
  <c r="H341" i="6"/>
  <c r="H342" i="6"/>
  <c r="H344" i="6"/>
  <c r="H345" i="6"/>
  <c r="H346" i="6"/>
  <c r="H347" i="6"/>
  <c r="H348" i="6"/>
  <c r="H349" i="6"/>
  <c r="H355" i="6"/>
  <c r="E357" i="6"/>
  <c r="H357" i="6"/>
  <c r="E359" i="6"/>
  <c r="H359" i="6"/>
  <c r="E360" i="6"/>
  <c r="H360" i="6"/>
  <c r="H316" i="1"/>
  <c r="G25" i="3" l="1"/>
  <c r="H319" i="1"/>
  <c r="H320" i="1"/>
  <c r="H321" i="1"/>
  <c r="H322" i="1"/>
  <c r="H323" i="1"/>
  <c r="H324" i="1"/>
  <c r="H325" i="1"/>
  <c r="H326" i="1"/>
  <c r="H327" i="1"/>
  <c r="H328" i="1"/>
  <c r="H329" i="1"/>
  <c r="H318" i="1"/>
  <c r="H340" i="1"/>
  <c r="H339" i="1"/>
  <c r="H338" i="1"/>
  <c r="H306" i="1"/>
  <c r="E420" i="1"/>
  <c r="E419" i="1"/>
  <c r="E418" i="1"/>
  <c r="E417" i="1"/>
  <c r="E416" i="1"/>
  <c r="E415" i="1"/>
  <c r="E414" i="1"/>
  <c r="E413" i="1"/>
  <c r="E412" i="1"/>
  <c r="E411" i="1"/>
  <c r="E410" i="1"/>
  <c r="E409" i="1"/>
  <c r="E408" i="1"/>
  <c r="E407" i="1"/>
  <c r="E406" i="1"/>
  <c r="E405" i="1"/>
  <c r="E404" i="1"/>
  <c r="E403" i="1"/>
  <c r="E402" i="1"/>
  <c r="E401" i="1"/>
  <c r="E400" i="1"/>
  <c r="E399" i="1"/>
  <c r="E398" i="1"/>
  <c r="E422" i="1"/>
  <c r="E421" i="1"/>
  <c r="H151" i="1"/>
  <c r="H153" i="1"/>
  <c r="N395" i="1" l="1"/>
  <c r="H429" i="1"/>
  <c r="H428" i="1"/>
  <c r="H427" i="1"/>
  <c r="E423" i="1"/>
  <c r="H334" i="1"/>
  <c r="H335" i="1"/>
  <c r="H336" i="1"/>
  <c r="H337" i="1"/>
  <c r="H180" i="1"/>
  <c r="H179" i="1"/>
  <c r="H20" i="1"/>
  <c r="H314" i="1"/>
  <c r="H315" i="1"/>
  <c r="H232" i="1"/>
  <c r="H359" i="1"/>
  <c r="E359" i="1"/>
  <c r="H358" i="1"/>
  <c r="E358" i="1"/>
  <c r="H357" i="1"/>
  <c r="E357" i="1"/>
  <c r="H355" i="1"/>
  <c r="H348" i="1"/>
  <c r="H349" i="1"/>
  <c r="H347" i="1"/>
  <c r="H346" i="1"/>
  <c r="H345" i="1"/>
  <c r="H344" i="1"/>
  <c r="H333" i="1"/>
  <c r="H332" i="1"/>
  <c r="H331" i="1"/>
  <c r="H313" i="1"/>
  <c r="H312" i="1"/>
  <c r="H311" i="1"/>
  <c r="H310" i="1"/>
  <c r="H309" i="1"/>
  <c r="H308" i="1"/>
  <c r="H304" i="1"/>
  <c r="H303" i="1"/>
  <c r="H302" i="1"/>
  <c r="H300" i="1"/>
  <c r="H299" i="1"/>
  <c r="H298" i="1"/>
  <c r="H297" i="1"/>
  <c r="H296" i="1"/>
  <c r="H295" i="1"/>
  <c r="H290" i="1"/>
  <c r="H280" i="1"/>
  <c r="H279" i="1"/>
  <c r="H281" i="1"/>
  <c r="H277" i="1"/>
  <c r="H276" i="1"/>
  <c r="H275" i="1"/>
  <c r="H274" i="1"/>
  <c r="H273" i="1"/>
  <c r="H272" i="1"/>
  <c r="H271" i="1"/>
  <c r="H265" i="1"/>
  <c r="H264" i="1"/>
  <c r="H263" i="1"/>
  <c r="H262" i="1"/>
  <c r="H261" i="1"/>
  <c r="H260" i="1"/>
  <c r="H259" i="1"/>
  <c r="H258" i="1"/>
  <c r="H257" i="1"/>
  <c r="H244" i="1"/>
  <c r="H241" i="1"/>
  <c r="H240" i="1"/>
  <c r="H239" i="1"/>
  <c r="H238" i="1"/>
  <c r="H236" i="1"/>
  <c r="H235" i="1"/>
  <c r="H234" i="1"/>
  <c r="H233" i="1"/>
  <c r="H224" i="1"/>
  <c r="H223" i="1"/>
  <c r="H222" i="1"/>
  <c r="H221" i="1"/>
  <c r="H220" i="1"/>
  <c r="H219" i="1"/>
  <c r="H218" i="1"/>
  <c r="H216" i="1"/>
  <c r="H215" i="1"/>
  <c r="H214" i="1"/>
  <c r="H213" i="1"/>
  <c r="H212" i="1"/>
  <c r="H211" i="1"/>
  <c r="H210" i="1"/>
  <c r="H208" i="1"/>
  <c r="H207" i="1"/>
  <c r="H206" i="1"/>
  <c r="H205" i="1"/>
  <c r="H204" i="1"/>
  <c r="H203" i="1"/>
  <c r="H202" i="1"/>
  <c r="H201" i="1"/>
  <c r="H199" i="1"/>
  <c r="H198" i="1"/>
  <c r="H197" i="1"/>
  <c r="H196" i="1"/>
  <c r="H195" i="1"/>
  <c r="H194" i="1"/>
  <c r="H193" i="1"/>
  <c r="H192" i="1"/>
  <c r="H191" i="1"/>
  <c r="H190" i="1"/>
  <c r="H189" i="1"/>
  <c r="H187" i="1"/>
  <c r="H186" i="1"/>
  <c r="H185" i="1"/>
  <c r="H184" i="1"/>
  <c r="H183" i="1"/>
  <c r="H182" i="1"/>
  <c r="H181" i="1"/>
  <c r="H177" i="1"/>
  <c r="H176" i="1"/>
  <c r="H175" i="1"/>
  <c r="H174" i="1"/>
  <c r="H173" i="1"/>
  <c r="H172" i="1"/>
  <c r="H171" i="1"/>
  <c r="H170" i="1"/>
  <c r="H169" i="1"/>
  <c r="H168" i="1"/>
  <c r="H167" i="1"/>
  <c r="H166" i="1"/>
  <c r="H165" i="1"/>
  <c r="H164" i="1"/>
  <c r="H162" i="1"/>
  <c r="H161" i="1"/>
  <c r="H159" i="1"/>
  <c r="H158" i="1"/>
  <c r="H157" i="1"/>
  <c r="H156" i="1"/>
  <c r="H155" i="1"/>
  <c r="H154" i="1"/>
  <c r="H152" i="1"/>
  <c r="H150" i="1"/>
  <c r="H149" i="1"/>
  <c r="H148" i="1"/>
  <c r="H146" i="1"/>
  <c r="H145" i="1"/>
  <c r="H144" i="1"/>
  <c r="H285" i="1"/>
  <c r="H143" i="1"/>
  <c r="H142" i="1"/>
  <c r="H141" i="1"/>
  <c r="H284" i="1"/>
  <c r="H283" i="1"/>
  <c r="H282" i="1"/>
  <c r="H140" i="1"/>
  <c r="H139" i="1"/>
  <c r="H138" i="1"/>
  <c r="H137" i="1"/>
  <c r="H136" i="1"/>
  <c r="H135" i="1"/>
  <c r="H134" i="1"/>
  <c r="H160" i="1"/>
  <c r="H133" i="1"/>
  <c r="H132" i="1"/>
  <c r="H131" i="1"/>
  <c r="H130" i="1"/>
  <c r="H129" i="1"/>
  <c r="H128" i="1"/>
  <c r="H127" i="1"/>
  <c r="H125" i="1"/>
  <c r="H124" i="1"/>
  <c r="H123" i="1"/>
  <c r="H122" i="1"/>
  <c r="H121" i="1"/>
  <c r="H120" i="1"/>
  <c r="H119" i="1"/>
  <c r="H118" i="1"/>
  <c r="H117" i="1"/>
  <c r="H116" i="1"/>
  <c r="H113" i="1"/>
  <c r="H112" i="1"/>
  <c r="H111" i="1"/>
  <c r="H110" i="1"/>
  <c r="H109" i="1"/>
  <c r="H108" i="1"/>
  <c r="H107" i="1"/>
  <c r="H106" i="1"/>
  <c r="H105" i="1"/>
  <c r="H104" i="1"/>
  <c r="H103" i="1"/>
  <c r="H102" i="1"/>
  <c r="H101" i="1"/>
  <c r="H100" i="1"/>
  <c r="H99" i="1"/>
  <c r="H98" i="1"/>
  <c r="H97" i="1"/>
  <c r="H96" i="1"/>
  <c r="H95" i="1"/>
  <c r="H90" i="1"/>
  <c r="H88" i="1"/>
  <c r="H87" i="1"/>
  <c r="H86" i="1"/>
  <c r="H84" i="1"/>
  <c r="H83" i="1"/>
  <c r="H82" i="1"/>
  <c r="H81" i="1"/>
  <c r="H80" i="1"/>
  <c r="H79" i="1"/>
  <c r="H78" i="1"/>
  <c r="H77" i="1"/>
  <c r="H76" i="1"/>
  <c r="H75" i="1"/>
  <c r="H74" i="1"/>
  <c r="H73" i="1"/>
  <c r="H72" i="1"/>
  <c r="H71" i="1"/>
  <c r="H70" i="1"/>
  <c r="H69" i="1"/>
  <c r="H68" i="1"/>
  <c r="H67" i="1"/>
  <c r="H66" i="1"/>
  <c r="H65" i="1"/>
  <c r="H64" i="1"/>
  <c r="H63" i="1"/>
  <c r="H61" i="1"/>
  <c r="H60" i="1"/>
  <c r="H59" i="1"/>
  <c r="H58" i="1"/>
  <c r="H57" i="1"/>
  <c r="H56" i="1"/>
  <c r="H55" i="1"/>
  <c r="H54"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19" i="1"/>
  <c r="H18" i="1"/>
  <c r="H17" i="1"/>
  <c r="H16" i="1"/>
  <c r="H15" i="1"/>
  <c r="H14" i="1"/>
  <c r="H13" i="1"/>
  <c r="H12" i="1"/>
  <c r="H11" i="1"/>
  <c r="F25" i="3"/>
  <c r="I25" i="2"/>
  <c r="I29" i="2"/>
  <c r="I37" i="2"/>
  <c r="I38" i="2"/>
  <c r="I39" i="2"/>
  <c r="I40" i="2"/>
  <c r="I41" i="2"/>
  <c r="I36" i="2"/>
  <c r="I34" i="2"/>
  <c r="I32" i="2"/>
  <c r="D46" i="2"/>
  <c r="C22" i="2"/>
  <c r="H430" i="1" l="1"/>
  <c r="I427" i="1" s="1"/>
  <c r="H404" i="1"/>
  <c r="H414" i="1"/>
  <c r="H405" i="1"/>
  <c r="H415" i="1"/>
  <c r="H406" i="1"/>
  <c r="H416" i="1"/>
  <c r="H417" i="1"/>
  <c r="H407" i="1"/>
  <c r="H408" i="1"/>
  <c r="H418" i="1"/>
  <c r="H399" i="1"/>
  <c r="H409" i="1"/>
  <c r="H419" i="1"/>
  <c r="H400" i="1"/>
  <c r="H410" i="1"/>
  <c r="H420" i="1"/>
  <c r="H401" i="1"/>
  <c r="H411" i="1"/>
  <c r="H421" i="1"/>
  <c r="H402" i="1"/>
  <c r="H412" i="1"/>
  <c r="H422" i="1"/>
  <c r="H403" i="1"/>
  <c r="H413" i="1"/>
  <c r="H398" i="1"/>
  <c r="H397" i="1"/>
  <c r="I428" i="1" l="1"/>
  <c r="I429" i="1"/>
  <c r="H423" i="1"/>
  <c r="I430"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tc={E623A965-D228-4FB6-BE13-A5513C1C2CCD}</author>
    <author>tc={09E86DA1-20EF-4719-8AC8-47AE3EC30BED}</author>
    <author>Colby Johnston</author>
    <author>tc={D6B140FF-B04A-4163-B80B-72229167E0DE}</author>
    <author>tc={0152F8A7-2E4E-4570-BF2B-E403E660A4FE}</author>
    <author>tc={03C5FFD8-066C-4D2B-BC6A-31E628C4088D}</author>
    <author>Paul Snider</author>
    <author>tc={7B298502-03C5-4DD5-B23D-6981FF8B9A25}</author>
    <author>tc={7019ED8F-4B98-41BC-9265-21B76F8A6C08}</author>
    <author>tc={6459769E-7EBF-4053-8598-6D3C105DBA7D}</author>
    <author>tc={88D0F01F-61DF-41CE-A28F-AB3863CDD314}</author>
    <author>tc={DCDC21AD-609E-4027-90CA-54C3C1ADD4BD}</author>
    <author>tc={29155691-060C-4380-8F17-C0261B2B3601}</author>
    <author>tc={1FEBDDAD-59A4-4EA0-87B2-574187DE5F14}</author>
    <author>tc={99B5C2ED-6CEE-4D52-B1E0-B3576251C794}</author>
    <author>tc={7D4CC440-2527-48A2-B922-A72207F2B4C3}</author>
    <author>tc={BD66EE7C-96DE-4E70-B07C-4A7108F6BB4D}</author>
    <author>tc={535766BE-1636-44EF-A519-CD58D39162F9}</author>
    <author>tc={925F0CC0-90E6-467A-9A2C-9D959C9D3CFC}</author>
  </authors>
  <commentList>
    <comment ref="C4" authorId="0" shapeId="0" xr:uid="{E623A965-D228-4FB6-BE13-A5513C1C2CCD}">
      <text>
        <t>[Threaded comment]
Your version of Excel allows you to read this threaded comment; however, any edits to it will get removed if the file is opened in a newer version of Excel. Learn more: https://go.microsoft.com/fwlink/?linkid=870924
Comment:
    NuKat needs to: Survive launch, enter orbit, turn on, transmit a signal, survive space environment
Students need to: design and test to a certain standard (NASA?)</t>
      </text>
    </comment>
    <comment ref="C5" authorId="1" shapeId="0" xr:uid="{09E86DA1-20EF-4719-8AC8-47AE3EC30BED}">
      <text>
        <t>[Threaded comment]
Your version of Excel allows you to read this threaded comment; however, any edits to it will get removed if the file is opened in a newer version of Excel. Learn more: https://go.microsoft.com/fwlink/?linkid=870924
Comment:
    Successfully count neutrons, operational for "x" time, survive independently of satellite. need more information on what "space qual" looks like</t>
      </text>
    </comment>
    <comment ref="C6" authorId="2" shapeId="0" xr:uid="{12F3DF9F-589B-4708-BD83-926BF1893BDC}">
      <text>
        <r>
          <rPr>
            <sz val="11"/>
            <color rgb="FF000000"/>
            <rFont val="Aptos Narrow"/>
            <family val="2"/>
          </rPr>
          <t xml:space="preserve">Colby Johnston:
</t>
        </r>
        <r>
          <rPr>
            <sz val="11"/>
            <color rgb="FF000000"/>
            <rFont val="Aptos Narrow"/>
            <family val="2"/>
          </rPr>
          <t xml:space="preserve">FOV, Power positive, ConOps, deployable solar, deployable antenna, etc. flow from this
</t>
        </r>
        <r>
          <rPr>
            <sz val="11"/>
            <color rgb="FF000000"/>
            <rFont val="Aptos Narrow"/>
            <family val="2"/>
          </rPr>
          <t xml:space="preserve">
</t>
        </r>
        <r>
          <rPr>
            <sz val="11"/>
            <color rgb="FF000000"/>
            <rFont val="Aptos Narrow"/>
            <family val="2"/>
          </rPr>
          <t xml:space="preserve">Bailey Walke:
</t>
        </r>
        <r>
          <rPr>
            <sz val="11"/>
            <color rgb="FF000000"/>
            <rFont val="Aptos Narrow"/>
            <family val="2"/>
          </rPr>
          <t xml:space="preserve">Demo K-State tech capabilities for spacecraft/ground station/mission ops
</t>
        </r>
        <r>
          <rPr>
            <sz val="11"/>
            <color rgb="FF000000"/>
            <rFont val="Aptos Narrow"/>
            <family val="2"/>
          </rPr>
          <t xml:space="preserve">- comms (ground and sat)
</t>
        </r>
        <r>
          <rPr>
            <sz val="11"/>
            <color rgb="FF000000"/>
            <rFont val="Aptos Narrow"/>
            <family val="2"/>
          </rPr>
          <t xml:space="preserve">- deployables
</t>
        </r>
        <r>
          <rPr>
            <sz val="11"/>
            <color rgb="FF000000"/>
            <rFont val="Aptos Narrow"/>
            <family val="2"/>
          </rPr>
          <t xml:space="preserve">- onboard processing
</t>
        </r>
        <r>
          <rPr>
            <sz val="11"/>
            <color rgb="FF000000"/>
            <rFont val="Aptos Narrow"/>
            <family val="2"/>
          </rPr>
          <t xml:space="preserve">- operational modes/autonomy
</t>
        </r>
        <r>
          <rPr>
            <sz val="11"/>
            <color rgb="FF000000"/>
            <rFont val="Aptos Narrow"/>
            <family val="2"/>
          </rPr>
          <t>- pointing</t>
        </r>
      </text>
    </comment>
    <comment ref="C7" authorId="3" shapeId="0" xr:uid="{D6B140FF-B04A-4163-B80B-72229167E0DE}">
      <text>
        <t>[Threaded comment]
Your version of Excel allows you to read this threaded comment; however, any edits to it will get removed if the file is opened in a newer version of Excel. Learn more: https://go.microsoft.com/fwlink/?linkid=870924
Comment:
    requirements about succession plans for future students/longevity? documentation requirements</t>
      </text>
    </comment>
    <comment ref="C11" authorId="4" shapeId="0" xr:uid="{0152F8A7-2E4E-4570-BF2B-E403E660A4FE}">
      <text>
        <t>[Threaded comment]
Your version of Excel allows you to read this threaded comment; however, any edits to it will get removed if the file is opened in a newer version of Excel. Learn more: https://go.microsoft.com/fwlink/?linkid=870924
Comment:
    i feel like NU-1.01 and NU-1.02 could be combined</t>
      </text>
    </comment>
    <comment ref="C12" authorId="5" shapeId="0" xr:uid="{03C5FFD8-066C-4D2B-BC6A-31E628C4088D}">
      <text>
        <t>[Threaded comment]
Your version of Excel allows you to read this threaded comment; however, any edits to it will get removed if the file is opened in a newer version of Excel. Learn more: https://go.microsoft.com/fwlink/?linkid=870924
Comment:
    what is the bare bones of "flight heritage"? will drive level 2</t>
      </text>
    </comment>
    <comment ref="G17" authorId="2" shapeId="0" xr:uid="{BA88AC48-64A4-46A0-BF49-DCAAC7C3F90F}">
      <text>
        <r>
          <rPr>
            <b/>
            <sz val="9"/>
            <color indexed="81"/>
            <rFont val="Tahoma"/>
            <family val="2"/>
          </rPr>
          <t>Colby Johnston:</t>
        </r>
        <r>
          <rPr>
            <sz val="9"/>
            <color indexed="81"/>
            <rFont val="Tahoma"/>
            <family val="2"/>
          </rPr>
          <t xml:space="preserve">
This should be easier to mitigate</t>
        </r>
      </text>
    </comment>
    <comment ref="M17" authorId="6" shapeId="0" xr:uid="{3DC06DA2-0F10-4894-B776-F9A8A69F04DF}">
      <text>
        <r>
          <rPr>
            <b/>
            <sz val="9"/>
            <color indexed="81"/>
            <rFont val="Tahoma"/>
            <family val="2"/>
          </rPr>
          <t>Paul Snider:</t>
        </r>
        <r>
          <rPr>
            <sz val="9"/>
            <color indexed="81"/>
            <rFont val="Tahoma"/>
            <family val="2"/>
          </rPr>
          <t xml:space="preserve">
And Analysis.</t>
        </r>
      </text>
    </comment>
    <comment ref="A23" authorId="7" shapeId="0" xr:uid="{7B298502-03C5-4DD5-B23D-6981FF8B9A25}">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@Bailey Walke 
Need Satellite level SWAP requirements.
Reply:
    @Bailey Walke 
Need requirements for contamination control and cleanliness. Below are some examples from UNP Mission Concept Ussr Guide.
The flight hardware shall be maintained in a class 100,000 level or better facility as defined in FED-STD-209E.
All flight hardware shall be maintained at the Visibly Clean (VC) level (free from manufacturing residue, dirt, oil, grease, processing debris, or other visible particulate when inspected with the unaided or corrected-vision eye).
</t>
      </text>
    </comment>
    <comment ref="D26" authorId="6" shapeId="0" xr:uid="{54A976E4-AD68-4CA0-BD91-5E2D6A580328}">
      <text>
        <r>
          <rPr>
            <b/>
            <sz val="9"/>
            <color rgb="FF000000"/>
            <rFont val="Tahoma"/>
            <family val="2"/>
          </rPr>
          <t>Paul Snider:</t>
        </r>
        <r>
          <rPr>
            <sz val="9"/>
            <color rgb="FF000000"/>
            <rFont val="Tahoma"/>
            <family val="2"/>
          </rPr>
          <t xml:space="preserve">
</t>
        </r>
        <r>
          <rPr>
            <sz val="9"/>
            <color rgb="FF000000"/>
            <rFont val="Tahoma"/>
            <family val="2"/>
          </rPr>
          <t>Update from PHAT-Sat to NuKat</t>
        </r>
      </text>
    </comment>
    <comment ref="N35" authorId="6" shapeId="0" xr:uid="{DD9F9FCD-F07F-4BAD-86CE-87243FBC3FD2}">
      <text>
        <r>
          <rPr>
            <b/>
            <sz val="9"/>
            <color indexed="81"/>
            <rFont val="Tahoma"/>
            <family val="2"/>
          </rPr>
          <t>Paul Snider:</t>
        </r>
        <r>
          <rPr>
            <sz val="9"/>
            <color indexed="81"/>
            <rFont val="Tahoma"/>
            <family val="2"/>
          </rPr>
          <t xml:space="preserve">
Could demonstrate power off state and pre-launch, and test power off state during vibration testing up to simulated depoyment</t>
        </r>
      </text>
    </comment>
    <comment ref="N36" authorId="6" shapeId="0" xr:uid="{93C1420F-3EB0-4208-A2EE-E628323176C8}">
      <text>
        <r>
          <rPr>
            <b/>
            <sz val="9"/>
            <color indexed="81"/>
            <rFont val="Tahoma"/>
            <family val="2"/>
          </rPr>
          <t>Paul Snider:</t>
        </r>
        <r>
          <rPr>
            <sz val="9"/>
            <color indexed="81"/>
            <rFont val="Tahoma"/>
            <family val="2"/>
          </rPr>
          <t xml:space="preserve">
This can be a demonstration before and after launch.</t>
        </r>
      </text>
    </comment>
    <comment ref="N38" authorId="6" shapeId="0" xr:uid="{432EB69D-E5F9-4E91-9812-A7B9B6965C87}">
      <text>
        <r>
          <rPr>
            <b/>
            <sz val="9"/>
            <color indexed="81"/>
            <rFont val="Tahoma"/>
            <family val="2"/>
          </rPr>
          <t>Paul Snider:</t>
        </r>
        <r>
          <rPr>
            <sz val="9"/>
            <color indexed="81"/>
            <rFont val="Tahoma"/>
            <family val="2"/>
          </rPr>
          <t xml:space="preserve">
Analysis this based on SolidWorks modeling.</t>
        </r>
      </text>
    </comment>
    <comment ref="N42" authorId="6" shapeId="0" xr:uid="{469906B3-BD3C-434C-A3EA-84FA4AA2DEE6}">
      <text>
        <r>
          <rPr>
            <b/>
            <sz val="9"/>
            <color indexed="81"/>
            <rFont val="Tahoma"/>
            <family val="2"/>
          </rPr>
          <t>Paul Snider:</t>
        </r>
        <r>
          <rPr>
            <sz val="9"/>
            <color indexed="81"/>
            <rFont val="Tahoma"/>
            <family val="2"/>
          </rPr>
          <t xml:space="preserve">
Reliability analysis too</t>
        </r>
      </text>
    </comment>
    <comment ref="N43" authorId="6" shapeId="0" xr:uid="{49C5CDBE-B900-4D68-8413-B5DB85AF20F2}">
      <text>
        <r>
          <rPr>
            <b/>
            <sz val="9"/>
            <color indexed="81"/>
            <rFont val="Tahoma"/>
            <family val="2"/>
          </rPr>
          <t>Paul Snider:</t>
        </r>
        <r>
          <rPr>
            <sz val="9"/>
            <color indexed="81"/>
            <rFont val="Tahoma"/>
            <family val="2"/>
          </rPr>
          <t xml:space="preserve">
Vibration test too.</t>
        </r>
      </text>
    </comment>
    <comment ref="N44" authorId="6" shapeId="0" xr:uid="{A296C34D-A1EC-4D98-A7E3-96D45280E77E}">
      <text>
        <r>
          <rPr>
            <b/>
            <sz val="9"/>
            <color indexed="81"/>
            <rFont val="Tahoma"/>
            <family val="2"/>
          </rPr>
          <t>Paul Snider:</t>
        </r>
        <r>
          <rPr>
            <sz val="9"/>
            <color indexed="81"/>
            <rFont val="Tahoma"/>
            <family val="2"/>
          </rPr>
          <t xml:space="preserve">
Maybe demonstrate instead of test, unless "correctly correlated" is better defined to test specifics.</t>
        </r>
      </text>
    </comment>
    <comment ref="N47" authorId="6" shapeId="0" xr:uid="{E1D9223E-2F42-44B3-8FAF-F731B9C8D121}">
      <text>
        <r>
          <rPr>
            <b/>
            <sz val="9"/>
            <color indexed="81"/>
            <rFont val="Tahoma"/>
            <family val="2"/>
          </rPr>
          <t>Paul Snider:</t>
        </r>
        <r>
          <rPr>
            <sz val="9"/>
            <color indexed="81"/>
            <rFont val="Tahoma"/>
            <family val="2"/>
          </rPr>
          <t xml:space="preserve">
Analysis of the vent-able raitio too.</t>
        </r>
      </text>
    </comment>
    <comment ref="M48" authorId="6" shapeId="0" xr:uid="{C56C949F-A5CC-4A1A-87BC-B5779F75F657}">
      <text>
        <r>
          <rPr>
            <b/>
            <sz val="9"/>
            <color indexed="81"/>
            <rFont val="Tahoma"/>
            <family val="2"/>
          </rPr>
          <t>Paul Snider:</t>
        </r>
        <r>
          <rPr>
            <sz val="9"/>
            <color indexed="81"/>
            <rFont val="Tahoma"/>
            <family val="2"/>
          </rPr>
          <t xml:space="preserve">
Analysis</t>
        </r>
      </text>
    </comment>
    <comment ref="C49" authorId="6" shapeId="0" xr:uid="{02CA865F-8755-4F98-A9AF-C95D42233204}">
      <text>
        <r>
          <rPr>
            <b/>
            <sz val="9"/>
            <color rgb="FF000000"/>
            <rFont val="Tahoma"/>
            <family val="2"/>
          </rPr>
          <t>Paul Snider:</t>
        </r>
        <r>
          <rPr>
            <sz val="9"/>
            <color rgb="FF000000"/>
            <rFont val="Tahoma"/>
            <family val="2"/>
          </rPr>
          <t xml:space="preserve">
</t>
        </r>
        <r>
          <rPr>
            <sz val="9"/>
            <color rgb="FF000000"/>
            <rFont val="Tahoma"/>
            <family val="2"/>
          </rPr>
          <t>Redundant withSYS-2.13</t>
        </r>
      </text>
    </comment>
    <comment ref="N50" authorId="6" shapeId="0" xr:uid="{C01CCDE6-7DC6-482C-B15E-387DEDFA6871}">
      <text>
        <r>
          <rPr>
            <b/>
            <sz val="9"/>
            <color indexed="81"/>
            <rFont val="Tahoma"/>
            <family val="2"/>
          </rPr>
          <t>Paul Snider:</t>
        </r>
        <r>
          <rPr>
            <sz val="9"/>
            <color indexed="81"/>
            <rFont val="Tahoma"/>
            <family val="2"/>
          </rPr>
          <t xml:space="preserve">
Demonstrate pre-programmed delays.</t>
        </r>
      </text>
    </comment>
    <comment ref="A53" authorId="8" shapeId="0" xr:uid="{7019ED8F-4B98-41BC-9265-21B76F8A6C0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@Phillip Shirkey 
Consider approaching level 2 for the payload as:
The Payload System shall consist of the primary imaging payload, the hosted neutron detector, and the hosted thermoelectric generator payload. (Level 3 will define the requirements for each of these individually).
The imaging payload shall interface to the bus mechanically, electrically and thermally.
The neutron detector shall interface to the bus mechanically, electrically and thermally.
The TEG shall interface to the solar array (I believe) mechanically, electrically and thermally.
(Level 3 will define the mechanical, electrical and thermal requirements for each of these individually).</t>
      </text>
    </comment>
    <comment ref="A54" authorId="9" shapeId="0" xr:uid="{6459769E-7EBF-4053-8598-6D3C105DBA7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@Colby Johnston Add Payload Size, Weight and Power, and Thermal Range requirements, similar to Bus Requirements.
Reply:
    @Colby Johnston Seeing those requirements now in 3.2.</t>
      </text>
    </comment>
    <comment ref="M56" authorId="6" shapeId="0" xr:uid="{4C883700-A1B5-4B5C-80CD-32AF13A2FD2B}">
      <text>
        <r>
          <rPr>
            <b/>
            <sz val="9"/>
            <color indexed="81"/>
            <rFont val="Tahoma"/>
            <family val="2"/>
          </rPr>
          <t>Paul Snider:</t>
        </r>
        <r>
          <rPr>
            <sz val="9"/>
            <color indexed="81"/>
            <rFont val="Tahoma"/>
            <family val="2"/>
          </rPr>
          <t xml:space="preserve">
D</t>
        </r>
      </text>
    </comment>
    <comment ref="M57" authorId="6" shapeId="0" xr:uid="{DEC42658-167D-4CE3-AE22-C8A002704254}">
      <text>
        <r>
          <rPr>
            <b/>
            <sz val="9"/>
            <color indexed="81"/>
            <rFont val="Tahoma"/>
            <family val="2"/>
          </rPr>
          <t>Paul Snider:</t>
        </r>
        <r>
          <rPr>
            <sz val="9"/>
            <color indexed="81"/>
            <rFont val="Tahoma"/>
            <family val="2"/>
          </rPr>
          <t xml:space="preserve">
T</t>
        </r>
      </text>
    </comment>
    <comment ref="M60" authorId="6" shapeId="0" xr:uid="{C71AD799-14EF-41BD-84A5-7F9D4F10BF11}">
      <text>
        <r>
          <rPr>
            <b/>
            <sz val="9"/>
            <color indexed="81"/>
            <rFont val="Tahoma"/>
            <family val="2"/>
          </rPr>
          <t>Paul Snider:</t>
        </r>
        <r>
          <rPr>
            <sz val="9"/>
            <color indexed="81"/>
            <rFont val="Tahoma"/>
            <family val="2"/>
          </rPr>
          <t xml:space="preserve">
A</t>
        </r>
      </text>
    </comment>
    <comment ref="A62" authorId="10" shapeId="0" xr:uid="{88D0F01F-61DF-41CE-A28F-AB3863CDD31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@Colby Johnston 
Need Bus weight and power requirements.</t>
      </text>
    </comment>
    <comment ref="M63" authorId="6" shapeId="0" xr:uid="{EA083B2A-ED3C-4FC8-BBA4-032A7739ED6F}">
      <text>
        <r>
          <rPr>
            <b/>
            <sz val="9"/>
            <color indexed="81"/>
            <rFont val="Tahoma"/>
            <family val="2"/>
          </rPr>
          <t>Paul Snider:</t>
        </r>
        <r>
          <rPr>
            <sz val="9"/>
            <color indexed="81"/>
            <rFont val="Tahoma"/>
            <family val="2"/>
          </rPr>
          <t xml:space="preserve">
D</t>
        </r>
      </text>
    </comment>
    <comment ref="M64" authorId="6" shapeId="0" xr:uid="{296C3605-A351-4FCE-8FA3-8DB21A51A8F0}">
      <text>
        <r>
          <rPr>
            <b/>
            <sz val="9"/>
            <color indexed="81"/>
            <rFont val="Tahoma"/>
            <family val="2"/>
          </rPr>
          <t>Paul Snider:</t>
        </r>
        <r>
          <rPr>
            <sz val="9"/>
            <color indexed="81"/>
            <rFont val="Tahoma"/>
            <family val="2"/>
          </rPr>
          <t xml:space="preserve">
I</t>
        </r>
      </text>
    </comment>
    <comment ref="M65" authorId="6" shapeId="0" xr:uid="{C322CB67-88B9-48B9-9711-BA82630C5778}">
      <text>
        <r>
          <rPr>
            <b/>
            <sz val="9"/>
            <color indexed="81"/>
            <rFont val="Tahoma"/>
            <family val="2"/>
          </rPr>
          <t>Paul Snider:</t>
        </r>
        <r>
          <rPr>
            <sz val="9"/>
            <color indexed="81"/>
            <rFont val="Tahoma"/>
            <family val="2"/>
          </rPr>
          <t xml:space="preserve">
I</t>
        </r>
      </text>
    </comment>
    <comment ref="M67" authorId="6" shapeId="0" xr:uid="{3734248D-0B4E-4005-A1EA-1B273D263CF2}">
      <text>
        <r>
          <rPr>
            <b/>
            <sz val="9"/>
            <color indexed="81"/>
            <rFont val="Tahoma"/>
            <family val="2"/>
          </rPr>
          <t>Paul Snider:</t>
        </r>
        <r>
          <rPr>
            <sz val="9"/>
            <color indexed="81"/>
            <rFont val="Tahoma"/>
            <family val="2"/>
          </rPr>
          <t xml:space="preserve">
Analysis and Test</t>
        </r>
      </text>
    </comment>
    <comment ref="M69" authorId="6" shapeId="0" xr:uid="{894E31B5-EE68-4DC8-8DFE-E5FBA89469D6}">
      <text>
        <r>
          <rPr>
            <b/>
            <sz val="9"/>
            <color indexed="81"/>
            <rFont val="Tahoma"/>
            <family val="2"/>
          </rPr>
          <t>Paul Snider:</t>
        </r>
        <r>
          <rPr>
            <sz val="9"/>
            <color indexed="81"/>
            <rFont val="Tahoma"/>
            <family val="2"/>
          </rPr>
          <t xml:space="preserve">
Analysis of fields of view</t>
        </r>
      </text>
    </comment>
    <comment ref="N82" authorId="6" shapeId="0" xr:uid="{DED466D4-90F2-4475-B4D4-467A277DF8D2}">
      <text>
        <r>
          <rPr>
            <b/>
            <sz val="9"/>
            <color indexed="81"/>
            <rFont val="Tahoma"/>
            <family val="2"/>
          </rPr>
          <t>Paul Snider:</t>
        </r>
        <r>
          <rPr>
            <sz val="9"/>
            <color indexed="81"/>
            <rFont val="Tahoma"/>
            <family val="2"/>
          </rPr>
          <t xml:space="preserve">
And Analysis of independence too.</t>
        </r>
      </text>
    </comment>
    <comment ref="M84" authorId="6" shapeId="0" xr:uid="{215D2380-445B-456C-B56C-7D82A1C8A148}">
      <text>
        <r>
          <rPr>
            <b/>
            <sz val="9"/>
            <color indexed="81"/>
            <rFont val="Tahoma"/>
            <family val="2"/>
          </rPr>
          <t>Paul Snider:</t>
        </r>
        <r>
          <rPr>
            <sz val="9"/>
            <color indexed="81"/>
            <rFont val="Tahoma"/>
            <family val="2"/>
          </rPr>
          <t xml:space="preserve">
And Test</t>
        </r>
      </text>
    </comment>
    <comment ref="A85" authorId="11" shapeId="0" xr:uid="{DCDC21AD-609E-4027-90CA-54C3C1ADD4B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@Bailey Walke 
Suggest changing this to Ground System Requirements.
Consider a Level 2 requirements such as
The Ground System shall consist of ground station, ground data, ground software and ground support equipment. (Flow each of those down to level 3).
The Ground System shall interface with PHAT-Sat during ground integration and test and on-orbit operations. (Flow down to level 3 to define ground support and mission operations requirements).
The Ground System shall interface with mission data users. (Flow down to level 3 for ground data to define data distribution).</t>
      </text>
    </comment>
    <comment ref="A89" authorId="12" shapeId="0" xr:uid="{29155691-060C-4380-8F17-C0261B2B360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@Bailey Walke 
Suggest changing this to Ground System Requirements.
Consider a Level 2 requirements such as
The Ground System shall consist of ground station, ground data, ground software and ground support equipment. (Flow each of those down to level 3).
The Ground System shall interface with PHAT-Sat during ground integration and test and on-orbit operations. (Flow down to level 3 to define ground support and mission operations requirements).
The Ground System shall interface with mission data users. (Flow down to level 3 for ground data to define data distribution).</t>
      </text>
    </comment>
    <comment ref="A115" authorId="13" shapeId="0" xr:uid="{1FEBDDAD-59A4-4EA0-87B2-574187DE5F14}">
      <text>
        <t>[Threaded comment]
Your version of Excel allows you to read this threaded comment; however, any edits to it will get removed if the file is opened in a newer version of Excel. Learn more: https://go.microsoft.com/fwlink/?linkid=870924
Comment:
    @Phillip Shirkey , @Colby Johnston, @Derek Rephlo 
Need level 3 requirements for the neutron detector and TEG. A couple of these are in 2.2.</t>
      </text>
    </comment>
    <comment ref="C124" authorId="2" shapeId="0" xr:uid="{9FB4705E-7687-49C7-BD69-67494D4D6705}">
      <text>
        <r>
          <rPr>
            <b/>
            <sz val="9"/>
            <color indexed="81"/>
            <rFont val="Tahoma"/>
            <family val="2"/>
          </rPr>
          <t>Colby Johnston:</t>
        </r>
        <r>
          <rPr>
            <sz val="9"/>
            <color indexed="81"/>
            <rFont val="Tahoma"/>
            <family val="2"/>
          </rPr>
          <t xml:space="preserve">
based off NeRDI mission and other articles, I don't think this will be an issue for HDPE</t>
        </r>
      </text>
    </comment>
    <comment ref="A126" authorId="14" shapeId="0" xr:uid="{99B5C2ED-6CEE-4D52-B1E0-B3576251C794}">
      <text>
        <t>[Threaded comment]
Your version of Excel allows you to read this threaded comment; however, any edits to it will get removed if the file is opened in a newer version of Excel. Learn more: https://go.microsoft.com/fwlink/?linkid=870924
Comment:
    @Phillip Shirkey @Drew Sallman @Bailey Walke 
Need requirements for geolocation.
Need requirements for Earth orientation (Nadir/Off-Nadir pointing)
Need requirements for Sun orientation (solar array pointing/sun avoidance).
The radiation and thermal requirements should be at level 2 for the satellite environment requirements, and flow down to levels 4 and 5, components and parts.</t>
      </text>
    </comment>
    <comment ref="A151" authorId="15" shapeId="0" xr:uid="{7D4CC440-2527-48A2-B922-A72207F2B4C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@Logan Hayward @Colby Johnston 
The interface requirements with the other subsystems should be in the Level 2 Bus Requirements.
Need requirement(s) for the communications bus(es) (how data from payloads and subsystems moves around the bus).
Need requirements for the uplink and downklink transmission data rates.</t>
      </text>
    </comment>
    <comment ref="A163" authorId="16" shapeId="0" xr:uid="{BD66EE7C-96DE-4E70-B07C-4A7108F6BB4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@Michael Bennett 
Need requirements for solar array power and area.
Need requirements for separation sense to power on after deployment.
Need requirements for battery and solar array arming/shorting plugs.
Need requirements for install and remove before flight electrical items.</t>
      </text>
    </comment>
    <comment ref="A188" authorId="17" shapeId="0" xr:uid="{535766BE-1636-44EF-A519-CD58D39162F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 Kessinger 
Word structure requirements as shall statements, not will and should statements to enforce verification of the requirements. Will and should statements are goals and not subject to verification.</t>
      </text>
    </comment>
    <comment ref="A200" authorId="18" shapeId="0" xr:uid="{925F0CC0-90E6-467A-9A2C-9D959C9D3CF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@Derek Rephlo 
Word thermal requirements as shall statements, not will and should statements to enforce verification of the requirements. Will and should statements are goals and not subject to verification.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tc={A3E2ED37-8B19-45C7-965B-343C01485EE5}</author>
    <author>tc={7AF956CB-A9FC-4860-83DF-B42A81BCD8CE}</author>
    <author>tc={DB742D1D-FECE-4708-BA07-8FF182EF4A37}</author>
    <author>tc={44A4C15A-91E7-4F42-8B83-9B4439670238}</author>
    <author>tc={4F521A8B-39D1-4121-B589-182D5E93DC79}</author>
    <author>Colby Johnston</author>
    <author>Paul Snider</author>
    <author>tc={EDE7EE6A-82C2-422C-936D-8B4AE795770C}</author>
    <author>tc={D47FE628-4DD1-4542-B209-9BE7CD7747A9}</author>
    <author>tc={58A2C7DC-51A8-4D2C-9937-79D186FB281D}</author>
    <author>tc={6BE1D8E0-097B-47A6-8EB6-060F358B9143}</author>
    <author>tc={99B9BB02-90A1-4B14-8590-3014C1BCF2ED}</author>
    <author>tc={434B5721-C819-4BA6-AE89-C1E4F7255AAF}</author>
    <author>tc={22F80E20-6062-4866-9BD5-A59073297E61}</author>
    <author>tc={17FD28B5-640C-487E-92E3-1D1127DC2009}</author>
    <author>tc={52A7198D-31A2-44DD-8E6C-0E87F2C1FBA0}</author>
    <author>tc={255C73A3-EE54-47C0-AEF1-3D60E38F9857}</author>
    <author>tc={40A2E4DF-B9CE-4158-907B-47316BFE55EB}</author>
  </authors>
  <commentList>
    <comment ref="C4" authorId="0" shapeId="0" xr:uid="{A3E2ED37-8B19-45C7-965B-343C01485EE5}">
      <text>
        <t>[Threaded comment]
Your version of Excel allows you to read this threaded comment; however, any edits to it will get removed if the file is opened in a newer version of Excel. Learn more: https://go.microsoft.com/fwlink/?linkid=870924
Comment:
    NuKat needs to: Survive launch, enter orbit, turn on, transmit a signal, survive space environment
Students need to: design and test to a certain standard (NASA?)</t>
      </text>
    </comment>
    <comment ref="C5" authorId="1" shapeId="0" xr:uid="{7AF956CB-A9FC-4860-83DF-B42A81BCD8CE}">
      <text>
        <t>[Threaded comment]
Your version of Excel allows you to read this threaded comment; however, any edits to it will get removed if the file is opened in a newer version of Excel. Learn more: https://go.microsoft.com/fwlink/?linkid=870924
Comment:
    Successfully count neutrons, operational for "x" time, survive independently of satellite. need more information on what "space qual" looks like</t>
      </text>
    </comment>
    <comment ref="C7" authorId="2" shapeId="0" xr:uid="{DB742D1D-FECE-4708-BA07-8FF182EF4A37}">
      <text>
        <t>[Threaded comment]
Your version of Excel allows you to read this threaded comment; however, any edits to it will get removed if the file is opened in a newer version of Excel. Learn more: https://go.microsoft.com/fwlink/?linkid=870924
Comment:
    requirements about succession plans for future students/longevity? documentation requirements</t>
      </text>
    </comment>
    <comment ref="C11" authorId="3" shapeId="0" xr:uid="{44A4C15A-91E7-4F42-8B83-9B4439670238}">
      <text>
        <t>[Threaded comment]
Your version of Excel allows you to read this threaded comment; however, any edits to it will get removed if the file is opened in a newer version of Excel. Learn more: https://go.microsoft.com/fwlink/?linkid=870924
Comment:
    i feel like NU-1.01 and NU-1.02 could be combined</t>
      </text>
    </comment>
    <comment ref="C12" authorId="4" shapeId="0" xr:uid="{4F521A8B-39D1-4121-B589-182D5E93DC79}">
      <text>
        <t>[Threaded comment]
Your version of Excel allows you to read this threaded comment; however, any edits to it will get removed if the file is opened in a newer version of Excel. Learn more: https://go.microsoft.com/fwlink/?linkid=870924
Comment:
    what is the bare bones of "flight heritage"? will drive level 2</t>
      </text>
    </comment>
    <comment ref="G17" authorId="5" shapeId="0" xr:uid="{A36E7036-4EA0-4C74-89DE-0C0F7B034C5A}">
      <text>
        <r>
          <rPr>
            <b/>
            <sz val="9"/>
            <color indexed="81"/>
            <rFont val="Tahoma"/>
            <family val="2"/>
          </rPr>
          <t>Colby Johnston:</t>
        </r>
        <r>
          <rPr>
            <sz val="9"/>
            <color indexed="81"/>
            <rFont val="Tahoma"/>
            <family val="2"/>
          </rPr>
          <t xml:space="preserve">
This should be easier to mitigate</t>
        </r>
      </text>
    </comment>
    <comment ref="M17" authorId="6" shapeId="0" xr:uid="{E7C15C20-2830-404B-9191-DC33C610AD81}">
      <text>
        <r>
          <rPr>
            <b/>
            <sz val="9"/>
            <color indexed="81"/>
            <rFont val="Tahoma"/>
            <family val="2"/>
          </rPr>
          <t>Paul Snider:</t>
        </r>
        <r>
          <rPr>
            <sz val="9"/>
            <color indexed="81"/>
            <rFont val="Tahoma"/>
            <family val="2"/>
          </rPr>
          <t xml:space="preserve">
And Analysis.</t>
        </r>
      </text>
    </comment>
    <comment ref="A23" authorId="7" shapeId="0" xr:uid="{EDE7EE6A-82C2-422C-936D-8B4AE795770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@Bailey Walke 
Need Satellite level SWAP requirements.
Reply:
    @Bailey Walke 
Need requirements for contamination control and cleanliness. Below are some examples from UNP Mission Concept Ussr Guide.
The flight hardware shall be maintained in a class 100,000 level or better facility as defined in FED-STD-209E.
All flight hardware shall be maintained at the Visibly Clean (VC) level (free from manufacturing residue, dirt, oil, grease, processing debris, or other visible particulate when inspected with the unaided or corrected-vision eye).
</t>
      </text>
    </comment>
    <comment ref="D26" authorId="6" shapeId="0" xr:uid="{27103378-5A92-41F9-94AD-8B202BD29F13}">
      <text>
        <r>
          <rPr>
            <b/>
            <sz val="9"/>
            <color rgb="FF000000"/>
            <rFont val="Tahoma"/>
            <family val="2"/>
          </rPr>
          <t>Paul Snider:</t>
        </r>
        <r>
          <rPr>
            <sz val="9"/>
            <color rgb="FF000000"/>
            <rFont val="Tahoma"/>
            <family val="2"/>
          </rPr>
          <t xml:space="preserve">
</t>
        </r>
        <r>
          <rPr>
            <sz val="9"/>
            <color rgb="FF000000"/>
            <rFont val="Tahoma"/>
            <family val="2"/>
          </rPr>
          <t>Update from PHAT-Sat to NuKat</t>
        </r>
      </text>
    </comment>
    <comment ref="N35" authorId="6" shapeId="0" xr:uid="{8672B9A4-3B65-4970-9223-3974B3B48817}">
      <text>
        <r>
          <rPr>
            <b/>
            <sz val="9"/>
            <color indexed="81"/>
            <rFont val="Tahoma"/>
            <family val="2"/>
          </rPr>
          <t>Paul Snider:</t>
        </r>
        <r>
          <rPr>
            <sz val="9"/>
            <color indexed="81"/>
            <rFont val="Tahoma"/>
            <family val="2"/>
          </rPr>
          <t xml:space="preserve">
Could demonstrate power off state and pre-launch, and test power off state during vibration testing up to simulated depoyment</t>
        </r>
      </text>
    </comment>
    <comment ref="N36" authorId="6" shapeId="0" xr:uid="{D29AACB3-8826-4556-9B94-73A84AC47D00}">
      <text>
        <r>
          <rPr>
            <b/>
            <sz val="9"/>
            <color indexed="81"/>
            <rFont val="Tahoma"/>
            <family val="2"/>
          </rPr>
          <t>Paul Snider:</t>
        </r>
        <r>
          <rPr>
            <sz val="9"/>
            <color indexed="81"/>
            <rFont val="Tahoma"/>
            <family val="2"/>
          </rPr>
          <t xml:space="preserve">
This can be a demonstration before and after launch.</t>
        </r>
      </text>
    </comment>
    <comment ref="N38" authorId="6" shapeId="0" xr:uid="{9A7A6435-39CC-4C13-BCDE-DD2FE2949457}">
      <text>
        <r>
          <rPr>
            <b/>
            <sz val="9"/>
            <color indexed="81"/>
            <rFont val="Tahoma"/>
            <family val="2"/>
          </rPr>
          <t>Paul Snider:</t>
        </r>
        <r>
          <rPr>
            <sz val="9"/>
            <color indexed="81"/>
            <rFont val="Tahoma"/>
            <family val="2"/>
          </rPr>
          <t xml:space="preserve">
Analysis this based on SolidWorks modeling.</t>
        </r>
      </text>
    </comment>
    <comment ref="N42" authorId="6" shapeId="0" xr:uid="{17645717-7E01-43D0-A7E7-3D3CC08BB2DE}">
      <text>
        <r>
          <rPr>
            <b/>
            <sz val="9"/>
            <color indexed="81"/>
            <rFont val="Tahoma"/>
            <family val="2"/>
          </rPr>
          <t>Paul Snider:</t>
        </r>
        <r>
          <rPr>
            <sz val="9"/>
            <color indexed="81"/>
            <rFont val="Tahoma"/>
            <family val="2"/>
          </rPr>
          <t xml:space="preserve">
Reliability analysis too</t>
        </r>
      </text>
    </comment>
    <comment ref="N43" authorId="6" shapeId="0" xr:uid="{09B42B69-14D1-46ED-85D8-3868813CE0AF}">
      <text>
        <r>
          <rPr>
            <b/>
            <sz val="9"/>
            <color indexed="81"/>
            <rFont val="Tahoma"/>
            <family val="2"/>
          </rPr>
          <t>Paul Snider:</t>
        </r>
        <r>
          <rPr>
            <sz val="9"/>
            <color indexed="81"/>
            <rFont val="Tahoma"/>
            <family val="2"/>
          </rPr>
          <t xml:space="preserve">
Vibration test too.</t>
        </r>
      </text>
    </comment>
    <comment ref="N44" authorId="6" shapeId="0" xr:uid="{5801913D-182E-4324-8E92-670B48B322AE}">
      <text>
        <r>
          <rPr>
            <b/>
            <sz val="9"/>
            <color indexed="81"/>
            <rFont val="Tahoma"/>
            <family val="2"/>
          </rPr>
          <t>Paul Snider:</t>
        </r>
        <r>
          <rPr>
            <sz val="9"/>
            <color indexed="81"/>
            <rFont val="Tahoma"/>
            <family val="2"/>
          </rPr>
          <t xml:space="preserve">
Maybe demonstrate instead of test, unless "correctly correlated" is better defined to test specifics.</t>
        </r>
      </text>
    </comment>
    <comment ref="N47" authorId="6" shapeId="0" xr:uid="{37AAF703-BDF4-4381-997D-03903032C77B}">
      <text>
        <r>
          <rPr>
            <b/>
            <sz val="9"/>
            <color indexed="81"/>
            <rFont val="Tahoma"/>
            <family val="2"/>
          </rPr>
          <t>Paul Snider:</t>
        </r>
        <r>
          <rPr>
            <sz val="9"/>
            <color indexed="81"/>
            <rFont val="Tahoma"/>
            <family val="2"/>
          </rPr>
          <t xml:space="preserve">
Analysis of the vent-able raitio too.</t>
        </r>
      </text>
    </comment>
    <comment ref="M48" authorId="6" shapeId="0" xr:uid="{764C3D31-B5D9-4751-A378-F400BAD43144}">
      <text>
        <r>
          <rPr>
            <b/>
            <sz val="9"/>
            <color indexed="81"/>
            <rFont val="Tahoma"/>
            <family val="2"/>
          </rPr>
          <t>Paul Snider:</t>
        </r>
        <r>
          <rPr>
            <sz val="9"/>
            <color indexed="81"/>
            <rFont val="Tahoma"/>
            <family val="2"/>
          </rPr>
          <t xml:space="preserve">
Analysis</t>
        </r>
      </text>
    </comment>
    <comment ref="N50" authorId="6" shapeId="0" xr:uid="{05BE395C-39A6-414B-B0D5-47FF8F801982}">
      <text>
        <r>
          <rPr>
            <b/>
            <sz val="9"/>
            <color indexed="81"/>
            <rFont val="Tahoma"/>
            <family val="2"/>
          </rPr>
          <t>Paul Snider:</t>
        </r>
        <r>
          <rPr>
            <sz val="9"/>
            <color indexed="81"/>
            <rFont val="Tahoma"/>
            <family val="2"/>
          </rPr>
          <t xml:space="preserve">
Demonstrate pre-programmed delays.</t>
        </r>
      </text>
    </comment>
    <comment ref="A53" authorId="8" shapeId="0" xr:uid="{D47FE628-4DD1-4542-B209-9BE7CD7747A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@Phillip Shirkey 
Consider approaching level 2 for the payload as:
The Payload System shall consist of the primary imaging payload, the hosted neutron detector, and the hosted thermoelectric generator payload. (Level 3 will define the requirements for each of these individually).
The imaging payload shall interface to the bus mechanically, electrically and thermally.
The neutron detector shall interface to the bus mechanically, electrically and thermally.
The TEG shall interface to the solar array (I believe) mechanically, electrically and thermally.
(Level 3 will define the mechanical, electrical and thermal requirements for each of these individually).</t>
      </text>
    </comment>
    <comment ref="A54" authorId="9" shapeId="0" xr:uid="{58A2C7DC-51A8-4D2C-9937-79D186FB281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@Colby Johnston Add Payload Size, Weight and Power, and Thermal Range requirements, similar to Bus Requirements.
Reply:
    @Colby Johnston Seeing those requirements now in 3.2.</t>
      </text>
    </comment>
    <comment ref="M56" authorId="6" shapeId="0" xr:uid="{7AE477A3-0FDA-4FBD-863E-1237EAC8F524}">
      <text>
        <r>
          <rPr>
            <b/>
            <sz val="9"/>
            <color indexed="81"/>
            <rFont val="Tahoma"/>
            <family val="2"/>
          </rPr>
          <t>Paul Snider:</t>
        </r>
        <r>
          <rPr>
            <sz val="9"/>
            <color indexed="81"/>
            <rFont val="Tahoma"/>
            <family val="2"/>
          </rPr>
          <t xml:space="preserve">
D</t>
        </r>
      </text>
    </comment>
    <comment ref="M57" authorId="6" shapeId="0" xr:uid="{DC4E19D7-B05A-45B6-816F-89091EDFB6EB}">
      <text>
        <r>
          <rPr>
            <b/>
            <sz val="9"/>
            <color indexed="81"/>
            <rFont val="Tahoma"/>
            <family val="2"/>
          </rPr>
          <t>Paul Snider:</t>
        </r>
        <r>
          <rPr>
            <sz val="9"/>
            <color indexed="81"/>
            <rFont val="Tahoma"/>
            <family val="2"/>
          </rPr>
          <t xml:space="preserve">
T</t>
        </r>
      </text>
    </comment>
    <comment ref="M60" authorId="6" shapeId="0" xr:uid="{D8DD425F-AAC1-456E-B50D-722B61F9B89E}">
      <text>
        <r>
          <rPr>
            <b/>
            <sz val="9"/>
            <color indexed="81"/>
            <rFont val="Tahoma"/>
            <family val="2"/>
          </rPr>
          <t>Paul Snider:</t>
        </r>
        <r>
          <rPr>
            <sz val="9"/>
            <color indexed="81"/>
            <rFont val="Tahoma"/>
            <family val="2"/>
          </rPr>
          <t xml:space="preserve">
A</t>
        </r>
      </text>
    </comment>
    <comment ref="A62" authorId="10" shapeId="0" xr:uid="{6BE1D8E0-097B-47A6-8EB6-060F358B914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@Colby Johnston 
Need Bus weight and power requirements.</t>
      </text>
    </comment>
    <comment ref="M63" authorId="6" shapeId="0" xr:uid="{F3DA8DEE-55D6-40DF-B2ED-1444B27EBB15}">
      <text>
        <r>
          <rPr>
            <b/>
            <sz val="9"/>
            <color indexed="81"/>
            <rFont val="Tahoma"/>
            <family val="2"/>
          </rPr>
          <t>Paul Snider:</t>
        </r>
        <r>
          <rPr>
            <sz val="9"/>
            <color indexed="81"/>
            <rFont val="Tahoma"/>
            <family val="2"/>
          </rPr>
          <t xml:space="preserve">
D</t>
        </r>
      </text>
    </comment>
    <comment ref="M64" authorId="6" shapeId="0" xr:uid="{828413CF-40DF-481C-B705-AD59EB9984B7}">
      <text>
        <r>
          <rPr>
            <b/>
            <sz val="9"/>
            <color indexed="81"/>
            <rFont val="Tahoma"/>
            <family val="2"/>
          </rPr>
          <t>Paul Snider:</t>
        </r>
        <r>
          <rPr>
            <sz val="9"/>
            <color indexed="81"/>
            <rFont val="Tahoma"/>
            <family val="2"/>
          </rPr>
          <t xml:space="preserve">
I</t>
        </r>
      </text>
    </comment>
    <comment ref="M65" authorId="6" shapeId="0" xr:uid="{57121007-29BC-40F2-8EE0-8EBE8504934C}">
      <text>
        <r>
          <rPr>
            <b/>
            <sz val="9"/>
            <color indexed="81"/>
            <rFont val="Tahoma"/>
            <family val="2"/>
          </rPr>
          <t>Paul Snider:</t>
        </r>
        <r>
          <rPr>
            <sz val="9"/>
            <color indexed="81"/>
            <rFont val="Tahoma"/>
            <family val="2"/>
          </rPr>
          <t xml:space="preserve">
I</t>
        </r>
      </text>
    </comment>
    <comment ref="M67" authorId="6" shapeId="0" xr:uid="{3C1FB404-740F-4847-8DF9-4F2FF16E5F2C}">
      <text>
        <r>
          <rPr>
            <b/>
            <sz val="9"/>
            <color indexed="81"/>
            <rFont val="Tahoma"/>
            <family val="2"/>
          </rPr>
          <t>Paul Snider:</t>
        </r>
        <r>
          <rPr>
            <sz val="9"/>
            <color indexed="81"/>
            <rFont val="Tahoma"/>
            <family val="2"/>
          </rPr>
          <t xml:space="preserve">
Analysis and Test</t>
        </r>
      </text>
    </comment>
    <comment ref="M69" authorId="6" shapeId="0" xr:uid="{3547243D-D86C-4C59-BE37-330A250069EB}">
      <text>
        <r>
          <rPr>
            <b/>
            <sz val="9"/>
            <color indexed="81"/>
            <rFont val="Tahoma"/>
            <family val="2"/>
          </rPr>
          <t>Paul Snider:</t>
        </r>
        <r>
          <rPr>
            <sz val="9"/>
            <color indexed="81"/>
            <rFont val="Tahoma"/>
            <family val="2"/>
          </rPr>
          <t xml:space="preserve">
Analysis of fields of view</t>
        </r>
      </text>
    </comment>
    <comment ref="N82" authorId="6" shapeId="0" xr:uid="{683858D4-0088-4FB9-8900-B137359650AF}">
      <text>
        <r>
          <rPr>
            <b/>
            <sz val="9"/>
            <color indexed="81"/>
            <rFont val="Tahoma"/>
            <family val="2"/>
          </rPr>
          <t>Paul Snider:</t>
        </r>
        <r>
          <rPr>
            <sz val="9"/>
            <color indexed="81"/>
            <rFont val="Tahoma"/>
            <family val="2"/>
          </rPr>
          <t xml:space="preserve">
And Analysis of independence too.</t>
        </r>
      </text>
    </comment>
    <comment ref="M84" authorId="6" shapeId="0" xr:uid="{B4C1F15C-E268-4F71-B76B-6A9737CF74A3}">
      <text>
        <r>
          <rPr>
            <b/>
            <sz val="9"/>
            <color indexed="81"/>
            <rFont val="Tahoma"/>
            <family val="2"/>
          </rPr>
          <t>Paul Snider:</t>
        </r>
        <r>
          <rPr>
            <sz val="9"/>
            <color indexed="81"/>
            <rFont val="Tahoma"/>
            <family val="2"/>
          </rPr>
          <t xml:space="preserve">
And Test</t>
        </r>
      </text>
    </comment>
    <comment ref="A88" authorId="11" shapeId="0" xr:uid="{99B9BB02-90A1-4B14-8590-3014C1BCF2E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@Bailey Walke 
Suggest changing this to Ground System Requirements.
Consider a Level 2 requirements such as
The Ground System shall consist of ground station, ground data, ground software and ground support equipment. (Flow each of those down to level 3).
The Ground System shall interface with PHAT-Sat during ground integration and test and on-orbit operations. (Flow down to level 3 to define ground support and mission operations requirements).
The Ground System shall interface with mission data users. (Flow down to level 3 for ground data to define data distribution).</t>
      </text>
    </comment>
    <comment ref="A92" authorId="12" shapeId="0" xr:uid="{434B5721-C819-4BA6-AE89-C1E4F7255AA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@Bailey Walke 
Suggest changing this to Ground System Requirements.
Consider a Level 2 requirements such as
The Ground System shall consist of ground station, ground data, ground software and ground support equipment. (Flow each of those down to level 3).
The Ground System shall interface with PHAT-Sat during ground integration and test and on-orbit operations. (Flow down to level 3 to define ground support and mission operations requirements).
The Ground System shall interface with mission data users. (Flow down to level 3 for ground data to define data distribution).</t>
      </text>
    </comment>
    <comment ref="A116" authorId="13" shapeId="0" xr:uid="{22F80E20-6062-4866-9BD5-A59073297E61}">
      <text>
        <t>[Threaded comment]
Your version of Excel allows you to read this threaded comment; however, any edits to it will get removed if the file is opened in a newer version of Excel. Learn more: https://go.microsoft.com/fwlink/?linkid=870924
Comment:
    @Phillip Shirkey , @Colby Johnston, @Derek Rephlo 
Need level 3 requirements for the neutron detector and TEG. A couple of these are in 2.2.</t>
      </text>
    </comment>
    <comment ref="C125" authorId="5" shapeId="0" xr:uid="{70F9F9AD-3421-4DB2-AE14-6C445CD76A3B}">
      <text>
        <r>
          <rPr>
            <b/>
            <sz val="9"/>
            <color indexed="81"/>
            <rFont val="Tahoma"/>
            <family val="2"/>
          </rPr>
          <t>Colby Johnston:</t>
        </r>
        <r>
          <rPr>
            <sz val="9"/>
            <color indexed="81"/>
            <rFont val="Tahoma"/>
            <family val="2"/>
          </rPr>
          <t xml:space="preserve">
based off NeRDI mission and other articles, I don't think this will be an issue for HDPE</t>
        </r>
      </text>
    </comment>
    <comment ref="A127" authorId="14" shapeId="0" xr:uid="{17FD28B5-640C-487E-92E3-1D1127DC2009}">
      <text>
        <t>[Threaded comment]
Your version of Excel allows you to read this threaded comment; however, any edits to it will get removed if the file is opened in a newer version of Excel. Learn more: https://go.microsoft.com/fwlink/?linkid=870924
Comment:
    @Phillip Shirkey @Drew Sallman @Bailey Walke 
Need requirements for geolocation.
Need requirements for Earth orientation (Nadir/Off-Nadir pointing)
Need requirements for Sun orientation (solar array pointing/sun avoidance).
The radiation and thermal requirements should be at level 2 for the satellite environment requirements, and flow down to levels 4 and 5, components and parts.</t>
      </text>
    </comment>
    <comment ref="A165" authorId="15" shapeId="0" xr:uid="{52A7198D-31A2-44DD-8E6C-0E87F2C1FBA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@Michael Bennett 
Need requirements for solar array power and area.
Need requirements for separation sense to power on after deployment.
Need requirements for battery and solar array arming/shorting plugs.
Need requirements for install and remove before flight electrical items.</t>
      </text>
    </comment>
    <comment ref="A190" authorId="16" shapeId="0" xr:uid="{255C73A3-EE54-47C0-AEF1-3D60E38F985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 Kessinger 
Word structure requirements as shall statements, not will and should statements to enforce verification of the requirements. Will and should statements are goals and not subject to verification.</t>
      </text>
    </comment>
    <comment ref="A202" authorId="17" shapeId="0" xr:uid="{40A2E4DF-B9CE-4158-907B-47316BFE55E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@Derek Rephlo 
Word thermal requirements as shall statements, not will and should statements to enforce verification of the requirements. Will and should statements are goals and not subject to verification.</t>
      </text>
    </comment>
  </commentList>
</comments>
</file>

<file path=xl/sharedStrings.xml><?xml version="1.0" encoding="utf-8"?>
<sst xmlns="http://schemas.openxmlformats.org/spreadsheetml/2006/main" count="6230" uniqueCount="1971">
  <si>
    <t>NUKAT REQUIREMENTS VERIFICATION MATRIX</t>
  </si>
  <si>
    <t>Req. ID</t>
  </si>
  <si>
    <t>Title</t>
  </si>
  <si>
    <t xml:space="preserve">Requirement </t>
  </si>
  <si>
    <t>Rationale</t>
  </si>
  <si>
    <t>Parent Requirement</t>
  </si>
  <si>
    <t>Consequence</t>
  </si>
  <si>
    <t>Probability</t>
  </si>
  <si>
    <t>Risk Score</t>
  </si>
  <si>
    <t>Risk Handling</t>
  </si>
  <si>
    <t>Required Value</t>
  </si>
  <si>
    <t>Expected Value</t>
  </si>
  <si>
    <t>Status</t>
  </si>
  <si>
    <t>Verification Method</t>
  </si>
  <si>
    <t xml:space="preserve">Verification Method Description  </t>
  </si>
  <si>
    <t xml:space="preserve">Approver Initial &amp; Date Verified </t>
  </si>
  <si>
    <t>Comments</t>
  </si>
  <si>
    <t>Memo Link</t>
  </si>
  <si>
    <t>MISSION OBJECTIVES: Qualitative Mission-Level</t>
  </si>
  <si>
    <t>NU-MO-01</t>
  </si>
  <si>
    <t>Design, Build, and Launch a Cube-Sat</t>
  </si>
  <si>
    <t>NuKAT will provide an opportunity for K-State students to successfully design, build, test and launch a CubeSat, from the mission development stage through the launch and mission operations.</t>
  </si>
  <si>
    <t>To further the educational goals of the K-State curriculum, this satellite provides an interdisciplinary design challenge for engineering students. The scope includes everything from mission inception through end of life operations</t>
  </si>
  <si>
    <t>NASA SO 4.1, 4.3</t>
  </si>
  <si>
    <t>N/A</t>
  </si>
  <si>
    <t>D</t>
  </si>
  <si>
    <t>Demonstrate that the built and tested CubeSat is operating as intended within the given mission parameters.</t>
  </si>
  <si>
    <t>NU-MO-02</t>
  </si>
  <si>
    <t>Demonstrate and Space Qualify Neutron Detector</t>
  </si>
  <si>
    <t>NuKAT will use the DSC Domino neutron detector to qualify the package in space</t>
  </si>
  <si>
    <t>The DSC Domino lacks space qualification and therefore flight heritage. There is value added by demonstrating the space useage of the detector</t>
  </si>
  <si>
    <t>NASA SO 3.1</t>
  </si>
  <si>
    <t>Demonstrate that the DSC Domino neutron detector is applicable in a space application through direct usage.</t>
  </si>
  <si>
    <t>NU-MO-03</t>
  </si>
  <si>
    <t>Pathfind for future mission</t>
  </si>
  <si>
    <t>NuKAT will provide a test bed for technologies, components, and operations needed for future missions and reducing risk by their implementation</t>
  </si>
  <si>
    <t xml:space="preserve">To pave the way for future K-State satellites, NuKAT will increase understanding, TRL, and component integration capabilities </t>
  </si>
  <si>
    <t>NASA SO 4.2, PHAT-MO-01, NU-MO-01</t>
  </si>
  <si>
    <t>Demonstrate the depth of acquired knowledge from the NuKAT mission and how future missions will benefit.</t>
  </si>
  <si>
    <t>NU-MO-04</t>
  </si>
  <si>
    <t>STEM Education, Engagement, and Outreach</t>
  </si>
  <si>
    <t xml:space="preserve">NuKAT will provide educational and recruiting value to K-State students in its conception, development, operation, and disposal, and educational value to the general public on CubeSat design and mission cycle.  </t>
  </si>
  <si>
    <t>To further the outreach and educational benefits to the community (local and CubeSat), the program will give presentations or take part in other outreach opportunities to build understanding of educational, science, technology, and other benefits of this program.</t>
  </si>
  <si>
    <t>NASA SO 1.3, NASA SO 4.1, NASA SO 4.3</t>
  </si>
  <si>
    <t>Demonstrate that presentations and outreach programs have been completed and attempt to quantify an increase in public visibility/understanding.</t>
  </si>
  <si>
    <t>NU-MO-05</t>
  </si>
  <si>
    <t>Provide Useful Data</t>
  </si>
  <si>
    <t>NuKAT will provide stakeholders with data that fulfills their needs.</t>
  </si>
  <si>
    <t>To provide benefit to all stakeholders and open the door to future stakeholders, the payload and satellite will provide the needed data (e.g., counts, counts per second, Lat/long information, altitude, temperature, angle off nadir, etc.)</t>
  </si>
  <si>
    <t>NASA SO 1.1, 1.3, 2.3, 3.1</t>
  </si>
  <si>
    <t>A &amp; D</t>
  </si>
  <si>
    <t>Analyze what data the shareholders need and demonstrate that NuKAT is able to provide that data</t>
  </si>
  <si>
    <t>NuKAT LEVEL 1 REQUIREMENTS: Quantitative Mission-Level</t>
  </si>
  <si>
    <t>NU-1.01</t>
  </si>
  <si>
    <t>Neutron Detector Space Qualification</t>
  </si>
  <si>
    <t>The neutron detector shall measure the thermal and fast neutron counts for comparison to accepted orbital readings and longevity qualification.</t>
  </si>
  <si>
    <t>The deliverable for the mission is the space qualification of the detector per "STANDARD or PRECEDENT FOR "QUALIFIED""</t>
  </si>
  <si>
    <t>NU-MO-02, NU-MO-05</t>
  </si>
  <si>
    <t>A - Accept</t>
  </si>
  <si>
    <t>YES</t>
  </si>
  <si>
    <t>T</t>
  </si>
  <si>
    <t>Test the neutron detector to see if it meets the desired standards</t>
  </si>
  <si>
    <t>NU-1.02</t>
  </si>
  <si>
    <t>Satellite Technology Demonstration</t>
  </si>
  <si>
    <t>NuKAT shall demonstrate the effective use of the DSC Domino in space and build flight heritage for the detector</t>
  </si>
  <si>
    <t>The minimum goal for the mission is building the flight heritage of the detector (i.e., performing in space and sending intelligable and expected data down)</t>
  </si>
  <si>
    <t>Demonstrate that the detector performs in space as expected and collects data of adequate quality</t>
  </si>
  <si>
    <t>NU-1.03</t>
  </si>
  <si>
    <t>Operational Integration and Success</t>
  </si>
  <si>
    <t>NuKAT shall have a fully operational mission lifetime with the payload supported and integrated using a satellite bus system and ground station.</t>
  </si>
  <si>
    <t>The satellite must function to support mission life of the payload and bus system components. Their integration with the ground station is also essential</t>
  </si>
  <si>
    <t>NU-MO-1, NU-MO-03, NU-MO-04</t>
  </si>
  <si>
    <t>M - Mitigate</t>
  </si>
  <si>
    <t>Not Compliant</t>
  </si>
  <si>
    <t>Demonstrate that we have an operational satelite bus system along with a ground station, and that satelite supports the mission life</t>
  </si>
  <si>
    <t>NU-1.04</t>
  </si>
  <si>
    <t>Operational Optimization</t>
  </si>
  <si>
    <t>NuKAT shall optimize operational success and efficency in terms of volume, power usage, data accuracy, and data processing in ensuring mission needs are met efficiently</t>
  </si>
  <si>
    <t>Components shall meet the needs of the mission and provide at least the minimum required functionality to sucessfully support and complete it</t>
  </si>
  <si>
    <t>NU-MO-01, NU-MO-03</t>
  </si>
  <si>
    <t>Partial Compliance</t>
  </si>
  <si>
    <t>Test components such that the data type and quality is satifcatory for a successful mission while using the least resources possible.</t>
  </si>
  <si>
    <t>NU-1.05</t>
  </si>
  <si>
    <t>Low Cost Spacecraft</t>
  </si>
  <si>
    <t>NuKAT component choices shall be evaluated for cost in addition to their needed/wanted technical capabilities</t>
  </si>
  <si>
    <t>Components shall meet the needs of the mission and cost-benefit analyses shall be performed for any additional capabilities</t>
  </si>
  <si>
    <t>Compliant</t>
  </si>
  <si>
    <t>A</t>
  </si>
  <si>
    <t>Analyze the cost of each component and perform a cost-benefit analysis</t>
  </si>
  <si>
    <t>NU-1.06</t>
  </si>
  <si>
    <t>Launch Survivability</t>
  </si>
  <si>
    <t xml:space="preserve">All components and systems of NuKAT shall be capable of surviving the conditions present in travel from K-State to the launch provider, while waiting integration, during integration with the launch vehicle, and during launch up until release into its final orbit. </t>
  </si>
  <si>
    <t>The satellite and its components must conform to the needed testing standards to ensure survival during transport from K-State up until release into orbit</t>
  </si>
  <si>
    <t>NU-MO-01, NU-MO-02, SpaceX Rideshare Payload Guide 6.5</t>
  </si>
  <si>
    <t>Test satellite and its components to the standards set to mimic launch environment and ensure that the satellite and system survive undamaged</t>
  </si>
  <si>
    <t>NU-1.07</t>
  </si>
  <si>
    <t>Space Environment Survivability</t>
  </si>
  <si>
    <t>All components and systems of NuKAT shall be capable of surviving the space environment at the selected orbit and altitude.</t>
  </si>
  <si>
    <t>The satellite and its components must be capable of surviving the environmental factors in space (vacuum, outgassing, temperature, radiation, etc.)</t>
  </si>
  <si>
    <t>NU-MO-01, NU-MO-02</t>
  </si>
  <si>
    <t>T &amp; A</t>
  </si>
  <si>
    <t>Analyze all components for Nukat in a simulated environment and test to see if any failures occur</t>
  </si>
  <si>
    <t>NU-1.08</t>
  </si>
  <si>
    <t>Satellite Compliance</t>
  </si>
  <si>
    <t>NuKAT shall be compliant with applicable guidelines from necessary governing bodies.</t>
  </si>
  <si>
    <t>Satellite meets all requirements on things like manufacturing standards, testing standards, data transfer, export control, etc.</t>
  </si>
  <si>
    <t>Demonstrate that satellite and components meet guidelines set by governing organizations.</t>
  </si>
  <si>
    <t>NU-1.09</t>
  </si>
  <si>
    <t>Satellite Guidelines</t>
  </si>
  <si>
    <t>NuKAT should be designed to meet the requirements specified in Caly Poly CubeSat Design Specifications (CP-CDS-R14.1) and University NanoSat Program Satellite Development Guidelines (EXTDOC-315).</t>
  </si>
  <si>
    <t>Majority of successful CubeSat missions follow these guidelines/best practices.  If it aint broke</t>
  </si>
  <si>
    <t>Demonstrate that the design of Nukat meets all specifications</t>
  </si>
  <si>
    <t>NU-1.10</t>
  </si>
  <si>
    <t>Contamination and Hazardous Materials</t>
  </si>
  <si>
    <t>NuKAT systems shall NOT use cadmium parts, cadmium-plated parts, zinc plating, mercury, and/or compoounds containing containing mercury, pure tin or tin electroplate, and silicone rubber or room-temperature-vulcanizing (RTV) silicones with probability or transfer to Co-payload(s) or Launch Vehicle hardware.</t>
  </si>
  <si>
    <t>To remain compliant with Firefly's soliciation and other launch provider prohibitions on hazardous/contaminating materials</t>
  </si>
  <si>
    <t>I &amp; D</t>
  </si>
  <si>
    <t>Inspect all components of Nukat and make sure that no contaminants or hazardous material and demonstrate that there are no contaminants or hazardous materials used in Nukat</t>
  </si>
  <si>
    <t>NuKAT LEVEL 2 REQUIREMENTS: System-Level</t>
  </si>
  <si>
    <t>2.1 Satellite Requirements</t>
  </si>
  <si>
    <t>SYS-2.01a</t>
  </si>
  <si>
    <t>Orbital Parameters</t>
  </si>
  <si>
    <t>NuKAT shall successfully launch into a low earth orbit at an altitude of "x" km and with an LTAN between "x" and "x".</t>
  </si>
  <si>
    <t>This orbit will allow us to gather data for all stakeholders in the region of interest. Furthermore, this orbit allows us sufficient ground station access</t>
  </si>
  <si>
    <t>NU-1.01, NU-1.02</t>
  </si>
  <si>
    <t> </t>
  </si>
  <si>
    <t> Demonstrate that the orbit variables fall into the pre-determined range of orbit parameters</t>
  </si>
  <si>
    <t>SYS-2.01b</t>
  </si>
  <si>
    <t>Deorbit Time</t>
  </si>
  <si>
    <t>NuKAT shall be able to deorbit 5 years after end of science mission.</t>
  </si>
  <si>
    <t>Compliance with industry and NASA guidelines.</t>
  </si>
  <si>
    <t>Analyze the orbit of the satellite and verify that it will be able to de-orbit within the 5 year time frame</t>
  </si>
  <si>
    <t>SYS-2.01c</t>
  </si>
  <si>
    <t>Altitude Range</t>
  </si>
  <si>
    <t>NuKAT shall not have an initial altitude lower than "x" km.</t>
  </si>
  <si>
    <t>Any orbit lower than 475 would make our mission life shorter than 2 years</t>
  </si>
  <si>
    <t> D</t>
  </si>
  <si>
    <t> Demonstrate after launch that Nukat has an initial altitude above 475km</t>
  </si>
  <si>
    <t>SYS-2.01d</t>
  </si>
  <si>
    <t>Orbital Radiation</t>
  </si>
  <si>
    <t>(something in krad)</t>
  </si>
  <si>
    <t>Analyze the construction of all satellite components and systems to ensure that the expectedly high radiation exposure is not an issue going forward.</t>
  </si>
  <si>
    <t>SYS-2.01e</t>
  </si>
  <si>
    <t>Electromagnetic Environment</t>
  </si>
  <si>
    <t>(high MeV proton and electron)</t>
  </si>
  <si>
    <t>Analyze the construction of all satellite components and systems to ensure that the expectedly high MeV electromagnetic exposure is not an issue going forward.</t>
  </si>
  <si>
    <t>SYS-2.02</t>
  </si>
  <si>
    <t>Altitude Trace</t>
  </si>
  <si>
    <t>NuKAT altitude shall be known with ± "x" km</t>
  </si>
  <si>
    <t>Needed for stamped data</t>
  </si>
  <si>
    <t>Test that the altitude trace systems aboard the satellite are working an accurate within the defined altitude parameters.</t>
  </si>
  <si>
    <t>SYS-2.03</t>
  </si>
  <si>
    <t>Location Trace</t>
  </si>
  <si>
    <t xml:space="preserve">NuKAT latitude and longitude shall be known within "x" degree of certainty </t>
  </si>
  <si>
    <t> T</t>
  </si>
  <si>
    <t xml:space="preserve"> Test that the Lat/Long are within the necessary degree of certainty </t>
  </si>
  <si>
    <t>SYS-2.04</t>
  </si>
  <si>
    <t>Time Trace</t>
  </si>
  <si>
    <t>Detector data downlinked by NuKAT shall provide  time and date data.</t>
  </si>
  <si>
    <t> Test that time and data are recieved from Nukat when downlinked</t>
  </si>
  <si>
    <t>SYS-2.05</t>
  </si>
  <si>
    <t>Satellite Orientation Range</t>
  </si>
  <si>
    <t>+/- 20 degrees of margin off Nadir</t>
  </si>
  <si>
    <t xml:space="preserve">Detectors need to be oriented in a certain way to collect accurate counts </t>
  </si>
  <si>
    <t> I</t>
  </si>
  <si>
    <t> Inspect the orientation of detectors and margin of error</t>
  </si>
  <si>
    <t>SYS-2.06</t>
  </si>
  <si>
    <t>Operational Modes</t>
  </si>
  <si>
    <t>NuKAT shall utilize operational modes to optimize power usage and data storage.</t>
  </si>
  <si>
    <t>The satellite will experience high activity periods while downlinking data, then lower activity levels and idle periods.</t>
  </si>
  <si>
    <t>NU-1.03, NU-1.04, NU-1.06</t>
  </si>
  <si>
    <t> Test that the satellite enters its respective modes when perfoming different tasks such as data transfer, idling, etc.</t>
  </si>
  <si>
    <t>SYS-2.07</t>
  </si>
  <si>
    <t>Satellite Passive Magnetic Field</t>
  </si>
  <si>
    <t>The magnetic field of any passive magnets shall be limited to 0.5 Gauss above Earth's magnetic field, outside of NuKAT's static envelope.</t>
  </si>
  <si>
    <t>CDS-2.1.8</t>
  </si>
  <si>
    <r>
      <t>≤</t>
    </r>
    <r>
      <rPr>
        <sz val="11"/>
        <color rgb="FF000000"/>
        <rFont val="Aptos Narrow"/>
        <family val="2"/>
      </rPr>
      <t xml:space="preserve">0.5 Gauss above Earth's magnetic field </t>
    </r>
  </si>
  <si>
    <t xml:space="preserve">"y" Gauss above Earth's magnetic field </t>
  </si>
  <si>
    <t> Demonstrate that the passive magnetic feild is above 0.5 Gauss</t>
  </si>
  <si>
    <t>SYS-2.08</t>
  </si>
  <si>
    <t>Satellite Powered Systems Before Ejection</t>
  </si>
  <si>
    <t>All of NuKAT's powered system shall be at a "POWER OFF" state from the time of delivery to the launch vehicle through on-orbit deployment. Powered-ON battery protection circuitry is allowed per CDS-2.3.6</t>
  </si>
  <si>
    <t>CDS-2.3.1</t>
  </si>
  <si>
    <t>D &amp; A</t>
  </si>
  <si>
    <t> Demonstrate the power off pre-launch state, and test with a vibration test to simulate launch up to deployment.</t>
  </si>
  <si>
    <t>SYS-2.09</t>
  </si>
  <si>
    <t>System Monitoring</t>
  </si>
  <si>
    <t>NuKAT shall monitor all subsystems and payloads to ensure they are nominally operational at all modes of operation.</t>
  </si>
  <si>
    <t>Housekeeping data - infomation used to support the mission itself (SME).</t>
  </si>
  <si>
    <t>NU-1.03, NU-1.01, NU-1.07</t>
  </si>
  <si>
    <t> Demonstrate system monitoring processes functionality before and after launch</t>
  </si>
  <si>
    <t>SYS-2.10</t>
  </si>
  <si>
    <t>Satellite Size and Weight</t>
  </si>
  <si>
    <t>NuKAT shall be 2U in size and not exceed 4kg.</t>
  </si>
  <si>
    <t>Ensure that satellite is cost effective but still able to successfully complete mission objectives.</t>
  </si>
  <si>
    <t>NU-1.03, NU-1.05, NU-1.09, CDS</t>
  </si>
  <si>
    <t>YES, ≤ 4 kg</t>
  </si>
  <si>
    <t>YES, "y" kg</t>
  </si>
  <si>
    <t>I</t>
  </si>
  <si>
    <t> Inspect that the satellite dimensions and weight are within the set mission parameters</t>
  </si>
  <si>
    <t>SYS-2.11</t>
  </si>
  <si>
    <t>Satellite Center of Gravity Range</t>
  </si>
  <si>
    <t>NuKAT shall have a center of gravity within range specified by CP-CDS-R14.1 Table 2.</t>
  </si>
  <si>
    <t>CDS-2.2.11</t>
  </si>
  <si>
    <t> A</t>
  </si>
  <si>
    <t> Analyze Nukat's center of gravity using software (SolidWorks) and verify it is within specified range.</t>
  </si>
  <si>
    <t>SYS-2.12</t>
  </si>
  <si>
    <t>Hardware Cleanliness</t>
  </si>
  <si>
    <t>All flight hardware shall be maintained at the Visibly Clean (VC) level (free from manufacturing residue, dirt, oil, grease, processing debris, or other visible particulate when inspected with the unaided or corrected-vision eye).</t>
  </si>
  <si>
    <t>UNP11-81</t>
  </si>
  <si>
    <t>NU-1.08, NU-1.09</t>
  </si>
  <si>
    <t> Inspect parts visually to verifu that they meet the VC standard of cleanliness.</t>
  </si>
  <si>
    <t>SYS-2.13</t>
  </si>
  <si>
    <t>Facility Cleanliness</t>
  </si>
  <si>
    <t>All facilities used for NuKAT fabrication, testing, and storage must be at a X level cleanliness standard.</t>
  </si>
  <si>
    <t>Industry standard</t>
  </si>
  <si>
    <t> Inspect facilities periodically to ensure that they meet clenliness standards.</t>
  </si>
  <si>
    <t>SYS-2.14</t>
  </si>
  <si>
    <t>System Cost</t>
  </si>
  <si>
    <t>NuKAT shall cost less than  $100,000 USD.</t>
  </si>
  <si>
    <t>Cost effective satellite</t>
  </si>
  <si>
    <t xml:space="preserve">≤$ "100,000" </t>
  </si>
  <si>
    <t>$"y"</t>
  </si>
  <si>
    <t>Demonstrate through part purchase records and other recorded costs that the total satellite cost does not exceed the set budget goal</t>
  </si>
  <si>
    <t>SYS-2.15</t>
  </si>
  <si>
    <t>Mission Lifetime</t>
  </si>
  <si>
    <t>NuKAT shall be fully operational and supporting payload functions for at least 1 year.</t>
  </si>
  <si>
    <t>Determined by mission success criteria</t>
  </si>
  <si>
    <t>NU-1.01, NU-1.02, NU-1.03, NU-1.07</t>
  </si>
  <si>
    <t>&gt;1 year</t>
  </si>
  <si>
    <t>&gt;"y" years</t>
  </si>
  <si>
    <t> D &amp; A</t>
  </si>
  <si>
    <t> Analyze the reliability of the system in a similated environment software package and demonstrate that Nukat is fully operational and able to support payload for as long as success criteria detrmine</t>
  </si>
  <si>
    <t>SYS-2.16</t>
  </si>
  <si>
    <t>Satellite Survivability</t>
  </si>
  <si>
    <t>NuKAT shall be designed to withstand the launch and on-orbit environments of the launch vehicle without failure that results in damage of the launch vehicle and its contents or failure that causes injury to the ground handling crew.</t>
  </si>
  <si>
    <t>UNP11-1</t>
  </si>
  <si>
    <t>NU-1.01, NU-1.03, NU-1.06, NU-1.07, NU-1.09</t>
  </si>
  <si>
    <t>A &amp; T</t>
  </si>
  <si>
    <t> Analyze the satellite frame/components in the simulated launch environment (software) to determine material strengths required and perform vibration test on Satellite and components</t>
  </si>
  <si>
    <t>SYS-2.17</t>
  </si>
  <si>
    <t>Data Interpretation</t>
  </si>
  <si>
    <t>NuKAT's payload readings and locational/time trace readings shall be correctly correlated and packaged for downlinking.</t>
  </si>
  <si>
    <t>Data needs to be time traced and location tagged to be considered useful to stakeholders.</t>
  </si>
  <si>
    <t>Demonstrate correct data packaging by sending a data packet</t>
  </si>
  <si>
    <t>SYS-2.18</t>
  </si>
  <si>
    <t>Data Timeliness</t>
  </si>
  <si>
    <r>
      <t xml:space="preserve">Interpreted data shall be provided to end user within </t>
    </r>
    <r>
      <rPr>
        <sz val="11"/>
        <color rgb="FFFF0000"/>
        <rFont val="Aptos Narrow"/>
        <family val="2"/>
      </rPr>
      <t>'X'</t>
    </r>
    <r>
      <rPr>
        <sz val="11"/>
        <color rgb="FF000000"/>
        <rFont val="Aptos Narrow"/>
        <family val="2"/>
      </rPr>
      <t xml:space="preserve"> hours.</t>
    </r>
  </si>
  <si>
    <t>The overall system is able to downlink and interpret data that is useful to the stakeholders and distribute it within a certain time.</t>
  </si>
  <si>
    <t>&lt; "x" years</t>
  </si>
  <si>
    <t xml:space="preserve"> "y" years</t>
  </si>
  <si>
    <t>Demonstrate that the communication system can downlink and interpret/display data to an end user within the required time frame</t>
  </si>
  <si>
    <t>SYS-2.19</t>
  </si>
  <si>
    <t>Orbital Debris</t>
  </si>
  <si>
    <t>NuKAT mission design, including orbital parameters, shall be in accordance with NPR 8715.6 to limit orbital debris.</t>
  </si>
  <si>
    <t>CDS-2.4.3</t>
  </si>
  <si>
    <t> Analyse mission design and compare design to NPR 8715.6</t>
  </si>
  <si>
    <t>SYS-2.20</t>
  </si>
  <si>
    <t>Satellite and Component Ventilation</t>
  </si>
  <si>
    <t>NuKAT volume and internal components shall be freely vented volumes to survive ascent de-pressurization environments (i.e., components with a vent-able volume to area of vent openings ratio of less than 2000 inches).</t>
  </si>
  <si>
    <t>UNP11-5, CDS-2.1.9</t>
  </si>
  <si>
    <t>NU-1.03, NU-1.09</t>
  </si>
  <si>
    <t>Analyze the ventable ratio to confirm it is &lt; 2000 and test that components survive ascent depressurization using a vacuum chamber.</t>
  </si>
  <si>
    <t>SYS-2.21</t>
  </si>
  <si>
    <t>Ventilation FOS</t>
  </si>
  <si>
    <t>Venting analysis shall demonstrate a factor of safety of 2.0.</t>
  </si>
  <si>
    <t>UNP11-6</t>
  </si>
  <si>
    <t xml:space="preserve"> "x" &lt; FOS</t>
  </si>
  <si>
    <t xml:space="preserve"> "y" </t>
  </si>
  <si>
    <t> Analyze the venting capability of the satellite to ensure a factor of safety 2.0</t>
  </si>
  <si>
    <t>SYS-2.22</t>
  </si>
  <si>
    <t>Facility Cleanliness Specification</t>
  </si>
  <si>
    <t>The flight hardware shall be maintained in a class 100,000 level or better facility as defined in FED-STD-209E.</t>
  </si>
  <si>
    <t>UNP11-80</t>
  </si>
  <si>
    <t> Demonstrate that the facility maintaining system components is at a cleanliness calss 100,000 level or better.</t>
  </si>
  <si>
    <t>SYS-2.23</t>
  </si>
  <si>
    <t>Operational Delays</t>
  </si>
  <si>
    <t>NuKAT should be designed for variable delays after separation from the launch vehicle of the following: start of Radio Frequency (RF) transmission, active deployable actuation, attitude maneuvers, and orbital maneuvers.</t>
  </si>
  <si>
    <t>UNP11-82</t>
  </si>
  <si>
    <t> Demonstrate pre-programmed delays.</t>
  </si>
  <si>
    <t>SYS-2.24</t>
  </si>
  <si>
    <t>Launch Vehicle Compliance</t>
  </si>
  <si>
    <t>NuKAT System shall be compliant with selected launch provider dispenser system and regiulations</t>
  </si>
  <si>
    <t>Demonstrate the PHAT-Sat System shall be compliant with selected launch provider dispenser system and regiulations</t>
  </si>
  <si>
    <t>2.2 Payload Requirements</t>
  </si>
  <si>
    <t>PL-2.01</t>
  </si>
  <si>
    <t>Payload System Scope</t>
  </si>
  <si>
    <t>The Payload System shall consist of at least one neutron detector.</t>
  </si>
  <si>
    <t xml:space="preserve">This is the definition of our payload scope. </t>
  </si>
  <si>
    <t>NU-1.01, NU-1.02, NU-1.03, NU-1.05</t>
  </si>
  <si>
    <t>YES/NO</t>
  </si>
  <si>
    <t>Demonstrate that a neutron detector is present in the system.</t>
  </si>
  <si>
    <t>PL-2.02</t>
  </si>
  <si>
    <t>Neutron Detector Interface</t>
  </si>
  <si>
    <t>PL shall interface to the bus mechanically, electrically and thermally.</t>
  </si>
  <si>
    <t>This hosted payload must fit within the SWaP allocation not used by bus/imager.</t>
  </si>
  <si>
    <t xml:space="preserve">Demonstrate that PL is interfaced to the bus correctly </t>
  </si>
  <si>
    <t>PL-2.03</t>
  </si>
  <si>
    <t>Neutron Energy Bins</t>
  </si>
  <si>
    <t>Neutron detector moderation shall shift detection bins into thermal (0 - 1 eV), epithermal (1 - 500 eV), fast (500 eV+)</t>
  </si>
  <si>
    <t>The moderator will allow us to bin energies in each detector to obtain a certain separation in detected neutron energies</t>
  </si>
  <si>
    <t>NU-MO-05, NU-1.01, NU-1.02</t>
  </si>
  <si>
    <t>Demonstrate that the neutron detector can separate different energy ranges of detected neutrons</t>
  </si>
  <si>
    <t>PL-2.04</t>
  </si>
  <si>
    <t xml:space="preserve">Detector Efficiency </t>
  </si>
  <si>
    <t xml:space="preserve">Neutron detector shall have peak detection efficiencies at 0.025 eV, 0.1 MeV, and 18 MeV </t>
  </si>
  <si>
    <t>The shifted spectrums from the moderator will allow relative detection efficiencies at the energies we are interested in, possessing a certain efficiency that can be used to back out neutronic properties at the location (i.e., flux, dose, etc.)</t>
  </si>
  <si>
    <t>NU-1.01, PL-2.03</t>
  </si>
  <si>
    <t>Test the efficiencies of neturon detection and confirm that at "x, y, z, w, etc." attain at least  "x, y, z, and w" % efficiency</t>
  </si>
  <si>
    <t>PL-2.05</t>
  </si>
  <si>
    <t>Detector Orientation</t>
  </si>
  <si>
    <t>Neutron detecor shall have the MSNDs side of the DSC-Domino within 20-degrees of nadir while pointing in orbit and while primarly focusing on counting (e.g., not in a survival charging mode)</t>
  </si>
  <si>
    <t>While in orbit, allowing for emergency exceptions (i.e., energy depletion), the detector must remain close to perpendicular to nadir for accurate fast counts</t>
  </si>
  <si>
    <t>NU-1.01, NU-1.03</t>
  </si>
  <si>
    <t>&lt; 20-degrees</t>
  </si>
  <si>
    <t>Analyze the desired orbit orientation of the satellite and confirm that, along with mounting orientation, the detector face remains perpendicular to nadir for the measurements required.</t>
  </si>
  <si>
    <t>PL-2.06</t>
  </si>
  <si>
    <t>Detector Mounting</t>
  </si>
  <si>
    <t>Neutron detector shall be mounted with the MSNDs facing parallel to the Nadir datum face within 5-degrees.</t>
  </si>
  <si>
    <t>In assembling/modeling the satellite package, the detector will be mounted perpendicular to nadir (or parallel to the nadir datum face)</t>
  </si>
  <si>
    <t>&lt; 5-degrees</t>
  </si>
  <si>
    <t>Inspect the detector mounts and ensure that the detector face is oriented correctly</t>
  </si>
  <si>
    <t>PL-2.07</t>
  </si>
  <si>
    <t>PL shall operate for at least 3 months with full success at 1 year.</t>
  </si>
  <si>
    <t>PL mission life is determined by stakeholder needs.</t>
  </si>
  <si>
    <t>≥ 3 months</t>
  </si>
  <si>
    <t>≥ 1 year</t>
  </si>
  <si>
    <t>Analyze the lifetime of components subjected to conditions in space in a simulated environment and confirm operation of "x" years</t>
  </si>
  <si>
    <t>PL-2.08</t>
  </si>
  <si>
    <t>Detector Moderator</t>
  </si>
  <si>
    <t>HDPE shall be used as the neutron moderator</t>
  </si>
  <si>
    <t>To produce the desired detector effieciency energy ranges, a neutron moderator must be used</t>
  </si>
  <si>
    <t>NU-1.01, NU-1.03, NU-1.04</t>
  </si>
  <si>
    <t>Demonstrate that the neutron moderator is present and functioning as intended.</t>
  </si>
  <si>
    <t>2.3 Bus Requirements</t>
  </si>
  <si>
    <t>BUS-2.01</t>
  </si>
  <si>
    <t>Bus System Purpose</t>
  </si>
  <si>
    <t>NuKAT bus systems shall support payload needs, and integrate payload systems and bus subsystems.</t>
  </si>
  <si>
    <t xml:space="preserve">The bus must possess the capabilities needed to enable effective mission execution without infringing on other systems. </t>
  </si>
  <si>
    <t>NU-1.01, NU-1.02, NU-1.03</t>
  </si>
  <si>
    <t> Demonstrate that the NuKAT satellite bus supports all payload needs and mission directive</t>
  </si>
  <si>
    <t>BUS-2.02</t>
  </si>
  <si>
    <t>Bus System Size</t>
  </si>
  <si>
    <t>BUS subsystems shall take up no more than 1U of the satellite.</t>
  </si>
  <si>
    <t>Overall SWAP requirements</t>
  </si>
  <si>
    <t>≤ "1" U</t>
  </si>
  <si>
    <t xml:space="preserve"> "y" U</t>
  </si>
  <si>
    <t> Inspect the electronic bus systems of the satellite and verify they occupy less than "x" U of the satellite's total size.</t>
  </si>
  <si>
    <t>BUS-2.03</t>
  </si>
  <si>
    <t>Bus System Weight</t>
  </si>
  <si>
    <r>
      <t xml:space="preserve">BUS must weigh less than </t>
    </r>
    <r>
      <rPr>
        <sz val="11"/>
        <color rgb="FFFF0000"/>
        <rFont val="Aptos Narrow"/>
        <family val="2"/>
      </rPr>
      <t>"x"</t>
    </r>
    <r>
      <rPr>
        <sz val="11"/>
        <color rgb="FF000000"/>
        <rFont val="Aptos Narrow"/>
        <family val="2"/>
      </rPr>
      <t xml:space="preserve"> kg.</t>
    </r>
  </si>
  <si>
    <t>≤ "x" kg</t>
  </si>
  <si>
    <t xml:space="preserve"> "y" kg</t>
  </si>
  <si>
    <t> Inspect and confirm that the weight of the bus is no greater than "x" kg on a  scale</t>
  </si>
  <si>
    <t>BUS-2.04</t>
  </si>
  <si>
    <t>Bus System Power</t>
  </si>
  <si>
    <r>
      <t xml:space="preserve">BUS must provide </t>
    </r>
    <r>
      <rPr>
        <sz val="11"/>
        <color rgb="FFFF0000"/>
        <rFont val="Aptos Narrow"/>
        <family val="2"/>
      </rPr>
      <t>"x"</t>
    </r>
    <r>
      <rPr>
        <sz val="11"/>
        <color rgb="FF000000"/>
        <rFont val="Aptos Narrow"/>
        <family val="2"/>
      </rPr>
      <t xml:space="preserve"> W of power.</t>
    </r>
  </si>
  <si>
    <t>≤ "x" W</t>
  </si>
  <si>
    <t xml:space="preserve"> "y" W</t>
  </si>
  <si>
    <t>Analyze bus system in simulation to verify that the bus system onboard the satellite can supply the required power and test using a power meter.</t>
  </si>
  <si>
    <t>BUS-2.05</t>
  </si>
  <si>
    <t>Bus System Thermal Range</t>
  </si>
  <si>
    <r>
      <t>BUS must be able to operate between</t>
    </r>
    <r>
      <rPr>
        <sz val="11"/>
        <color rgb="FFFF0000"/>
        <rFont val="Aptos Narrow"/>
        <family val="2"/>
      </rPr>
      <t xml:space="preserve"> "x"</t>
    </r>
    <r>
      <rPr>
        <sz val="11"/>
        <color rgb="FF000000"/>
        <rFont val="Aptos Narrow"/>
        <family val="2"/>
      </rPr>
      <t xml:space="preserve"> and </t>
    </r>
    <r>
      <rPr>
        <sz val="11"/>
        <color rgb="FFFF0000"/>
        <rFont val="Aptos Narrow"/>
        <family val="2"/>
      </rPr>
      <t>"y"</t>
    </r>
    <r>
      <rPr>
        <sz val="11"/>
        <color rgb="FF000000"/>
        <rFont val="Aptos Narrow"/>
        <family val="2"/>
      </rPr>
      <t xml:space="preserve"> degrees Celsius.</t>
    </r>
  </si>
  <si>
    <t>Overall temperature range, components can be stricter but not looser</t>
  </si>
  <si>
    <t> Analyze bus and components to confirm they are able operate between "x" and "y" degrees celsius, and test the system to verify.</t>
  </si>
  <si>
    <t>BUS-2.06</t>
  </si>
  <si>
    <t>Bus System Radiation Hardness</t>
  </si>
  <si>
    <r>
      <t>BUS must be able to endure</t>
    </r>
    <r>
      <rPr>
        <sz val="11"/>
        <color rgb="FFFF0000"/>
        <rFont val="Aptos Narrow"/>
        <family val="2"/>
      </rPr>
      <t xml:space="preserve"> "x"</t>
    </r>
    <r>
      <rPr>
        <sz val="11"/>
        <color rgb="FF000000"/>
        <rFont val="Aptos Narrow"/>
        <family val="2"/>
      </rPr>
      <t xml:space="preserve"> krad of radiation over the mission lifetime.</t>
    </r>
  </si>
  <si>
    <t>Overall radiation exposure, components can be stricter but not looser</t>
  </si>
  <si>
    <t>NU-1.03, NU-1.07</t>
  </si>
  <si>
    <t>Analyze the materials chosen using a simulated software environment to determine the bus can withstand the required radiation dose for mission life.</t>
  </si>
  <si>
    <t>BUS-2.07</t>
  </si>
  <si>
    <t>Bus System Hosting</t>
  </si>
  <si>
    <t>BUS subsystems shall not obfuscate payload systems or bus subsystems.</t>
  </si>
  <si>
    <t>The bus must not block or otherwise hinder the measurements and operation of any instruments, sensors, or systems.</t>
  </si>
  <si>
    <t xml:space="preserve"> Analyze field of view of sensors and verify that bus housing does not obstruct sensor </t>
  </si>
  <si>
    <t>BUS-2.08</t>
  </si>
  <si>
    <t>Bus Subsystems</t>
  </si>
  <si>
    <t>BUS shall consist of the following subsystems: Attitude Determination and Control (ADCS), Communication and Data Handling (C&amp;DH), Electrical Power Distribution (EPD), Flight Software (FSW), Structure, and Thermal.</t>
  </si>
  <si>
    <t>These systems are critical to maintaining operations in space.</t>
  </si>
  <si>
    <t>Demonstrate that the ADCS, C&amp;DH, EPD, and FSW subsystems are present and functioning as intended.</t>
  </si>
  <si>
    <t>BUS-2.09</t>
  </si>
  <si>
    <t>Bus-Payload Integration</t>
  </si>
  <si>
    <r>
      <t>BUS shall provide data handling, ground communication (</t>
    </r>
    <r>
      <rPr>
        <sz val="11"/>
        <color rgb="FFFF0000"/>
        <rFont val="Aptos Narrow"/>
        <family val="2"/>
      </rPr>
      <t xml:space="preserve">"x" </t>
    </r>
    <r>
      <rPr>
        <sz val="11"/>
        <color rgb="FF000000"/>
        <rFont val="Aptos Narrow"/>
        <family val="2"/>
      </rPr>
      <t>kbps), attitude control, structure, and flight software to support payload needs.</t>
    </r>
  </si>
  <si>
    <t>The payload and bus subsystems require specific capabilities from the satellite bus.</t>
  </si>
  <si>
    <t>NU-1.01, NU-1.02, NU-1.03, BUS-2.01</t>
  </si>
  <si>
    <t> Demonstrate that the BUS can provide all of the necessary capabilities</t>
  </si>
  <si>
    <t>BUS-2.10</t>
  </si>
  <si>
    <t>Bus Preparation</t>
  </si>
  <si>
    <t>BUS shall have means of testing, preparing, and protecting the satellite, it's systems, and it's components up until launch.</t>
  </si>
  <si>
    <t>The bus must handle pre-flight testing, charging, system safety, and other preparation leading up to launch</t>
  </si>
  <si>
    <t> Demonstrate that the sattelite bus has survived all pre-flight tesing and preparations.</t>
  </si>
  <si>
    <t>BUS-2.11</t>
  </si>
  <si>
    <t>Space-Rated Components</t>
  </si>
  <si>
    <r>
      <t>BUS shall consist of components rated for space environments and proven to be space worthy for at least</t>
    </r>
    <r>
      <rPr>
        <sz val="11"/>
        <color rgb="FFFF0000"/>
        <rFont val="Aptos Narrow"/>
        <family val="2"/>
      </rPr>
      <t xml:space="preserve"> "X"</t>
    </r>
    <r>
      <rPr>
        <sz val="11"/>
        <color rgb="FF000000"/>
        <rFont val="Aptos Narrow"/>
        <family val="2"/>
      </rPr>
      <t xml:space="preserve"> months.</t>
    </r>
  </si>
  <si>
    <t>This is not in satellite level because technically the neutron detector isn't space rated yet, but everything else (bus) should be. "X" defined as Mission Life * FOS</t>
  </si>
  <si>
    <t>NU-1.03, NU-1.08</t>
  </si>
  <si>
    <t>≤ "x" months</t>
  </si>
  <si>
    <t xml:space="preserve"> "y" months</t>
  </si>
  <si>
    <t> Demonstrate that all components are rated for space environments and analyze how long components are space worthy for</t>
  </si>
  <si>
    <t>BUS-2.13</t>
  </si>
  <si>
    <t>Satellite Communication</t>
  </si>
  <si>
    <t>BUS shall be able to communicate with the ground station. Communciation includes recieving uplinked commands and downlinking relevant science data and health beacons.</t>
  </si>
  <si>
    <t>The bus must be able to uplink/downlink with ground station.</t>
  </si>
  <si>
    <t>Demonstrate that the system communicatino bus is able to connect to a ground station and downlink/uplink data packets.</t>
  </si>
  <si>
    <t>BUS-2.14</t>
  </si>
  <si>
    <t>Missed Pass Storage/Downlink</t>
  </si>
  <si>
    <r>
      <t>BUS shall be capable of storing and downlinking data for up to</t>
    </r>
    <r>
      <rPr>
        <sz val="11"/>
        <color rgb="FFFF0000"/>
        <rFont val="Aptos Narrow"/>
        <family val="2"/>
      </rPr>
      <t xml:space="preserve"> "X" </t>
    </r>
    <r>
      <rPr>
        <sz val="11"/>
        <color rgb="FF000000"/>
        <rFont val="Aptos Narrow"/>
        <family val="2"/>
      </rPr>
      <t>missed passes for redundancy.</t>
    </r>
  </si>
  <si>
    <t>Data reduncdacy, "X" driven by CoNops, Link budget, stakeholders</t>
  </si>
  <si>
    <t>≤ "x" GS passes</t>
  </si>
  <si>
    <t>"y" GS passes</t>
  </si>
  <si>
    <t> T &amp; D</t>
  </si>
  <si>
    <t> Test how many missed pass data sets can be stored and demonstrate that this number meets or exceeds the required amount</t>
  </si>
  <si>
    <t>BUS-2.15</t>
  </si>
  <si>
    <t>Deployable/Dispenser Independence</t>
  </si>
  <si>
    <t>Deployables shall be constrained by the CubeSat, not the dispenser.</t>
  </si>
  <si>
    <t>CDS-2.2.4, Requirement of most launch providers.</t>
  </si>
  <si>
    <t>Demonstrate that any deployable devices are contained/controlled by the satellite itself and are not dependent upon an external container.</t>
  </si>
  <si>
    <t>BUS-2.16</t>
  </si>
  <si>
    <t>Deployable Inhibitors</t>
  </si>
  <si>
    <t>NuKAT shall have at least three independent inhibits to prohibit the inadvertent release of any deployable structures.</t>
  </si>
  <si>
    <t>CDS-2.3.8, Redundacy/risk reduction</t>
  </si>
  <si>
    <t>D &amp; I</t>
  </si>
  <si>
    <t xml:space="preserve"> Demonstarte that there are at least three inhibits and inspect that all three inhibits are functioning as desired before launch </t>
  </si>
  <si>
    <t>BUS-2.17</t>
  </si>
  <si>
    <t>Deployable Before Ejection</t>
  </si>
  <si>
    <t>All parts shall remain attached to NuKAT during launch, ejection, and operation.</t>
  </si>
  <si>
    <t>CDS-2.1.1, Requirement of most launch providers.</t>
  </si>
  <si>
    <t xml:space="preserve">Demonstrate that all deployable components are still attatched and retained to the satellite before intended deployment. </t>
  </si>
  <si>
    <t>BUS-2.18</t>
  </si>
  <si>
    <t>RF Transmission Inhibitors</t>
  </si>
  <si>
    <t>NuKAT shall have at least three independent RF inhibits to prohibit inadvertent RF transmission.</t>
  </si>
  <si>
    <t>CDS-2.3.7, Redundacy/risk reduction</t>
  </si>
  <si>
    <t>Test the transmission inhibitors with a variety of attempted transmissions to ensure that they block RF signals being sent before it is convenient/safe to do so.</t>
  </si>
  <si>
    <t>BUS-2.19</t>
  </si>
  <si>
    <t>Deployables After Ejection</t>
  </si>
  <si>
    <t>All deployables shall wait to deploy a minimum of 30 minutes after NuKAT's deployment switch(es) are activated during dispenser ejection.</t>
  </si>
  <si>
    <t>CDS-2.4.4, Requirement of most launch providers.</t>
  </si>
  <si>
    <t>Test that, after artificially tripping the satellites displenser ejection switches are tripped, the satellite waits at least 30 minutes to trigger deployables.</t>
  </si>
  <si>
    <t>BUS-2.20</t>
  </si>
  <si>
    <t>Signal Transmission After Ejection</t>
  </si>
  <si>
    <t>NuKAT shall not generate or transmit a signal earlier than 45 minutes after on-orbit deployment.</t>
  </si>
  <si>
    <t>CDS-2.4.5, Requirement of most launch providers. **Not including power. Can be powered immediately after dispensing</t>
  </si>
  <si>
    <t> Test NuKAT systems to ensure that signals will not be sent or transmitted before we desire them to do so</t>
  </si>
  <si>
    <t>BUS-2.21</t>
  </si>
  <si>
    <t>Inhibit Independence</t>
  </si>
  <si>
    <t>All designed inhibits shall be independent.</t>
  </si>
  <si>
    <t>UNP11-45</t>
  </si>
  <si>
    <t>Analyze bus inhibits to determine that none of the designed system inhibits affect one another and in any way and test with artificual scenarios.</t>
  </si>
  <si>
    <t>BUS-2.22</t>
  </si>
  <si>
    <t>Acceleration Loading</t>
  </si>
  <si>
    <t>The CubeSat shall be designed for quasi-static loading of 30g acceleration applied independently in each primary axis.</t>
  </si>
  <si>
    <t>UNP-11-3</t>
  </si>
  <si>
    <r>
      <t>≥</t>
    </r>
    <r>
      <rPr>
        <sz val="11"/>
        <color rgb="FF000000"/>
        <rFont val="Aptos Narrow"/>
        <family val="2"/>
      </rPr>
      <t>30g</t>
    </r>
  </si>
  <si>
    <t xml:space="preserve">"y" g </t>
  </si>
  <si>
    <t> T &amp; A</t>
  </si>
  <si>
    <t> Test that loading occurs independently for each axis and is capable of handling 30g acceleration</t>
  </si>
  <si>
    <t>BUS-2.23</t>
  </si>
  <si>
    <t>Shock Loading</t>
  </si>
  <si>
    <t>The CubeSat should be designed to withstand the launch vehicle vibroacoustic environment of 15 GRMS for one minute in each axis.</t>
  </si>
  <si>
    <t>UNP11-4</t>
  </si>
  <si>
    <t>≥15GMRS</t>
  </si>
  <si>
    <t>"y" GRMS</t>
  </si>
  <si>
    <t>Analyze the satellite frame and components in a simulated environment (FEA, MatLab, etc) to determine the satellite can withstand G-force loadings and then test to confirm.</t>
  </si>
  <si>
    <t>2.4 Ground Station Requirements</t>
  </si>
  <si>
    <t>GS-2.01</t>
  </si>
  <si>
    <t>Ground Station Communication</t>
  </si>
  <si>
    <t>Ground station shall be able to communicate with a NuKAT. NuKAT shall operate between (420-450 MHz) range which falls under the UHF band requirement.</t>
  </si>
  <si>
    <t>The ground system must be able to uplink and downlink with NuKAT.</t>
  </si>
  <si>
    <t>420-450 MHz</t>
  </si>
  <si>
    <t>430-440 MHz</t>
  </si>
  <si>
    <t>Demonstrate that the ground station is able to communicate with a NuKAT</t>
  </si>
  <si>
    <t>GS-2.02</t>
  </si>
  <si>
    <t>Tracking</t>
  </si>
  <si>
    <t>NuKAT shall be tracked by the ground station within a 1-5% pointing accuracy.</t>
  </si>
  <si>
    <t>The ground system must be able to track NuKAT in orbit.</t>
  </si>
  <si>
    <t>Demonstrate that the poisition of the satellite can be tracked with a  sufficient degree of accuracy.</t>
  </si>
  <si>
    <t>GS-2.03</t>
  </si>
  <si>
    <t>Mission Data</t>
  </si>
  <si>
    <t>NuKAT shall interface with mission data users.</t>
  </si>
  <si>
    <t>NU-1.02, NU-1.03</t>
  </si>
  <si>
    <t>Demonstrate that NuKAT can inteface with mission data users</t>
  </si>
  <si>
    <t>2.5 Ground Support Equipment Requirements</t>
  </si>
  <si>
    <t>GSE-2.01</t>
  </si>
  <si>
    <t>Testing</t>
  </si>
  <si>
    <t>Ground support equipment will be able to accurately test the power, communication, thermal, and mechanical capabilities of the satellite</t>
  </si>
  <si>
    <t>Testing is crucial to determining the launch readiness and capabilities of NuKAT</t>
  </si>
  <si>
    <t>NU-1.06, NU-1.07</t>
  </si>
  <si>
    <t xml:space="preserve">Test that all tesing equipment for GSE is able to test the satellite to the required level necessary for all systems to be considered fully verified. </t>
  </si>
  <si>
    <t>NUKAT LEVEL 3 REQUIREMENTS: Subsystem-Level</t>
  </si>
  <si>
    <t>3.1 Satellite Requirements</t>
  </si>
  <si>
    <t>SYS-3.01</t>
  </si>
  <si>
    <t>ADCS-STR Integration</t>
  </si>
  <si>
    <t>ADCS system hardware shall securely attach to the NuKAT structure and occupy "x"U of space.</t>
  </si>
  <si>
    <t xml:space="preserve">It has to be compatable with NuKAT structure, and the smaller it can be, the better for accomodating other systems and the payload(s). </t>
  </si>
  <si>
    <t>BUS-2.01, BUS-2.02, BUS-2.03</t>
  </si>
  <si>
    <t>Analyze the space available in NuKAT structure and how small we can make ADCS system hardware and hardware attachments. Demonstrate that all ADCS system hardware fits wthin the specified amount of space</t>
  </si>
  <si>
    <t>SYS-3.02</t>
  </si>
  <si>
    <t>ADCS-CDH Integration</t>
  </si>
  <si>
    <t xml:space="preserve">ADCS shall provide information on NuKAT attitude and adjustments for transmittal, as requested.  </t>
  </si>
  <si>
    <t>In order to understand NuKAT positioning and assess any issues, the ADCS must interface with Comms to relay positioning data. (This assumes ADCS has software to interpret posisitoning on it's own, otherwise this section will with FSW instead of Comms)</t>
  </si>
  <si>
    <t>Test that the Attitude Determination and Control System can interface with the C&amp;DH subsystems to effectively transmit orientation data to the ground station.</t>
  </si>
  <si>
    <t>SYS-3.03</t>
  </si>
  <si>
    <t>C&amp;DH-FSW Integration</t>
  </si>
  <si>
    <t>C&amp;DH shall collect and transmit needed telemetry data and relay necessary software updates/changes to the FSW system.</t>
  </si>
  <si>
    <t xml:space="preserve">In order to retrieve important status and positioning data, the comms must be compatable with the FSW and provide information as requested/predetermined. </t>
  </si>
  <si>
    <t xml:space="preserve">Test the C&amp;DH and make sure it transmits all neccesary data to the FSW </t>
  </si>
  <si>
    <t>SYS-3.04</t>
  </si>
  <si>
    <t>C&amp;DH-Payload Integration</t>
  </si>
  <si>
    <t>C&amp;DH shall collect and transmit the payload data with added position &amp; time.</t>
  </si>
  <si>
    <t>The data from the payload is essential for the success of the mission and must be transmitted.</t>
  </si>
  <si>
    <t>Test that the C&amp;DH system can transmit data collected by payload sensors can be effectively transmitted to ground station</t>
  </si>
  <si>
    <t>SYS-3.05</t>
  </si>
  <si>
    <t>C&amp;DH-Structure Integration</t>
  </si>
  <si>
    <t>C&amp;DH system infrastructure shall securely attach to the NuKAT structure and occupy "x"U of space.</t>
  </si>
  <si>
    <t xml:space="preserve">It has to be compatable with the NuKAT structure, and the smaller it can be, the better for accomodating other systems and the payload(s). </t>
  </si>
  <si>
    <t>Analyze the space available in NuKAT structure and how small we can make C&amp;DH system infrastructure. Demonstrate that C&amp;DH infrastructure fits within the specfied amount of space.</t>
  </si>
  <si>
    <t>SYS-3.06</t>
  </si>
  <si>
    <t>C&amp;DH-Ground Station Compliance</t>
  </si>
  <si>
    <r>
      <t xml:space="preserve">C&amp;DH shall conform to the </t>
    </r>
    <r>
      <rPr>
        <sz val="11"/>
        <color rgb="FFFF0000"/>
        <rFont val="Aptos Narrow"/>
        <family val="2"/>
        <scheme val="minor"/>
      </rPr>
      <t>TBD</t>
    </r>
    <r>
      <rPr>
        <sz val="11"/>
        <color theme="1"/>
        <rFont val="Aptos Narrow"/>
        <family val="2"/>
        <scheme val="minor"/>
      </rPr>
      <t xml:space="preserve"> ground station infrastructure requirements.</t>
    </r>
  </si>
  <si>
    <t>The method of data transfer must be compatable with the method of data retrieval</t>
  </si>
  <si>
    <t>Demonstrate that the transmitted data from the satellite is of the format/type compatible with ground station receivers and hardware.</t>
  </si>
  <si>
    <t>SYS-3.07</t>
  </si>
  <si>
    <t>Comms-Ground Software Integration</t>
  </si>
  <si>
    <r>
      <t xml:space="preserve">C&amp;DH shall export data in </t>
    </r>
    <r>
      <rPr>
        <sz val="11"/>
        <color rgb="FFFF0000"/>
        <rFont val="Aptos Narrow"/>
        <family val="2"/>
        <scheme val="minor"/>
      </rPr>
      <t>TBD</t>
    </r>
    <r>
      <rPr>
        <sz val="11"/>
        <color theme="1"/>
        <rFont val="Aptos Narrow"/>
        <family val="2"/>
        <scheme val="minor"/>
      </rPr>
      <t xml:space="preserve">  format to the ground software via the ground station.</t>
    </r>
  </si>
  <si>
    <t>The data transferred must be of a consistent format for all requested information (payload and  bus subsystem data)</t>
  </si>
  <si>
    <t>Test the C&amp;DH to see if it exports data in the correct format to the ground software</t>
  </si>
  <si>
    <t>SYS-3.08</t>
  </si>
  <si>
    <t>EPD-Payload Integration</t>
  </si>
  <si>
    <t>EPD shall connect to the payload systems and provide at least 0.25 W of power for operating and dormant conditions, respectively.</t>
  </si>
  <si>
    <t>The payload needs power and must have its needs met</t>
  </si>
  <si>
    <t>BUS-2.01, BUS 2.05</t>
  </si>
  <si>
    <t>Test that EPD can deliver the power required by payload for a range of dormant to active conditions.</t>
  </si>
  <si>
    <t>SYS-3.09</t>
  </si>
  <si>
    <t>EPD-ADCS Integration</t>
  </si>
  <si>
    <r>
      <t xml:space="preserve">EPD shall connect to the ADCS systems and provide at least </t>
    </r>
    <r>
      <rPr>
        <sz val="11"/>
        <color rgb="FFFF0000"/>
        <rFont val="Aptos Narrow"/>
        <family val="2"/>
        <scheme val="minor"/>
      </rPr>
      <t>TBD</t>
    </r>
    <r>
      <rPr>
        <sz val="11"/>
        <color theme="1"/>
        <rFont val="Aptos Narrow"/>
        <family val="2"/>
        <scheme val="minor"/>
      </rPr>
      <t xml:space="preserve"> W of power.</t>
    </r>
  </si>
  <si>
    <t>The ACDS system needs power and must have its needs met</t>
  </si>
  <si>
    <t>T &amp; D</t>
  </si>
  <si>
    <t>Test the EPD to make sure it can provide enough power to the ADCS and then demonstrate that EPD can connect to the ADCS</t>
  </si>
  <si>
    <t>SYS-3.10</t>
  </si>
  <si>
    <t>EPD-Comms Integration</t>
  </si>
  <si>
    <r>
      <t xml:space="preserve">EPD shall connect to the comms systems and provide at least </t>
    </r>
    <r>
      <rPr>
        <sz val="11"/>
        <color rgb="FFFF0000"/>
        <rFont val="Aptos Narrow"/>
        <family val="2"/>
        <scheme val="minor"/>
      </rPr>
      <t>TBD</t>
    </r>
    <r>
      <rPr>
        <sz val="11"/>
        <color theme="1"/>
        <rFont val="Aptos Narrow"/>
        <family val="2"/>
        <scheme val="minor"/>
      </rPr>
      <t xml:space="preserve"> W of power.</t>
    </r>
  </si>
  <si>
    <t>The comms system needs power and must have its needs met</t>
  </si>
  <si>
    <t>Test that EPD can deliver the power required by communication system to attain adequate transmit power for mission objective.</t>
  </si>
  <si>
    <t>SYS-3.11</t>
  </si>
  <si>
    <t>EPD-FSW Integation</t>
  </si>
  <si>
    <r>
      <t xml:space="preserve">EPD shall connect to the FSW systems and provide at least </t>
    </r>
    <r>
      <rPr>
        <sz val="11"/>
        <color rgb="FFFF0000"/>
        <rFont val="Aptos Narrow"/>
        <family val="2"/>
        <scheme val="minor"/>
      </rPr>
      <t>TBD</t>
    </r>
    <r>
      <rPr>
        <sz val="11"/>
        <color theme="1"/>
        <rFont val="Aptos Narrow"/>
        <family val="2"/>
        <scheme val="minor"/>
      </rPr>
      <t xml:space="preserve"> W of power.</t>
    </r>
  </si>
  <si>
    <t>The FSW system needs power and must have its needs met</t>
  </si>
  <si>
    <t xml:space="preserve">Test that the EPD can provide enough power to the FSW </t>
  </si>
  <si>
    <t>SYS-3.12</t>
  </si>
  <si>
    <t>EPD-Structure Integration</t>
  </si>
  <si>
    <t>EPD system hardware shall securely attach to the NuKAT structure and occupy "x"U of space.</t>
  </si>
  <si>
    <t>Demonstrate that the power distrobution hardware is attatched securely to the satellite structure, and that the total EPD system takes up no more than "x" U of the satellite.</t>
  </si>
  <si>
    <t>SYS-3.13</t>
  </si>
  <si>
    <t>EPD-Thermal Integration</t>
  </si>
  <si>
    <r>
      <t xml:space="preserve">EPD shall connect to the thermal systems and provide at least </t>
    </r>
    <r>
      <rPr>
        <sz val="11"/>
        <color rgb="FFFF0000"/>
        <rFont val="Aptos Narrow"/>
        <family val="2"/>
        <scheme val="minor"/>
      </rPr>
      <t>TBD</t>
    </r>
    <r>
      <rPr>
        <sz val="11"/>
        <color theme="1"/>
        <rFont val="Aptos Narrow"/>
        <family val="2"/>
        <scheme val="minor"/>
      </rPr>
      <t xml:space="preserve"> W of power</t>
    </r>
  </si>
  <si>
    <t>The thermal system needs power and must have its needs met</t>
  </si>
  <si>
    <t>Test that the EPD can provide enough power to the thermal systems</t>
  </si>
  <si>
    <t>SYS-3.14</t>
  </si>
  <si>
    <t>FSW-ADCS Integration</t>
  </si>
  <si>
    <t>FSW system shall interpret position/rotation data to make determine attitude changes.</t>
  </si>
  <si>
    <t>Unless the ADCS has integrated software, FSW subsystem must operate ADCS hardware.</t>
  </si>
  <si>
    <t>BUS-2.01, BUS-2.05</t>
  </si>
  <si>
    <t>Test that the Flight Software subsystem can interpret Atittude Detection data and attempt to make attitude corrections as necessary</t>
  </si>
  <si>
    <t>SYS-3.15</t>
  </si>
  <si>
    <t>FSW-C&amp;DH Integration</t>
  </si>
  <si>
    <t>FSW shall control data interpretation C&amp;DH transmission.</t>
  </si>
  <si>
    <t>As the brains of NuKAT, this must be able to receive and interpret information/updates from the ground station via comms. Additionally, the data processing and transmittal needs to be handled between these systems.</t>
  </si>
  <si>
    <t>SYS-3.04, BUS-2.01</t>
  </si>
  <si>
    <t>Test the FSW to make sure it is able to handle data interpretation and demonstrate that it can do so as required/desired</t>
  </si>
  <si>
    <t>SYS-3.16</t>
  </si>
  <si>
    <t>FSW-EPD Integration</t>
  </si>
  <si>
    <t>FSW shall contol the distribution of power through analysis of subsystem and payload needs.</t>
  </si>
  <si>
    <t>The FSW must be able to interpret power needs from other systems as well as knowing when to turn certain systems off (i.e., turning off the comms when data relay is not needed/possible to help conserve power).</t>
  </si>
  <si>
    <t>Test that the Flight Software is able to determine when certain components need power and how much.</t>
  </si>
  <si>
    <t>SYS-3.17</t>
  </si>
  <si>
    <t>FSW-Structure Integration</t>
  </si>
  <si>
    <t>FSW system hardware shall securely attach to the NuKAT structure and occupy "x"U of space.</t>
  </si>
  <si>
    <t>Analyze how much space is available in NuKAT and how small we can make the FSW hardware and hardware attachments. Demonstrate that the FSW system hardware fits within the specified amount of space</t>
  </si>
  <si>
    <t>SYS-3.18</t>
  </si>
  <si>
    <t>FSW-Thermal Integration</t>
  </si>
  <si>
    <r>
      <t xml:space="preserve">FSW shall interpret the thermal measurements of the satellite and control the thermal systems to regulate temperature within </t>
    </r>
    <r>
      <rPr>
        <sz val="11"/>
        <color rgb="FFFF0000"/>
        <rFont val="Aptos Narrow"/>
        <family val="2"/>
        <scheme val="minor"/>
      </rPr>
      <t>"x"</t>
    </r>
    <r>
      <rPr>
        <sz val="11"/>
        <color theme="1"/>
        <rFont val="Aptos Narrow"/>
        <family val="2"/>
        <scheme val="minor"/>
      </rPr>
      <t xml:space="preserve"> and </t>
    </r>
    <r>
      <rPr>
        <sz val="11"/>
        <color rgb="FFFF0000"/>
        <rFont val="Aptos Narrow"/>
        <family val="2"/>
        <scheme val="minor"/>
      </rPr>
      <t>"y"</t>
    </r>
    <r>
      <rPr>
        <sz val="11"/>
        <color theme="1"/>
        <rFont val="Aptos Narrow"/>
        <family val="2"/>
        <scheme val="minor"/>
      </rPr>
      <t xml:space="preserve"> bounds.</t>
    </r>
  </si>
  <si>
    <t>The interpretation of, and action on, temperature data needs to be controlled using the FSW and code it contains (maybe PID control of something of the like) to ensure NuKAT can maintain proper operating temperatures in the extremes of space.</t>
  </si>
  <si>
    <t>Test that the Flight Software is able to interpret data from thermal sensors onboard and take correctinve action to maintain temps between "x" and "y".</t>
  </si>
  <si>
    <t>SYS-3.19</t>
  </si>
  <si>
    <t>Structure-Launch System Integration</t>
  </si>
  <si>
    <t xml:space="preserve">The NuKAT structure shall adhere to launch system guidelines and incorporate hardware for interfacing with the deployment device. </t>
  </si>
  <si>
    <t xml:space="preserve">NuKAT must adhere to launch deployment vehicle standards (ex. NanoRacks--NRCSD) both in geometry and required functions. </t>
  </si>
  <si>
    <t>BUS-2.01, BUS-2.03</t>
  </si>
  <si>
    <t>Demonstrate that the NuKAT structure and functions adhere to launch system guidelines and that NuKAT interfaces with deployment device</t>
  </si>
  <si>
    <t>3.2 Payload Requirements</t>
  </si>
  <si>
    <t>PL-3.01</t>
  </si>
  <si>
    <t>Neutron Detector Payload Accuracy</t>
  </si>
  <si>
    <r>
      <t xml:space="preserve">The neutron detector payload shall detect neutrons within </t>
    </r>
    <r>
      <rPr>
        <sz val="11"/>
        <color rgb="FFFF0000"/>
        <rFont val="Aptos Narrow"/>
        <family val="2"/>
        <scheme val="minor"/>
      </rPr>
      <t>"x"</t>
    </r>
    <r>
      <rPr>
        <sz val="11"/>
        <color theme="1"/>
        <rFont val="Aptos Narrow"/>
        <family val="2"/>
        <scheme val="minor"/>
      </rPr>
      <t>% of the accepted orbital neutron profile (after proper efficiency corrections from moderator choice/thickness and detector efficiency).</t>
    </r>
  </si>
  <si>
    <t>To determine the accuracy of the detector, it must be compared to the accepted measurements</t>
  </si>
  <si>
    <t>NU-MO-05, PL-2.03, PL-2.04</t>
  </si>
  <si>
    <t>U - Unknown</t>
  </si>
  <si>
    <t>within "x"% of accepted value</t>
  </si>
  <si>
    <t>within "y%" of accepted value</t>
  </si>
  <si>
    <t>Demonstrate that, in orbit, the DCD Domino neutron detector is able to detect  neutrons within "x" percent of  the established measurements.</t>
  </si>
  <si>
    <t>PL-3.02</t>
  </si>
  <si>
    <t>Neutron Detector Redundancy</t>
  </si>
  <si>
    <t>Each main neutron detector shall have a backup detector for failure detection and space anomaly verification resulting in four total DSC Domino boards</t>
  </si>
  <si>
    <t>To ensure anomalies are correctly observed and distinguishable from detector problems</t>
  </si>
  <si>
    <t xml:space="preserve">NU-MO-05, NU-1.01, NU-1.04, PL-2.01, </t>
  </si>
  <si>
    <t>Yes</t>
  </si>
  <si>
    <t>Demonstrate that the main detectors have a backup detector each</t>
  </si>
  <si>
    <t>PL-3.03</t>
  </si>
  <si>
    <t>Charged Particle Rejection (proton, beta, GCRs, gamma, etc.)</t>
  </si>
  <si>
    <r>
      <t>The reference MSNDs (or other detector, this needs to be determined with RDT) shall enable non-neutron particle rejection within</t>
    </r>
    <r>
      <rPr>
        <sz val="11"/>
        <color rgb="FFFF0000"/>
        <rFont val="Aptos Narrow"/>
        <family val="2"/>
        <scheme val="minor"/>
      </rPr>
      <t xml:space="preserve"> "x"</t>
    </r>
    <r>
      <rPr>
        <sz val="11"/>
        <color theme="1"/>
        <rFont val="Aptos Narrow"/>
        <family val="2"/>
        <scheme val="minor"/>
      </rPr>
      <t>% accuracy</t>
    </r>
  </si>
  <si>
    <t>To ensure only neutrons are being counted, a rejection technique must be employed (coincidence detection, temporal discrimination, etc.)</t>
  </si>
  <si>
    <t xml:space="preserve">NU-MO-05, NU-1.01, PL-2.04, </t>
  </si>
  <si>
    <t>Test that the MSNDs enable non-neutron particle rejection in a simulated space environment</t>
  </si>
  <si>
    <t>PL-3.04</t>
  </si>
  <si>
    <t>Neutron Detector Payload Power Consumption</t>
  </si>
  <si>
    <t>The neutron detector payload shall have a power consumption of  65 mW or less per detector, with a 5  V voltage requiremet, respectively.</t>
  </si>
  <si>
    <t>Max power during detector operation using the DSC-Domino from RDT</t>
  </si>
  <si>
    <t>NU-1.04, PL-2.02, PL-3.01</t>
  </si>
  <si>
    <t>&lt; 65 mW</t>
  </si>
  <si>
    <t>60 mW</t>
  </si>
  <si>
    <t xml:space="preserve">Demonstrate that the payload has a power consumption of 5mW or less </t>
  </si>
  <si>
    <t>PL-3.05</t>
  </si>
  <si>
    <t>Neutron Detector Payload Mass</t>
  </si>
  <si>
    <r>
      <t>The neutron detector payload shall have a mass of 0.31</t>
    </r>
    <r>
      <rPr>
        <sz val="11"/>
        <color rgb="FFFF0000"/>
        <rFont val="Aptos Narrow"/>
        <family val="2"/>
        <scheme val="minor"/>
      </rPr>
      <t xml:space="preserve"> </t>
    </r>
    <r>
      <rPr>
        <sz val="11"/>
        <color theme="1"/>
        <rFont val="Aptos Narrow"/>
        <family val="2"/>
        <scheme val="minor"/>
      </rPr>
      <t xml:space="preserve">kg or less (4 x </t>
    </r>
    <r>
      <rPr>
        <sz val="11"/>
        <rFont val="Aptos Narrow"/>
        <family val="2"/>
        <scheme val="minor"/>
      </rPr>
      <t xml:space="preserve">14.25 </t>
    </r>
    <r>
      <rPr>
        <sz val="11"/>
        <color theme="1"/>
        <rFont val="Aptos Narrow"/>
        <family val="2"/>
        <scheme val="minor"/>
      </rPr>
      <t>g for the detector and 246 g for the neutron moderator).</t>
    </r>
  </si>
  <si>
    <t>Mass of the detector and the neutron moderator</t>
  </si>
  <si>
    <t>NU-1.04, PL-2.08</t>
  </si>
  <si>
    <t>&lt; 0.31 g</t>
  </si>
  <si>
    <t>Inspect the neutron detector mass with a scale and verify the mass does not exceed  "x" kg.</t>
  </si>
  <si>
    <t>PL-3.06</t>
  </si>
  <si>
    <t>Neutron Detector Size</t>
  </si>
  <si>
    <t>The neutron detector assembly (including moderator) shall occupy 0.3 U or less</t>
  </si>
  <si>
    <t>Total space allocated for the detector and neutron moderator</t>
  </si>
  <si>
    <t>&lt; 0.3 U</t>
  </si>
  <si>
    <t>Inspect the neutron detector and verify that it shall take up "x" U or less space</t>
  </si>
  <si>
    <t>PL-3.07</t>
  </si>
  <si>
    <t>Neutron Detector Thermal Limits</t>
  </si>
  <si>
    <t>The neutron detector payload shall be kept between -20 °C and 55 °C during operation.</t>
  </si>
  <si>
    <t>The optimal operating temperature is 30 °C, but must be in these bounds for operation.</t>
  </si>
  <si>
    <t>NU-1.04, PL-2.02, PL-2.08</t>
  </si>
  <si>
    <t>-20 °C &lt; T &lt; 50 °C</t>
  </si>
  <si>
    <t>Demonstrate that the operating temperatures dont go beyond 55 C or -20 C</t>
  </si>
  <si>
    <t>PL-3.08</t>
  </si>
  <si>
    <t>Neutron Detector Data Format</t>
  </si>
  <si>
    <t>The neutron detector data shall be collected in 32 bit unsigned integer format for each MSND (4 MSNDs per platform, 4 platforms)</t>
  </si>
  <si>
    <t>Required bit depth and image format for data processing.</t>
  </si>
  <si>
    <t>NU-MO-05, NU-1.01 PL-2.03</t>
  </si>
  <si>
    <t>= 32 bit uint</t>
  </si>
  <si>
    <t>Demonstrate that the data collected is in "x"-bit "x" format</t>
  </si>
  <si>
    <t>PL-3.09</t>
  </si>
  <si>
    <t>Neutron Moderator Outgassing</t>
  </si>
  <si>
    <t>The neutron detector moderator shall have a total mass loss coefficient below 1.0%. (or be encased such that the loss coefficient is below 1.0%)</t>
  </si>
  <si>
    <t>To avoid interfering with other sensors/equipment, the chosen moderator must not have outgassing that would inhibit the overall mission</t>
  </si>
  <si>
    <t>NU-1.07, PL-2.08</t>
  </si>
  <si>
    <t>&lt; 1% TMLC</t>
  </si>
  <si>
    <t>0.58% - NASA’s Goddard Engineering and Technology Directorate</t>
  </si>
  <si>
    <t>Analyze the mall coeficient of the neutron detector moderator and demonstrate that it is below 1.0%</t>
  </si>
  <si>
    <t>PL-3.10</t>
  </si>
  <si>
    <t>Neutron Moderator Size</t>
  </si>
  <si>
    <t>The neutron moderator shall encase 2 of the detectors with a thickness of 10 mm on the "top" side of the board and 10 mm on the bottom side of the board.</t>
  </si>
  <si>
    <t>Two of the detectors shall be encased in the moderator to shift the energy spectrum as needed</t>
  </si>
  <si>
    <t xml:space="preserve"> = 10 mm +/- 1 mm</t>
  </si>
  <si>
    <t>10 mm</t>
  </si>
  <si>
    <t>Demonstrate that the neutron moderator covers "x" ammount of detectors with "x" mm on top and "x" mm on bottom of the boards.</t>
  </si>
  <si>
    <t>3.3 Attitude Determination and Control Requirements</t>
  </si>
  <si>
    <t>ADC-3.01</t>
  </si>
  <si>
    <t>Core Capabilities</t>
  </si>
  <si>
    <t>ADC shall allow coarse nadir tracking, sun tracking, ground station tracking, and PNT to support PLD mission and satellite operation.</t>
  </si>
  <si>
    <t>Payload is earth-sensitive, and EPD uses solar panels.</t>
  </si>
  <si>
    <t>PL-2.03, BUS-2.01</t>
  </si>
  <si>
    <t>Test that the Attitude Determination and Control subsystem can track sun and earth vector, locate ground station, and collect PNT data to maintain orientation and velocity awareness.</t>
  </si>
  <si>
    <t>ADC-3.02a</t>
  </si>
  <si>
    <t>NT Knowledge</t>
  </si>
  <si>
    <t>ADC shall determine angle w.r.t. Earth normal vector, within 5 deg.</t>
  </si>
  <si>
    <t>Must know Enorm to correct PLD data biases.</t>
  </si>
  <si>
    <t>&lt; 5 deg</t>
  </si>
  <si>
    <t>Test that ADC can determine find Earth normal vector within "x" degrees.</t>
  </si>
  <si>
    <t>ADC-3.02b</t>
  </si>
  <si>
    <t>NT Pointing</t>
  </si>
  <si>
    <t>ADC shall allow pointing to Earth normal vector, within 5 deg.</t>
  </si>
  <si>
    <t>Must point to Enorm as accurately as PLD needs.</t>
  </si>
  <si>
    <t>Analyze and test angular resolution of ADC magnetorquers to make attitude corrections within "x" degrees of Earth normal vector.</t>
  </si>
  <si>
    <t>ADC-3.03a</t>
  </si>
  <si>
    <t>ST Knowledge</t>
  </si>
  <si>
    <t>ADC shall determine angle w.r.t. Sun, within 10 deg.</t>
  </si>
  <si>
    <t>Must find Sun for EPD, charging solar panels.</t>
  </si>
  <si>
    <t>&lt; 10 deg</t>
  </si>
  <si>
    <t>Test that ADC is able to determine Sun vector within 10 degrees.</t>
  </si>
  <si>
    <t>ADC-3.03b</t>
  </si>
  <si>
    <t>ST Pointing</t>
  </si>
  <si>
    <t>ADC shall allow pointing to Sun, within 10 deg.</t>
  </si>
  <si>
    <t>Must point to Sun as accurately as EPD needs.</t>
  </si>
  <si>
    <t>Analyze and test angular resolution of ADC magnetorquers to make attitude corrections within 10 degrees of Sun vector.</t>
  </si>
  <si>
    <t>ADC-3.04a</t>
  </si>
  <si>
    <t>GS Knowledge</t>
  </si>
  <si>
    <t>ADC shall determine angle w.r.t. Ground Station, within "x" deg.</t>
  </si>
  <si>
    <t>Must find GS before up/downlink.</t>
  </si>
  <si>
    <t>&lt; "x" deg</t>
  </si>
  <si>
    <t>&lt; "y" deg</t>
  </si>
  <si>
    <t>Test that the ADC is able to find ground station within "x" degrees.</t>
  </si>
  <si>
    <t>ADC-3.04b</t>
  </si>
  <si>
    <t>GS Pointing</t>
  </si>
  <si>
    <t>ADC shall allow pointing to Ground Station, within "x" deg.</t>
  </si>
  <si>
    <t>Point to GS within CDH antenna's FOV.</t>
  </si>
  <si>
    <t>Analyze and test angular resolution of ADC magnetorquers to track ground station within 10 degrees.</t>
  </si>
  <si>
    <t>ADC-3.05</t>
  </si>
  <si>
    <t>PNT Knowledge</t>
  </si>
  <si>
    <t>ADC shall collect PNT data for sensor calibration and GS tracking.</t>
  </si>
  <si>
    <t>Required for CONOPS, supports PLD.</t>
  </si>
  <si>
    <t>Test that ADC can interface with GPS antenna.</t>
  </si>
  <si>
    <t>ADC-3.06</t>
  </si>
  <si>
    <t>Upset Capabilities</t>
  </si>
  <si>
    <t>ADC shall allow sun tracking at low power and correct any deployment tumbling.</t>
  </si>
  <si>
    <t>ADC failure due to these environmental hazards will cause mission failure.</t>
  </si>
  <si>
    <t>Analyze power requirements of ADC to ensure operation in low power mode, then test in simulated environment.</t>
  </si>
  <si>
    <t>ADC-3.07a</t>
  </si>
  <si>
    <t>Safe Mode ST Knowledge</t>
  </si>
  <si>
    <t>ADC shall determine angle w.r.t. Sun, within 10 deg under low power mode.</t>
  </si>
  <si>
    <t>Must find Sun with minimum power from EPD.</t>
  </si>
  <si>
    <t>&lt;10 deg</t>
  </si>
  <si>
    <t>Analyze that ADC is able to determine Sun vector within 10 degrees in emergency low power mode.</t>
  </si>
  <si>
    <t>ADC-3.07b</t>
  </si>
  <si>
    <t>Safe Mode ST Pointing</t>
  </si>
  <si>
    <t>ADC shall allow pointing to Sun, within 10 deg, under low power mode.</t>
  </si>
  <si>
    <t>Must point to Sun for emergency charging.</t>
  </si>
  <si>
    <t>Analyze that ADC is able to track Sun vector within 10 degrees in emergency low power mode.</t>
  </si>
  <si>
    <t>ADC-3.08a</t>
  </si>
  <si>
    <t>Detumbling Time</t>
  </si>
  <si>
    <t>ADC shall complete detumble maneuver within 90 minutes.</t>
  </si>
  <si>
    <t>Must detumble to begin mission.</t>
  </si>
  <si>
    <t>&lt; 90 min</t>
  </si>
  <si>
    <t>Test that the ADC can complete detumble in 90 minutes in a simulated environment.</t>
  </si>
  <si>
    <t>ADC-3.08b</t>
  </si>
  <si>
    <t>Max Tumble Rate</t>
  </si>
  <si>
    <t>ADC shall detumble the satellite from 60 deg/s or less.</t>
  </si>
  <si>
    <t>Must recover from LNC expected tumbling.</t>
  </si>
  <si>
    <t>&lt; 60 deg/s</t>
  </si>
  <si>
    <t>Analyze detumble capability in SIL and HIL simulation, test on air bearing table.</t>
  </si>
  <si>
    <t>ADC-3.09</t>
  </si>
  <si>
    <t>Subsystem Requirements</t>
  </si>
  <si>
    <t>ADC shall meet system engineering limits, SWaP-C, and resource budgets.</t>
  </si>
  <si>
    <t>Allocated from high-level requirements.</t>
  </si>
  <si>
    <t>Demonstrate that ADC meets all system limits on temp, rad, SWaP, life, and cost.</t>
  </si>
  <si>
    <t>ADC-3.10a</t>
  </si>
  <si>
    <t>Size</t>
  </si>
  <si>
    <t>ADC shall require less than "x" U of space.</t>
  </si>
  <si>
    <t>Size allocation from BUS/LNC.</t>
  </si>
  <si>
    <t>&lt; "x" U</t>
  </si>
  <si>
    <t>&lt; "y" U</t>
  </si>
  <si>
    <t>A &amp; I</t>
  </si>
  <si>
    <t>Analyze how much space will be needed for ADC and inspect to verify ADC uses less than "x" U of space.</t>
  </si>
  <si>
    <t>ADC-3.10b</t>
  </si>
  <si>
    <t>Weight/Mass</t>
  </si>
  <si>
    <t>ADC shall require less than "x" kg of mass.</t>
  </si>
  <si>
    <t>Weight allocation from BUS/LNC.</t>
  </si>
  <si>
    <t>&lt; "x" kg</t>
  </si>
  <si>
    <t>&lt; "y" kg</t>
  </si>
  <si>
    <t>Analyze ADC mass during design, and inspect after construction to verify mass.</t>
  </si>
  <si>
    <t>ADC-3.10c</t>
  </si>
  <si>
    <t>Power</t>
  </si>
  <si>
    <t>ADC shall require less than "x" W of power.</t>
  </si>
  <si>
    <t>Power allocation from BUS/EPD.</t>
  </si>
  <si>
    <t>&lt; "x" W</t>
  </si>
  <si>
    <t>&lt; "y" W</t>
  </si>
  <si>
    <t>Demonstrate power requirement is less than "x" W, confirm by testing all flight ops.</t>
  </si>
  <si>
    <t>ADC-3.10d</t>
  </si>
  <si>
    <t>Cost</t>
  </si>
  <si>
    <t>ADC hardware shall cost under "x" dollars to purchase.</t>
  </si>
  <si>
    <t>Funding allocation from SYS.</t>
  </si>
  <si>
    <t>&lt; "x" dollars</t>
  </si>
  <si>
    <t>&lt; "y" dollars</t>
  </si>
  <si>
    <t>Demonstrate ADC hardware and software costs less than "x" dollars.</t>
  </si>
  <si>
    <t>ADC-3.11</t>
  </si>
  <si>
    <t>Comms Budget</t>
  </si>
  <si>
    <t>ADC shall require less than "x" bit/s of uplink and "y" bit/s of downlink data during operation.</t>
  </si>
  <si>
    <t>Data allocation from CDH.</t>
  </si>
  <si>
    <t>&lt; "x" bit/s UP and "y" bit/s DOWN</t>
  </si>
  <si>
    <t>&lt; "x1" bit/s UP and "y1" bit/s DOWN</t>
  </si>
  <si>
    <t>Analyze the data type and required transfer speed for operation of the ADC and test the bitrate of data transfer during use.</t>
  </si>
  <si>
    <t>ADC-3.12</t>
  </si>
  <si>
    <t>Computing Budget</t>
  </si>
  <si>
    <t>ADC shall require less than "x" bit/s of onboard data processing for telemetry and flight ops.</t>
  </si>
  <si>
    <t>Processing allocation from FSW.</t>
  </si>
  <si>
    <t>&lt; "x" bit/s</t>
  </si>
  <si>
    <t>&lt; 0 bit/s (no OBC allocation required)</t>
  </si>
  <si>
    <t>Analyze how much data processing power is needed for telemetry and flight ops and test bitrate during complex corrections.</t>
  </si>
  <si>
    <t>3.4 Communication and Data Handling Requirements</t>
  </si>
  <si>
    <t>CDH-3.01</t>
  </si>
  <si>
    <t>C&amp;DH + UHF TxRx Interface</t>
  </si>
  <si>
    <r>
      <rPr>
        <sz val="11"/>
        <color rgb="FF000000"/>
        <rFont val="Aptos Narrow"/>
        <family val="2"/>
        <scheme val="minor"/>
      </rPr>
      <t>The C&amp;DH subsystem shall interface with the UHF transceiver over [</t>
    </r>
    <r>
      <rPr>
        <sz val="11"/>
        <color rgb="FFFF0000"/>
        <rFont val="Aptos Narrow"/>
        <family val="2"/>
        <scheme val="minor"/>
      </rPr>
      <t>TBD network protocol compatible with Ground Station (GS)</t>
    </r>
    <r>
      <rPr>
        <sz val="11"/>
        <color rgb="FF000000"/>
        <rFont val="Aptos Narrow"/>
        <family val="2"/>
        <scheme val="minor"/>
      </rPr>
      <t>].</t>
    </r>
  </si>
  <si>
    <t>OBC must be capable of interpreting from and encoding messages to send to the GS through UHF transceiver.</t>
  </si>
  <si>
    <t>TBD</t>
  </si>
  <si>
    <t>~10 Kbps</t>
  </si>
  <si>
    <t>Test and verify compatibility between UHF transceiver and C&amp;DH methods.</t>
  </si>
  <si>
    <t>CDH-3.02</t>
  </si>
  <si>
    <t>C&amp;DH + UHF Antenna Interface</t>
  </si>
  <si>
    <r>
      <rPr>
        <sz val="11"/>
        <color rgb="FF000000"/>
        <rFont val="Aptos Narrow"/>
        <family val="2"/>
        <scheme val="minor"/>
      </rPr>
      <t>The C&amp;DH subsystem shall interface the UHF transceiver with the UHF antenna over [</t>
    </r>
    <r>
      <rPr>
        <sz val="11"/>
        <color rgb="FFFF0000"/>
        <rFont val="Aptos Narrow"/>
        <family val="2"/>
        <scheme val="minor"/>
      </rPr>
      <t>TBD communication protocol</t>
    </r>
    <r>
      <rPr>
        <sz val="11"/>
        <color rgb="FF000000"/>
        <rFont val="Aptos Narrow"/>
        <family val="2"/>
        <scheme val="minor"/>
      </rPr>
      <t>].</t>
    </r>
  </si>
  <si>
    <t>OBC must be capable of transmitting to and receiving  from ground station.</t>
  </si>
  <si>
    <t xml:space="preserve">Test to see if UHF interfaces with the C&amp;DH subsystem and that it can transmit and recieve </t>
  </si>
  <si>
    <t>CDH-3.03</t>
  </si>
  <si>
    <t>UHF Operating Frequency</t>
  </si>
  <si>
    <t>The C&amp;DH UHF subsystem shall operate between (420-450 MHz) range.</t>
  </si>
  <si>
    <t>420-450 MHz is the allocated amateur radio frequency for UHF, which Nukat will operate within.</t>
  </si>
  <si>
    <t>Demonstrate UHF subsystem operates within the allocated amateur frequency band 420-450 MHz.</t>
  </si>
  <si>
    <t>CDH-3.04</t>
  </si>
  <si>
    <t>C&amp;DH + EPD Network Interface</t>
  </si>
  <si>
    <r>
      <rPr>
        <sz val="11"/>
        <color rgb="FF000000"/>
        <rFont val="Aptos Narrow"/>
        <family val="2"/>
        <scheme val="minor"/>
      </rPr>
      <t>The C&amp;DH subsystem shall interface with the EPD over [</t>
    </r>
    <r>
      <rPr>
        <sz val="11"/>
        <color rgb="FFFF0000"/>
        <rFont val="Aptos Narrow"/>
        <family val="2"/>
        <scheme val="minor"/>
      </rPr>
      <t>TBD communication protocol</t>
    </r>
    <r>
      <rPr>
        <sz val="11"/>
        <color rgb="FF000000"/>
        <rFont val="Aptos Narrow"/>
        <family val="2"/>
        <scheme val="minor"/>
      </rPr>
      <t>].</t>
    </r>
  </si>
  <si>
    <t>The FSW must send commands and monitor status of the EPD through the OBC.</t>
  </si>
  <si>
    <t xml:space="preserve">Test to see if the FSW can monitor EPD status </t>
  </si>
  <si>
    <t>CDH-3.05</t>
  </si>
  <si>
    <t>C&amp;DH + Domino-2 Payload Network Interface</t>
  </si>
  <si>
    <r>
      <rPr>
        <sz val="11"/>
        <color rgb="FF000000"/>
        <rFont val="Aptos Narrow"/>
        <family val="2"/>
        <scheme val="minor"/>
      </rPr>
      <t>The C&amp;DH subsystem shall interface with the Domino-2 payload over  [</t>
    </r>
    <r>
      <rPr>
        <sz val="11"/>
        <color rgb="FFFF0000"/>
        <rFont val="Aptos Narrow"/>
        <family val="2"/>
        <scheme val="minor"/>
      </rPr>
      <t>TBD communication protocol</t>
    </r>
    <r>
      <rPr>
        <sz val="11"/>
        <color rgb="FF000000"/>
        <rFont val="Aptos Narrow"/>
        <family val="2"/>
        <scheme val="minor"/>
      </rPr>
      <t>].</t>
    </r>
  </si>
  <si>
    <t>The FSW must send commands to and receive data from the Domino-2 payload.</t>
  </si>
  <si>
    <t>Test to see if FSW can transmit and recieve from the Domino-2 payload</t>
  </si>
  <si>
    <t>CDH-3.06</t>
  </si>
  <si>
    <t>C&amp;DH + ADCS Network Interface</t>
  </si>
  <si>
    <r>
      <rPr>
        <sz val="11"/>
        <color rgb="FF000000"/>
        <rFont val="Aptos Narrow"/>
        <family val="2"/>
        <scheme val="minor"/>
      </rPr>
      <t>The C&amp;DH subsystem shall interface with the ADCS over  [</t>
    </r>
    <r>
      <rPr>
        <sz val="11"/>
        <color rgb="FFFF0000"/>
        <rFont val="Aptos Narrow"/>
        <family val="2"/>
        <scheme val="minor"/>
      </rPr>
      <t>TBD communication protocol</t>
    </r>
    <r>
      <rPr>
        <sz val="11"/>
        <color rgb="FF000000"/>
        <rFont val="Aptos Narrow"/>
        <family val="2"/>
        <scheme val="minor"/>
      </rPr>
      <t>].</t>
    </r>
  </si>
  <si>
    <t>The FSW must send commands to and receive data from the ADCS.</t>
  </si>
  <si>
    <t>Test that the flight software is able to communicate with attitude determination system over (TBD protocol).</t>
  </si>
  <si>
    <t>CDH-3.07</t>
  </si>
  <si>
    <t>C&amp;DH + Thermal Network Interface</t>
  </si>
  <si>
    <r>
      <rPr>
        <sz val="11"/>
        <color rgb="FF000000"/>
        <rFont val="Aptos Narrow"/>
        <family val="2"/>
        <scheme val="minor"/>
      </rPr>
      <t>The C&amp;DH subsystem shall interface with the thermal subsystem over  [</t>
    </r>
    <r>
      <rPr>
        <sz val="11"/>
        <color rgb="FFFF0000"/>
        <rFont val="Aptos Narrow"/>
        <family val="2"/>
        <scheme val="minor"/>
      </rPr>
      <t>TBD communication protocol</t>
    </r>
    <r>
      <rPr>
        <sz val="11"/>
        <color rgb="FF000000"/>
        <rFont val="Aptos Narrow"/>
        <family val="2"/>
        <scheme val="minor"/>
      </rPr>
      <t>].</t>
    </r>
  </si>
  <si>
    <t>The FSW must monitor the status of the thermal subsystem.</t>
  </si>
  <si>
    <t>Test to se if the FSW can monitor thermal subsystem status</t>
  </si>
  <si>
    <t>CDH-3.08</t>
  </si>
  <si>
    <t>Communication Protocol</t>
  </si>
  <si>
    <t>C&amp;DH shall establish a data encryption, compression, and communication protocol w/ checksums and error correcting for transmission with ground station(s).</t>
  </si>
  <si>
    <t>Security, reliability, and interpretation of data transmissions.</t>
  </si>
  <si>
    <t>--</t>
  </si>
  <si>
    <t>Demonstrate that C&amp;DH establishes a protocol that  meets the desired level of reliability and that interperets data from ground station</t>
  </si>
  <si>
    <t>CDH-3.10</t>
  </si>
  <si>
    <t>Data Storage</t>
  </si>
  <si>
    <r>
      <rPr>
        <sz val="11"/>
        <color rgb="FF000000"/>
        <rFont val="Aptos Narrow"/>
        <family val="2"/>
        <scheme val="minor"/>
      </rPr>
      <t>The C&amp;DH subsystem shall be capable of storing up to [</t>
    </r>
    <r>
      <rPr>
        <sz val="11"/>
        <color rgb="FFFF0000"/>
        <rFont val="Aptos Narrow"/>
        <family val="2"/>
        <scheme val="minor"/>
      </rPr>
      <t>2 x (48 hour data collection amount - TBD)</t>
    </r>
    <r>
      <rPr>
        <sz val="11"/>
        <color rgb="FF000000"/>
        <rFont val="Aptos Narrow"/>
        <family val="2"/>
        <scheme val="minor"/>
      </rPr>
      <t>] at a time in non-volatile memory over the mission lifetime.</t>
    </r>
  </si>
  <si>
    <t>On-board memory must be large enought to store setup files, telemetry data, event logs, and past orbit image data (up to TBD size) with "y" copies for detection of anomalies and for redundancy.</t>
  </si>
  <si>
    <t>Demonstrate that onboard memory is large enough to store 2 x (24hour data collection amount) and that onboard remaining storage can be monitored by the OBC</t>
  </si>
  <si>
    <t>CDH-3.11</t>
  </si>
  <si>
    <t>Onboard Clock</t>
  </si>
  <si>
    <t>The C&amp;DH subsystem shall incorporate a clock that will be used to track RTC (Real Time) or UTC (Coordinated Universal Time).</t>
  </si>
  <si>
    <t>An onboard clock will allow for accuracy in time stamping images and downlinking to Earth.</t>
  </si>
  <si>
    <t>Demonstrate that there is an onboard clock that can measure time ine RTC or UTC</t>
  </si>
  <si>
    <t>CDH-3.12</t>
  </si>
  <si>
    <t>Link Margin</t>
  </si>
  <si>
    <r>
      <rPr>
        <sz val="11"/>
        <color rgb="FF000000"/>
        <rFont val="Aptos Narrow"/>
        <family val="2"/>
        <scheme val="minor"/>
      </rPr>
      <t xml:space="preserve">The C&amp;DH subsystem will establish a link margin of </t>
    </r>
    <r>
      <rPr>
        <sz val="11"/>
        <color rgb="FFFF0000"/>
        <rFont val="Aptos Narrow"/>
        <family val="2"/>
        <scheme val="minor"/>
      </rPr>
      <t>[X]</t>
    </r>
    <r>
      <rPr>
        <sz val="11"/>
        <color rgb="FF000000"/>
        <rFont val="Aptos Narrow"/>
        <family val="2"/>
        <scheme val="minor"/>
      </rPr>
      <t xml:space="preserve"> dB to ensure stable and robust communication.</t>
    </r>
  </si>
  <si>
    <t>Adequate link margin ensures good communication</t>
  </si>
  <si>
    <t>Demonstrate that C&amp;DH systames establish a link margin of [X]</t>
  </si>
  <si>
    <t>CDH-3.13</t>
  </si>
  <si>
    <t>Bit Error Rate (BER)</t>
  </si>
  <si>
    <r>
      <rPr>
        <sz val="11"/>
        <color rgb="FF000000"/>
        <rFont val="Aptos Narrow"/>
        <family val="2"/>
        <scheme val="minor"/>
      </rPr>
      <t xml:space="preserve">The C&amp;DH subsystem will define a maximum allowable Bit Error Rate (BER) of </t>
    </r>
    <r>
      <rPr>
        <sz val="11"/>
        <color rgb="FFFF0000"/>
        <rFont val="Aptos Narrow"/>
        <family val="2"/>
        <scheme val="minor"/>
      </rPr>
      <t>[X]</t>
    </r>
    <r>
      <rPr>
        <sz val="11"/>
        <color rgb="FF000000"/>
        <rFont val="Aptos Narrow"/>
        <family val="2"/>
        <scheme val="minor"/>
      </rPr>
      <t xml:space="preserve"> to ensure accurate commuication.</t>
    </r>
  </si>
  <si>
    <t>BER minimum must be</t>
  </si>
  <si>
    <t>Demonstrate that C&amp;DH systems define a maximum allowable Bit Error Rate of [X]</t>
  </si>
  <si>
    <t>CDH-3.14</t>
  </si>
  <si>
    <t>GPS antenna shall collect latitude, longitude, &amp; altitude w/i 500m, timestamped w/i 0.1s, for PLD mission and ADC tracking.</t>
  </si>
  <si>
    <t>Requirement for PLD science and ADC calibration.</t>
  </si>
  <si>
    <t>&lt;500 m &amp; &lt;0.1 s</t>
  </si>
  <si>
    <t>&lt;=50 m &amp; &lt;=0.01 s</t>
  </si>
  <si>
    <t>Test to verify GPS receiver can collect latitude, longitude, altitude, and time data within numeric bounds.</t>
  </si>
  <si>
    <t>-- space for new reqs</t>
  </si>
  <si>
    <t>3.5 Electrical Power Distribution Requirements</t>
  </si>
  <si>
    <t>EPD-3.01</t>
  </si>
  <si>
    <t>External Charging</t>
  </si>
  <si>
    <t>The spacecraft shall have a means of charging its battery that does not require solar power.</t>
  </si>
  <si>
    <t>Necessary for bench testing and troubleshooting.</t>
  </si>
  <si>
    <t>BUS-2.10, SYS-2.13</t>
  </si>
  <si>
    <t>Test the battery within system shows energy after being externally charged.</t>
  </si>
  <si>
    <t>EPD-3.02</t>
  </si>
  <si>
    <t>External Power Supply</t>
  </si>
  <si>
    <t>The spacecraft shall have a means of externally powering the EPD system.</t>
  </si>
  <si>
    <t>Test all systems to be functional when the external supply is attached in place of the battery and solar array.</t>
  </si>
  <si>
    <t>EPD-3.03</t>
  </si>
  <si>
    <t>Battery Level</t>
  </si>
  <si>
    <t xml:space="preserve">The battery level shall remain above 50% during science/nominal mode, while remaining above 30% when upset mode occurs. </t>
  </si>
  <si>
    <t>Battery shall remain within a safe margin above its cutoff level.</t>
  </si>
  <si>
    <t>BUS-2.02, BUS-2.04</t>
  </si>
  <si>
    <t>Analyze charge/discharge cycle to show energy used per charge cycle does not exceed half of the battery capacity.</t>
  </si>
  <si>
    <t>EPD-3.04</t>
  </si>
  <si>
    <t>Idle Mode Power</t>
  </si>
  <si>
    <t>EPD shall be capable of powering all components at the calculated worst-case peak power draws during Idle Mode.</t>
  </si>
  <si>
    <t>The EPD should be able to support the calculated peak power draw during Idle Mode to collect radiation data.</t>
  </si>
  <si>
    <t>Analyze worst-case power draw of components during idle mode and test to verify that the EPD is able to power all componenets under these conditions.</t>
  </si>
  <si>
    <t>EPD-3.05</t>
  </si>
  <si>
    <t>Active Mode Power</t>
  </si>
  <si>
    <t>EPD shall be capable of powering all components at the calculated worst-case peak power draws during Active Mode.</t>
  </si>
  <si>
    <t>The EPD should be able to support the calculated peak power draw during Active Mode to collect all imagry.</t>
  </si>
  <si>
    <t>Analyze worst-case power draw of components during active mode and test to verify that the EPD is able to power all componenets under these conditions.</t>
  </si>
  <si>
    <t>EPD-3.06</t>
  </si>
  <si>
    <t>Downlink Mode Power</t>
  </si>
  <si>
    <t>EPD shall be capable of powering all components at the calculated worst-case peak power draws during Downlink Mode.</t>
  </si>
  <si>
    <t>The EPD should be able to support the calculated peak power draw during Downlink Mode to downlink data during flyby of ground station.</t>
  </si>
  <si>
    <t>Analyze worst-case power draw of components during downlink mode and test to verify that the EPD is able to power all componenets under these conditions.</t>
  </si>
  <si>
    <t>EPD-3.07</t>
  </si>
  <si>
    <t>Distribution and Control</t>
  </si>
  <si>
    <t>EPD shall safely distribute and control all of the power generated.</t>
  </si>
  <si>
    <t>The EPD shall maintain positive control of all power generated, stored, and distributed throughout the vehicle subsystems.</t>
  </si>
  <si>
    <t>BUS-2.08, BUS-2.09</t>
  </si>
  <si>
    <t>Analyze power requirements of system components and capabilities of EPD system and test to validate all power flow through system is as expected.</t>
  </si>
  <si>
    <t>EPD-3.08</t>
  </si>
  <si>
    <t>Power Conversion</t>
  </si>
  <si>
    <t>EPD shall provide downstream power converters for different voltage loads.</t>
  </si>
  <si>
    <t>Downstream subsystems may require a variety of voltages to function.</t>
  </si>
  <si>
    <t>Demonstrate that power converters are present in system and test downstream power output to verify appropriate voltage.</t>
  </si>
  <si>
    <t>EPD-3.09</t>
  </si>
  <si>
    <t>Bus Isolation</t>
  </si>
  <si>
    <t>EPD shall provide bus isolation between subsystem loads.</t>
  </si>
  <si>
    <t>Bus monitoring allows for the detection of faults and efficiency in individual systems and enables corrective action to be performed.</t>
  </si>
  <si>
    <t>BUS-2.12</t>
  </si>
  <si>
    <t>Test that the EPD isolated different loads placed on it and monitors them for faults/ takes corrective action.</t>
  </si>
  <si>
    <t>EPD-3.10</t>
  </si>
  <si>
    <t>Bus Monitoring</t>
  </si>
  <si>
    <t>EPD shall provide bus monitoring electronics such that each load may be accurately monitored for fault and efficiency.</t>
  </si>
  <si>
    <t>Allows ground team to analyze measured efficiency and detected faults, then act accordingly.</t>
  </si>
  <si>
    <t>Test that the EPD system is able to monitor each bus component such that the faults and efficiency can be monitored and transmitted to GS.</t>
  </si>
  <si>
    <t>EPD-3.11</t>
  </si>
  <si>
    <t>Protection</t>
  </si>
  <si>
    <t>EPD shall protect itself from EMI, transients, bus faults, and load faults.</t>
  </si>
  <si>
    <t>Prevents unexpected faults in the EPD subsystem.</t>
  </si>
  <si>
    <t>SYS-2.08, BUS-2.11</t>
  </si>
  <si>
    <t>Test that Electric Power Distribution system is able to protect itself against interference, faults and transients according to known testing standards.</t>
  </si>
  <si>
    <t>EPD-3.12</t>
  </si>
  <si>
    <t>Solar Safe/Arm Plug</t>
  </si>
  <si>
    <t>EPD shall require a Safe/Arm plug for the solar array power generation.</t>
  </si>
  <si>
    <t>Allows for solar array to be isolated from systems during construction, modification, and maintanence.</t>
  </si>
  <si>
    <t>I &amp; T</t>
  </si>
  <si>
    <t>Inspect the solar array power plug safety and test to ensure that the safety plug works as intended.</t>
  </si>
  <si>
    <t>EPD-3.13</t>
  </si>
  <si>
    <t>Battery Safe/Arm Plug</t>
  </si>
  <si>
    <t>EPD shall require a Safe/Arm plug for the battery system.</t>
  </si>
  <si>
    <t>Allows for battery system to be isolated from systems during construction, modification, and maintanence.</t>
  </si>
  <si>
    <t>Inspect the battery safety plug system and test to verify the plug works as intended.</t>
  </si>
  <si>
    <t>EPD-3.14</t>
  </si>
  <si>
    <t>Remove Before Flight</t>
  </si>
  <si>
    <t>EPD shall include Remove Before Flight locks, pins, and tags from the vehicle during ground testing and before launch.</t>
  </si>
  <si>
    <t>Prevents unintentional operation when not testing satellite or before flight.</t>
  </si>
  <si>
    <t>Inspect the satellite and ensure that all preflight locks, pins, and tags are present, ready to be pulled before launch.</t>
  </si>
  <si>
    <t>3.6 Flight Software Requirements</t>
  </si>
  <si>
    <t>FSW-3.01</t>
  </si>
  <si>
    <t>Telemetry Collection</t>
  </si>
  <si>
    <t>FSW shall collect telemetry from all hardware onboard NuKAT.</t>
  </si>
  <si>
    <t xml:space="preserve">All telemetry that is necessary to understand the state of the hardware must be collected in order to track system health. In addition, telemetry must be easy to interpret to properly monitor NuKAT.  </t>
  </si>
  <si>
    <t>Test that the flight software solution is able to communicate with system hardware and collect any data relevant to system status.</t>
  </si>
  <si>
    <t>FSW-3.02</t>
  </si>
  <si>
    <t>Event Logging</t>
  </si>
  <si>
    <t>FSW shall maintain a log of software events related to command execution, resets, and software errors.</t>
  </si>
  <si>
    <t>All major software events should be tracked to allow understanding of how software operations are performing.</t>
  </si>
  <si>
    <t>Test that the flight software makes note of/logs major events like errors, resets, and command execution.</t>
  </si>
  <si>
    <t>FSW-3.03</t>
  </si>
  <si>
    <t>Ground Software Interface</t>
  </si>
  <si>
    <t>FSW shall be able to receive, decrypt, and interpret commands from the Ground Station Software.</t>
  </si>
  <si>
    <t>Commands must be able to be sent to NuKAT through the link with ground station. The onboard computer must then be able to collect uplinks from the receiver and interpret commands after they are received and act upon them.</t>
  </si>
  <si>
    <t>Test the ground station software is able to effectively communicate with flight software aboard satellite, and that the FSW is able to interpret and act upon commands.</t>
  </si>
  <si>
    <t>FSW-3.04</t>
  </si>
  <si>
    <t>Power Reset Actions</t>
  </si>
  <si>
    <t>FSW shall immediately command NuKAT back to a normal state following a power reset.</t>
  </si>
  <si>
    <t>Power resets could occur frequently in orbit for a variety of reasons. The on board computer should be able to apply necessary settings to hardware to place NuKAT back in a proper orientation as quickly as possible to avoid complications.</t>
  </si>
  <si>
    <t>Test that a power reset event triggers the flight software to force the satellite to a normal state when power is restored.</t>
  </si>
  <si>
    <t>FSW-3.05</t>
  </si>
  <si>
    <t>Health Data Transmission</t>
  </si>
  <si>
    <t>FSW shall relay the instantaneous health status of NuKAT to the ground upon requesting command.</t>
  </si>
  <si>
    <t>Mission operators need to have the ability to easily and consistently assess the state of NuKAT on orbit.</t>
  </si>
  <si>
    <t>Test that, when satellite receives command to send health report, flight software responds by instantly sending current status report of all systems.</t>
  </si>
  <si>
    <t>FSW-3.06</t>
  </si>
  <si>
    <t>Neutron Count Collection Time</t>
  </si>
  <si>
    <t>FSW shall be capable of tracking what time and date each neutron count reading is collected.</t>
  </si>
  <si>
    <t>Knowing the time and date each reading is collected allows operators to analyze trends in the captured data.</t>
  </si>
  <si>
    <t>Test that, when the satellite does a neutron count, it record the date and time of the recording and send this info to GS along with other data.</t>
  </si>
  <si>
    <t>FSW-3.07</t>
  </si>
  <si>
    <t>Location Tracking</t>
  </si>
  <si>
    <t>FSW shall be capable of tracking NuKAT's physical position in orbit to appropriately associate neutron count readings.</t>
  </si>
  <si>
    <t>Mission objective is targeted towards neutron count readings. In order to accurately report location specific neutron count data the NuKAT position must be known.</t>
  </si>
  <si>
    <t>Test the flight software is able to detect position of satellite at time of neutron count.</t>
  </si>
  <si>
    <t>FSW-3.08</t>
  </si>
  <si>
    <t>FSW shall be capable of manipulating and tracking the operational modes for NuKAT and change between modes when necessary.</t>
  </si>
  <si>
    <t>NuKAT will operate in different modes depending on position in orbit relative to region of interest and each mode will control whether NuKAT is downlinking or processing data</t>
  </si>
  <si>
    <t>Test that flight software is able to switch between pre-defined operating modes.</t>
  </si>
  <si>
    <t>FSW-3.09</t>
  </si>
  <si>
    <t>Error Checking/Correction</t>
  </si>
  <si>
    <t>FSW shall be capable of detecting and correcting errors caused by SEUs and lossy data transmission</t>
  </si>
  <si>
    <t>Transmission of data through earth's atmosphere into space can result in missing information that must be error checked and corrected to make sense of data. Additionally, SEUs (single event upsets) can lead to bit flips in memory, causing corruption, which must be able to be accounted for.</t>
  </si>
  <si>
    <t>Test, with a corrupted/incomplete transmission file, that flight software is able to interpret commands correclty even when missing certain parts of the transmission.</t>
  </si>
  <si>
    <t>3.7  Structure Requirements</t>
  </si>
  <si>
    <t>STR-3.01</t>
  </si>
  <si>
    <t>Coordinate System</t>
  </si>
  <si>
    <t xml:space="preserve">An X-Y-Z (X - velocity, Y- sun, Z- Earth) coordinate system for the NuKAT shall be developed on a millimeter scale to provide a method for referencing any location </t>
  </si>
  <si>
    <t>Facilitate a method for ensuring all systems are developed in a way that will improve accuracy (solar collection, imaging, etc.)</t>
  </si>
  <si>
    <t>X-velocity, Y-sun, Z-earth</t>
  </si>
  <si>
    <t>Analyze the expected orbital movement of the satellite and verify than the developed coordinate system accurately models the position of the satellite.</t>
  </si>
  <si>
    <t>STR-3.02</t>
  </si>
  <si>
    <t>Satellite Dimensions</t>
  </si>
  <si>
    <t>Satellite shall be 10cm by 227cm in the x-y and y-z face, and shall be 11.9cm by 11.9cm (maximum) in the x-z face within uncertainty +/- .01cm</t>
  </si>
  <si>
    <t>Interface properly with standard deployer dimensions</t>
  </si>
  <si>
    <t>227 cm (Y), 119 cm (X), 119 cm (Z)</t>
  </si>
  <si>
    <t>Analyze the size of the satellite structure in CAD models/ other software, and then inspect the contructed satellite structure to verify dimensions are "x" by "x" with tolerance "+/- b".</t>
  </si>
  <si>
    <t>STR-3.03</t>
  </si>
  <si>
    <t>Access Port (USB)</t>
  </si>
  <si>
    <t>The chassis shall include an interfacing port</t>
  </si>
  <si>
    <t>The port will be necessary for interfacing with the CubeSat after its final assembly</t>
  </si>
  <si>
    <t>Test that the inferfacing port exists and allows for the passage of data through USB port.</t>
  </si>
  <si>
    <t>STR-3.04</t>
  </si>
  <si>
    <t>Deployment Sizing</t>
  </si>
  <si>
    <t>NuKAT shall conform to a 2U launch dispenser, using rails or tabs.</t>
  </si>
  <si>
    <t xml:space="preserve">To meet NuKAT deployer requirements from LNC. </t>
  </si>
  <si>
    <t>SYS-2.01</t>
  </si>
  <si>
    <t>RAIL/TAB</t>
  </si>
  <si>
    <t>RAIL</t>
  </si>
  <si>
    <t>Inspect the satellite to verify that the size of the structure and rails are appropriate and up to standards set by LNC.</t>
  </si>
  <si>
    <t>STR-3.05</t>
  </si>
  <si>
    <t>Deployment Rail Material</t>
  </si>
  <si>
    <t>The NuKAT rail surfaces that contact the NRCSD guide rails shall have a hardness equal to or greater than hard-anodized aluminum.</t>
  </si>
  <si>
    <t>To prevent cold-welding</t>
  </si>
  <si>
    <t>Rockwell C 65-70</t>
  </si>
  <si>
    <t>Inspect the hardness of the deployment rails using a Rockwell hardness tester or similar machine to ensure they as hard or harder than anodized aluminum.</t>
  </si>
  <si>
    <t>STR-3.06</t>
  </si>
  <si>
    <t>Rail Texture</t>
  </si>
  <si>
    <t>NuKAT rail surfaces shall have a surface roughness of less than or equal to 1.6 micrometers.</t>
  </si>
  <si>
    <t>Smooth deployment</t>
  </si>
  <si>
    <t>1.6 micrometers</t>
  </si>
  <si>
    <t>Inspect the satallite deployment rail surfaces with sylus profilometry, optical profilometery, tactile comparison, or other method to ensure roughness less than or equal to 1.6 micrometeres.</t>
  </si>
  <si>
    <t>STR-3.07</t>
  </si>
  <si>
    <t>Exterior Dimensions</t>
  </si>
  <si>
    <t xml:space="preserve">The rails of the NuKAT shall be the only parts to touch the deployment mechanism (rails). The rails shall extend no less than 2 millimeters from the exterior faces of NuKAT. </t>
  </si>
  <si>
    <t>To prevent undue contact with the deployer that could result in unintended damage</t>
  </si>
  <si>
    <t>2 millimeters</t>
  </si>
  <si>
    <t>Inspect the deployment rails mounted to the satellite and verify that the rails extend at minimum 2 mm from the exterior faces.</t>
  </si>
  <si>
    <t>STR-3.08</t>
  </si>
  <si>
    <t>Rail Alignment</t>
  </si>
  <si>
    <t>The rails of NuKAT shall be coplanar within +/- 100 micrometers</t>
  </si>
  <si>
    <t>100 micrometers</t>
  </si>
  <si>
    <t>Inspect satellite deployment rail alignment with optical comparitor or similar device to ensure rails are coplanar within +/- 100 micrometers.</t>
  </si>
  <si>
    <t>STR-3.09</t>
  </si>
  <si>
    <t>Rail Dimensions</t>
  </si>
  <si>
    <t xml:space="preserve">The rail dimensions shall conform to the deployer's specifications while simultaneously meeting the NuKAT dimensions </t>
  </si>
  <si>
    <t>Nu-1.06</t>
  </si>
  <si>
    <t>100 mm X100 mm</t>
  </si>
  <si>
    <t>Inspect deployment rails to confirm dimensions meet both deployer and NuKAT mission specifications.</t>
  </si>
  <si>
    <t>STR-3.10</t>
  </si>
  <si>
    <t>Rail Orientation</t>
  </si>
  <si>
    <t>The rails shall run parallel to the Y-axis, one per corner of NuKAT, which will allow the payload to slide along the rail interface of the deployer.</t>
  </si>
  <si>
    <t>4 rails, parallel Y</t>
  </si>
  <si>
    <t xml:space="preserve">Inspect the deployment rails and verify that they run paralell to the z-axis. </t>
  </si>
  <si>
    <t>STR-3.11</t>
  </si>
  <si>
    <t>Neutron Detector Mounting</t>
  </si>
  <si>
    <t>Detectors shall be mounted securely with restrained movement and no obstructions to it collecting its data at its proper rate</t>
  </si>
  <si>
    <t>Alllow safe transportation and proper functionality for detectors on board</t>
  </si>
  <si>
    <t>Inspect the neutron detector mounting solution to ensure that it is mounted securely and there are no obstructions to the detector.</t>
  </si>
  <si>
    <t>3.8 Thermal Requirements</t>
  </si>
  <si>
    <t>THM-3.01</t>
  </si>
  <si>
    <t>Thermal Control System Volume</t>
  </si>
  <si>
    <t>The subsystem (heaters and heat strips/insulation) shall not take up more than 10.5% of the NuKat's total volume</t>
  </si>
  <si>
    <t>Volume is limited and must be used sparingly for a supplementary system like thermal</t>
  </si>
  <si>
    <t>8.41%+straps</t>
  </si>
  <si>
    <t>I &amp; A</t>
  </si>
  <si>
    <t>Analyze the thermal control system model and verify via inspection that it does not take up more than "x" % of NuKAT's volume.</t>
  </si>
  <si>
    <t>THM-3.02</t>
  </si>
  <si>
    <t>Thermal Contol System Mass</t>
  </si>
  <si>
    <t>The physical mass of the thermal subsystem (heaters, heat strips, insulation) shall not exceed 100 grams</t>
  </si>
  <si>
    <t>Mass will be a finite resource on NuKAT and must be distributed between subsystems</t>
  </si>
  <si>
    <t>100g</t>
  </si>
  <si>
    <t>75.4g</t>
  </si>
  <si>
    <t>Inspect the thermal control system component mass to confirm does not exceed "x" grams.</t>
  </si>
  <si>
    <t>THM-3.03</t>
  </si>
  <si>
    <t>Thermal Control System Energy Usage</t>
  </si>
  <si>
    <t>Energy usage per orbit shall not exceed x Wh. This includes active thermal regulation (RTDs, control system for heater) inside of EPS and resistive heaters.</t>
  </si>
  <si>
    <t>Energy will be a finite resource on NuKAT and must be distributed between subsystems</t>
  </si>
  <si>
    <t>&gt;2.1 W simultaneously</t>
  </si>
  <si>
    <t>Analyze expected power consumption of components and test that energy usage does not exceed "x" Wh for an orbital period.</t>
  </si>
  <si>
    <t>THM-3.04</t>
  </si>
  <si>
    <t>Thermal Control System</t>
  </si>
  <si>
    <t>The satellite shall be maintained within -20 to 50 C temperature range (hard cutoff range) based upon the operational requirements of each (narrowed in op range)</t>
  </si>
  <si>
    <t>Payload Operational Status</t>
  </si>
  <si>
    <t>BUS-2.06, PL-3.07, ADC-4.09a</t>
  </si>
  <si>
    <t xml:space="preserve"> -20-50</t>
  </si>
  <si>
    <t>Analyze the thermal system's payload cooling/heating capabilities in a simulated environment and verify temps are between -40 and 80C for hard cutoff.</t>
  </si>
  <si>
    <t>THM-3.05</t>
  </si>
  <si>
    <t>Thermal Control - Radiator</t>
  </si>
  <si>
    <t>The radiator shall maintain a temperature within a -20 to 40 C range (passive system, heat strips)</t>
  </si>
  <si>
    <t>System Health</t>
  </si>
  <si>
    <t xml:space="preserve"> -20-40</t>
  </si>
  <si>
    <t>Analyze the thermal system's radiator in a simulated environment and confirm that the temps are maintained between -20 ot 40C in operating conditions.</t>
  </si>
  <si>
    <t>THM-3.06</t>
  </si>
  <si>
    <t>Thermal Control - Payload</t>
  </si>
  <si>
    <t>the thermal control system shall maintain the payload temperature with a -20 to 55 C range</t>
  </si>
  <si>
    <t>Payload Operational Status and Quality during times of necessary operations</t>
  </si>
  <si>
    <t xml:space="preserve"> -20-55</t>
  </si>
  <si>
    <t>Analyze the thermal system's payload cooling/heating capabilities in a simulated environment and verify temps are between -30 and 70C.</t>
  </si>
  <si>
    <t>THM-3.07</t>
  </si>
  <si>
    <t>Thermal Control System Measurement</t>
  </si>
  <si>
    <t>Temperatue shall be recorded within x intervals of each operating component within the cubesat and relayed to controls</t>
  </si>
  <si>
    <t>Tracking the current temperatures will allow the computer to activate/deactivate thermal control systems as needed</t>
  </si>
  <si>
    <t>1 min</t>
  </si>
  <si>
    <t>Test that the thermal control system is recording remperature data of each component and relaying to control systems.</t>
  </si>
  <si>
    <t>THM-3.08</t>
  </si>
  <si>
    <t>Thermal Control System Derivative</t>
  </si>
  <si>
    <t>Temperature of each component should not change with respect to time at a rate greater than x degrees per x time interval. Accomplished with balance of control systems, radiation, and heat generation</t>
  </si>
  <si>
    <t>Power Usage Efficiency and Factor of Safety</t>
  </si>
  <si>
    <t>Analyze rate of change of component temperatures in simulated environemt to verify they do not change by more than "x" degrees per "x" time interval.</t>
  </si>
  <si>
    <t>3.10 Ground Station Hardware Requirements</t>
  </si>
  <si>
    <t>GSH-3.01</t>
  </si>
  <si>
    <t>Location</t>
  </si>
  <si>
    <t>The ground system shall have a primary and secondary loction that allows for clear communication at TBD time interavals. Primary location shall be located within campus boundaries.</t>
  </si>
  <si>
    <t>Primary location shall be KSU radio station. A secondary location is needed in case of equipment failure or power loss.</t>
  </si>
  <si>
    <t>Demonstrate that a primary and secondary ground station exist, and that the primary locaition is located within campus boundaries.</t>
  </si>
  <si>
    <t>GSH-3.02</t>
  </si>
  <si>
    <t>Contact Time</t>
  </si>
  <si>
    <t>The ground system shall be aware of the satellite's location to achieve communication for 5.8 minutes.</t>
  </si>
  <si>
    <t>Contact time needs to allow for required data to be transmitted and recieved.</t>
  </si>
  <si>
    <t>Demonstrate that the ground system is able to track satelite location for 5.8 minutes</t>
  </si>
  <si>
    <t>GSH-3.03</t>
  </si>
  <si>
    <t>Security</t>
  </si>
  <si>
    <t>The ground station shall be in a secure location with restricted access.</t>
  </si>
  <si>
    <t>Ground station hardware can be sensitive equipment that should only be accessed by informed and trained personell.</t>
  </si>
  <si>
    <t>GSH-3.06</t>
  </si>
  <si>
    <t>Demonstrate that only trained personell have access to mission sensitive equipment and that the equipment is stored in a non-sensitive location.</t>
  </si>
  <si>
    <t>GSH-3.04</t>
  </si>
  <si>
    <t>The ground station shall be able to provide "x" amount of power to components.</t>
  </si>
  <si>
    <t>Certain components may have specific power requirements to efficiently and properly function.</t>
  </si>
  <si>
    <t>A&amp;D</t>
  </si>
  <si>
    <t>Analyze how much power each component needs and demonstrate that the ground station can provide enough power to each component</t>
  </si>
  <si>
    <t>GSH-3.05</t>
  </si>
  <si>
    <t>Licensing</t>
  </si>
  <si>
    <t>The ground station shall have licesning to operate UHF communication bands and meet FCC requirements.</t>
  </si>
  <si>
    <t>Experimental radio license is common for universities. Capable of supporting amateur radio station.</t>
  </si>
  <si>
    <t>CDH-3.01, CDH-3.02</t>
  </si>
  <si>
    <t>Demonstrate that the university is in posession of an experimental radio license that allows operations in the UHF band.</t>
  </si>
  <si>
    <t>Training</t>
  </si>
  <si>
    <t>Personell directly operating the ground station shall have expert level training on its systems.</t>
  </si>
  <si>
    <t>Operation of the ground station will be needed.</t>
  </si>
  <si>
    <t>Demonstrate that all personell operating the ground station have had an exceptable level of training and meet the required qualifications</t>
  </si>
  <si>
    <t>GSH-3.07</t>
  </si>
  <si>
    <t>Operational Lifetime</t>
  </si>
  <si>
    <t>The ground station shall have an operational lifetime that meets or exceeds mission requirements.</t>
  </si>
  <si>
    <t>NuKAT has no way to deliver data or be monitored if the ground station is inoperable.</t>
  </si>
  <si>
    <t>PHAT-1.05</t>
  </si>
  <si>
    <t>&gt;2 years</t>
  </si>
  <si>
    <t>Analyze ground station system hardware and evaluate expected lifetime in simulated environment to verify lifetime is greater than or equal to mission life.</t>
  </si>
  <si>
    <t>3.11 Ground Software Requirements</t>
  </si>
  <si>
    <t>GSW-3.01</t>
  </si>
  <si>
    <t>Network</t>
  </si>
  <si>
    <t>The ground software shall establish a network connection between what is hosting it and the ground station. TBD if the ground station has network sockets</t>
  </si>
  <si>
    <t>To establish communications between the host of the ground software and the ground station</t>
  </si>
  <si>
    <t>T&amp;D</t>
  </si>
  <si>
    <t xml:space="preserve">Test that the ground software can establish a connection between its host and the grund station then demonstrate that it can establish this connection reliably </t>
  </si>
  <si>
    <t>GSW-3.02</t>
  </si>
  <si>
    <t>File Transfer</t>
  </si>
  <si>
    <t>The ground software shall reliably and securely be able to transfer information to the satellite.</t>
  </si>
  <si>
    <t>The ground system must be able to send commands and receive images.</t>
  </si>
  <si>
    <t>Demonstrate that ground software is able to generate commands to be sent to the satellite and transmit them when commanded to.</t>
  </si>
  <si>
    <t>GSW-3.03</t>
  </si>
  <si>
    <t>The ground software shall establish an encryption protocol for uplinking commands during communications. Need of a compression protocol is TBD on data estimates</t>
  </si>
  <si>
    <t>Ensure stystem security to meet potential requirements of ride along programs, specifically NASA programs. It would be better to have it and not need it, then to need it and not have it.</t>
  </si>
  <si>
    <t>Analyze potential security requirements and demonstrate that a encryption protocol has been established.</t>
  </si>
  <si>
    <t>GSW-3.04</t>
  </si>
  <si>
    <t>Data Processing</t>
  </si>
  <si>
    <t>The ground software shall be able to process and display data in a meaningful manner</t>
  </si>
  <si>
    <t>The software must create usable data</t>
  </si>
  <si>
    <t>GS-2.03, GS-2.02</t>
  </si>
  <si>
    <t>Demonstrate that the ground software is able to generate the desired meaningful graphs for ground operators to interpret and act upon.</t>
  </si>
  <si>
    <t>GSW-3.05</t>
  </si>
  <si>
    <t>Storage/Data Pipeline</t>
  </si>
  <si>
    <t>The ground software shall store and retrieve data from a database</t>
  </si>
  <si>
    <t>If the ground station should be continually receiving data, then it makes sense to store that data in a database and be able to retrieve it when necessary. This should be done either through continuous storage or in set periods of time.</t>
  </si>
  <si>
    <t xml:space="preserve">Demonstrate that the ground software can store and recieve data from a database </t>
  </si>
  <si>
    <t>GSW-3.06</t>
  </si>
  <si>
    <t>Distribution</t>
  </si>
  <si>
    <t>The ground software shall distribute process data to users.</t>
  </si>
  <si>
    <t>Demonstrate that the ground software is able to facilitate distribution of downlink data to multiple end users.</t>
  </si>
  <si>
    <t>GSW-3.07</t>
  </si>
  <si>
    <t>Alert System</t>
  </si>
  <si>
    <t>The ground software shall alert a user or admin when necessary</t>
  </si>
  <si>
    <t>If the satellite is downlinking that it is an emergency state, a user should be made aware. This could be done through email, sms, or any other quick message method.</t>
  </si>
  <si>
    <t>Test to see if the ground software can respond to the satelite downlinking an emergency and demonstrate that teh ground software will alert a user or admin when an emergency is observed</t>
  </si>
  <si>
    <t>3.12 Mission Operation Requirements</t>
  </si>
  <si>
    <t>MOP-3.01</t>
  </si>
  <si>
    <t>MOP-3.02</t>
  </si>
  <si>
    <t>MOP-3.03</t>
  </si>
  <si>
    <t>MOP-3.04</t>
  </si>
  <si>
    <t>MOP-3.05</t>
  </si>
  <si>
    <t>3.13 Launch System Requirements</t>
  </si>
  <si>
    <t>LNC-3.01</t>
  </si>
  <si>
    <t>Deployment Tumble</t>
  </si>
  <si>
    <t>The launch dispenser shall deploy NuKAT with a tumbling rate of less than 60 deg/s.</t>
  </si>
  <si>
    <t>LNC must not create excessive tumbling, due to STR deployment and ADC detumble.</t>
  </si>
  <si>
    <t>&lt; 30 deg/s</t>
  </si>
  <si>
    <t>Analyze launcher system in simulated environment and determine tumble induced by dispenser.</t>
  </si>
  <si>
    <t>LNC-3.02</t>
  </si>
  <si>
    <t>Volume Compliance</t>
  </si>
  <si>
    <t>LNC shall be capable of launching a 2U satellite into the desired orbit.</t>
  </si>
  <si>
    <t>Constraint based on system parameters.</t>
  </si>
  <si>
    <t>= 2U</t>
  </si>
  <si>
    <t>Analyze system parameters and demonstrate that LNC is capable of launching a 2U satelite into desired orbit.</t>
  </si>
  <si>
    <t>LNC-3.03</t>
  </si>
  <si>
    <t>Mass Compliance</t>
  </si>
  <si>
    <t>LNC shall be capable of launching at least 2.66 kg into the desired orbit.</t>
  </si>
  <si>
    <t>Constraint based on NASA CubeSat definition of 2kg/U and best practice of 1.33kg/U.</t>
  </si>
  <si>
    <t>&gt;= 2.66 kg</t>
  </si>
  <si>
    <t>&gt;= 4 kg</t>
  </si>
  <si>
    <t>Demonstrate that launch provider is able to accept and dispense a satellite of at least 2.66 kg.</t>
  </si>
  <si>
    <t>LNC-3.04</t>
  </si>
  <si>
    <t>Launch Provider Compliance</t>
  </si>
  <si>
    <t>LNC shall provide STR with dispenser specifications and testing methods, to ensure compabitility with the provider's deployment system.</t>
  </si>
  <si>
    <t>Launch provider affects STR deployment design.</t>
  </si>
  <si>
    <t>Demonstrate that LNC provides STR with required data.</t>
  </si>
  <si>
    <t>LNC-3.05</t>
  </si>
  <si>
    <t>LNC shall cost less than $x.</t>
  </si>
  <si>
    <t>Budget allocated for launch.</t>
  </si>
  <si>
    <t>&lt; $x</t>
  </si>
  <si>
    <t>Demonstrate that the total cost of launch and dispensing is within the allocated budget.</t>
  </si>
  <si>
    <t>3.14 Electrical Ground Support Requirements</t>
  </si>
  <si>
    <t>EGSE-3.01</t>
  </si>
  <si>
    <t>The assembly, integration and testing facility shall have a secure location on campus.</t>
  </si>
  <si>
    <t xml:space="preserve">A designated area for testing and assembly. </t>
  </si>
  <si>
    <t>D&amp;I</t>
  </si>
  <si>
    <t xml:space="preserve">Demonstrate that integration and test have a location on campus and inspect the location to ensure that it remains secure </t>
  </si>
  <si>
    <t>EGSE-3.02</t>
  </si>
  <si>
    <t>The facility shall have access restricted to designated team personnel.</t>
  </si>
  <si>
    <t>Prevent unauthorized access to sensitive components.</t>
  </si>
  <si>
    <t xml:space="preserve">Demonstrate that the I&amp;T facility is in an access-controlled location and that only certain individuals have access to the location and equipment. </t>
  </si>
  <si>
    <t>EGSE-3.03</t>
  </si>
  <si>
    <t>Lab Instruments</t>
  </si>
  <si>
    <t>The facility shall provide electrical testing equipment not limited to a multimeter, power supply, function generator, o-scope, data acquisition system, etc.</t>
  </si>
  <si>
    <t>Allows for accurate testing and assembly of components.</t>
  </si>
  <si>
    <t>Analyze what equipment is needed for any testing and integration and then demonstrate that the facility is able to provide all necessary equipment</t>
  </si>
  <si>
    <t>EGSE-3.04</t>
  </si>
  <si>
    <t>Proper Grounding</t>
  </si>
  <si>
    <t>The facility station shall provide a grounded workspace.</t>
  </si>
  <si>
    <t>This provides a safe working environment for handling sensitive electronic components.</t>
  </si>
  <si>
    <t>Demonstrate that all proper precations have been taken to ground the workspace, and inspect the workspace to verify no buildup of charge is present.</t>
  </si>
  <si>
    <t>EGSE-3.05</t>
  </si>
  <si>
    <t>Computing Capabilities</t>
  </si>
  <si>
    <t>The facility shall supply computing and networking resources.</t>
  </si>
  <si>
    <t>Computer allows for interfacing with required software</t>
  </si>
  <si>
    <t>Demonstrate that the facility provides computing and networking resources</t>
  </si>
  <si>
    <t>3.15 Mechanical Ground Support Requirements</t>
  </si>
  <si>
    <t>MGSE-3.01</t>
  </si>
  <si>
    <t>CubeSat Holder</t>
  </si>
  <si>
    <t>The holder shall retain NuKAT by the rails as it would in the launch dispenser</t>
  </si>
  <si>
    <t>To provide a verification of a dimensional clearance to ensure NuKAT is in complience with the launch dispenser</t>
  </si>
  <si>
    <t>I&amp;D</t>
  </si>
  <si>
    <t>Inspect the CubeSat holder to ensure dimensional equivalency to launch dispenser and demonstrate that the cube sat is held firmly in place as it would be in the launch vehicle.</t>
  </si>
  <si>
    <t>MGSE-3.02</t>
  </si>
  <si>
    <t>Clearance Compliance</t>
  </si>
  <si>
    <t>No part of the holder should extend into the space that encompasses NuKAT</t>
  </si>
  <si>
    <t>To avoid damage to mechanical and electrical components</t>
  </si>
  <si>
    <t>Inspect the holder to get the dimensions and demonstrate that the holder does not extend into Nukat's space</t>
  </si>
  <si>
    <t>MGSE-3.03</t>
  </si>
  <si>
    <t>Dust Prevention</t>
  </si>
  <si>
    <t>The holder should have an optically transparent shell or be able to be enveloped in a bag</t>
  </si>
  <si>
    <t>Prevent dust collection on satellite components and ensure visual viewing of NuKAT</t>
  </si>
  <si>
    <t>TBS</t>
  </si>
  <si>
    <t>Demonstrate that the holder has accommodations for a transparent dust cover, either a shell or a bag that fully envelops the satellite.</t>
  </si>
  <si>
    <t>MGSE-3.04</t>
  </si>
  <si>
    <t>Static Buildup Prevention</t>
  </si>
  <si>
    <t>The holder should be able to disipate static electricity or be constructed of antistatic materials</t>
  </si>
  <si>
    <t>To avoid damage of electrial components</t>
  </si>
  <si>
    <t>Test to see if the holder is able to disipate static electricity</t>
  </si>
  <si>
    <t>MGSE-3.05</t>
  </si>
  <si>
    <t>Impact Protection</t>
  </si>
  <si>
    <t>The holder should fit into a hard case for transport.</t>
  </si>
  <si>
    <t>Prevent damage to NuKAT and the holder during transport</t>
  </si>
  <si>
    <t xml:space="preserve">Inspect the dimensions of the holder and demonstrate that it fits into a hard case </t>
  </si>
  <si>
    <t>MGSE-3.06</t>
  </si>
  <si>
    <t>NuKAT LEVEL 4 REQUIREMENTS: Component Level</t>
  </si>
  <si>
    <t>4.1 Satellite Requirements</t>
  </si>
  <si>
    <t>SYS-4.01</t>
  </si>
  <si>
    <t>4.2 Payload Requirements</t>
  </si>
  <si>
    <t>PL-4.01</t>
  </si>
  <si>
    <t>DSC-Domino fastening</t>
  </si>
  <si>
    <r>
      <rPr>
        <sz val="11"/>
        <color rgb="FF000000"/>
        <rFont val="Aptos Narrow"/>
        <family val="2"/>
        <scheme val="minor"/>
      </rPr>
      <t>The dominos shall be securely fastened to either the moderator or the structure using {</t>
    </r>
    <r>
      <rPr>
        <sz val="11"/>
        <color rgb="FFFF0000"/>
        <rFont val="Aptos Narrow"/>
        <family val="2"/>
        <scheme val="minor"/>
      </rPr>
      <t>insert size</t>
    </r>
    <r>
      <rPr>
        <sz val="11"/>
        <color rgb="FF000000"/>
        <rFont val="Aptos Narrow"/>
        <family val="2"/>
        <scheme val="minor"/>
      </rPr>
      <t>} bolt using the four mounting holes on each platform</t>
    </r>
  </si>
  <si>
    <t>There are four mounting holes on each DSC-Domino package that should be used to secure the domino inside the moderator and to the frame for the two different moderation conditions</t>
  </si>
  <si>
    <t>Demonstrate that he dominos shall be securely fastened to either the moderator or the structure using {insert size} bolt using the four mounting holes on each platform</t>
  </si>
  <si>
    <t>PL-4.02</t>
  </si>
  <si>
    <t>Moderator fastening</t>
  </si>
  <si>
    <r>
      <rPr>
        <sz val="11"/>
        <color rgb="FF000000"/>
        <rFont val="Aptos Narrow"/>
        <family val="2"/>
        <scheme val="minor"/>
      </rPr>
      <t>The moderator shall be securely fastened to the satellite structure using {</t>
    </r>
    <r>
      <rPr>
        <sz val="11"/>
        <color rgb="FFFF0000"/>
        <rFont val="Aptos Narrow"/>
        <family val="2"/>
        <scheme val="minor"/>
      </rPr>
      <t>insert technique</t>
    </r>
    <r>
      <rPr>
        <sz val="11"/>
        <color rgb="FF000000"/>
        <rFont val="Aptos Narrow"/>
        <family val="2"/>
        <scheme val="minor"/>
      </rPr>
      <t>}</t>
    </r>
  </si>
  <si>
    <t xml:space="preserve">The moderator, being the housing for two of the detectors, must be secured to the satellite frame to ensure payload safety and accurate pointing </t>
  </si>
  <si>
    <t>Demonstrate the moderator is securely fastened to the satellite structure</t>
  </si>
  <si>
    <t>PL-4.03</t>
  </si>
  <si>
    <t>DSC-Domino data interface</t>
  </si>
  <si>
    <t>The dominos shall use a usb-c cable to receive commands and relay data</t>
  </si>
  <si>
    <t>The platform comes with a built-in USB-C port for all comunication needs</t>
  </si>
  <si>
    <t>Demonstrate that the dominos use a usb-c cable to receive and transfer commands</t>
  </si>
  <si>
    <t>PL-4.04</t>
  </si>
  <si>
    <t>DSC-Domino power interface</t>
  </si>
  <si>
    <t>The dominos shall use a usb-c cable to receive power</t>
  </si>
  <si>
    <t>The platform comes with a built-in USB-C port for all power needs</t>
  </si>
  <si>
    <t>Demonstarte that the dominos use a usb-c cable to receive power</t>
  </si>
  <si>
    <t>PL-4.05</t>
  </si>
  <si>
    <t>DSC-Domino keep-out zone</t>
  </si>
  <si>
    <t xml:space="preserve">The two unmoderated platforms shall have their nadir- and zenith-faces unobstructed by the HDPE moderator </t>
  </si>
  <si>
    <t>To ensure that the moderator is not impacting the unmoderated detectors, they should be located in the 1U allocated for the bus systems where there is no HDPE directly above or below the detector. Ideally, they're on the opposite side of the craft from the moderator</t>
  </si>
  <si>
    <t>PL-3.01, PL-3.10</t>
  </si>
  <si>
    <t>Demonstrate that the two unmoderated platforms have their Nadir and Zenith faces unobstructed.</t>
  </si>
  <si>
    <t>PL-4.06</t>
  </si>
  <si>
    <r>
      <t>Detector power distribution {</t>
    </r>
    <r>
      <rPr>
        <sz val="11"/>
        <color rgb="FFFF0000"/>
        <rFont val="Aptos Narrow"/>
        <family val="2"/>
        <scheme val="minor"/>
      </rPr>
      <t>if needed for separate power and data interfaces</t>
    </r>
    <r>
      <rPr>
        <sz val="11"/>
        <color theme="1"/>
        <rFont val="Aptos Narrow"/>
        <family val="2"/>
        <scheme val="minor"/>
      </rPr>
      <t>}</t>
    </r>
  </si>
  <si>
    <t>There shall be a 5 Volt rail capable of supplying 0.012 amps to each detector (62 mW to each detector, or 0.248 W for the system)</t>
  </si>
  <si>
    <t>In the case of compartmentalized power and data interfaces with the detector, a 5 V rail capable of supplying enough power for all four detectors will be needed for the subsystem</t>
  </si>
  <si>
    <t>Demonstrate the 5v rail is able to suply 0.012 amps to each detector</t>
  </si>
  <si>
    <t>PL-4.07</t>
  </si>
  <si>
    <t>DSC-Domino data frequency</t>
  </si>
  <si>
    <r>
      <t>While in science mode, the detectors shall have their counts pulled at a frequency of at least {</t>
    </r>
    <r>
      <rPr>
        <sz val="11"/>
        <color rgb="FFFF0000"/>
        <rFont val="Aptos Narrow"/>
        <family val="2"/>
        <scheme val="minor"/>
      </rPr>
      <t>10 Hz</t>
    </r>
    <r>
      <rPr>
        <sz val="11"/>
        <color theme="1"/>
        <rFont val="Aptos Narrow"/>
        <family val="2"/>
        <scheme val="minor"/>
      </rPr>
      <t>} for nominal operation and 0.1 Hz for minimum success and their temperatures pulled at a frequency of at least {</t>
    </r>
    <r>
      <rPr>
        <sz val="11"/>
        <color rgb="FFFF0000"/>
        <rFont val="Aptos Narrow"/>
        <family val="2"/>
        <scheme val="minor"/>
      </rPr>
      <t>0.5 Hz</t>
    </r>
    <r>
      <rPr>
        <sz val="11"/>
        <color theme="1"/>
        <rFont val="Aptos Narrow"/>
        <family val="2"/>
        <scheme val="minor"/>
      </rPr>
      <t>}</t>
    </r>
  </si>
  <si>
    <t>To get quality data the minimum count frequency will allow data points around every kilometer of distance traveled and the temperature pull will ensure adequate temperature regulation and reaction</t>
  </si>
  <si>
    <t>PL-3.01, PL-3.03, PL-3.08</t>
  </si>
  <si>
    <t>Test the detectors in science mode to see if their counts are pulled at a fraquency of at least 10Hz and their temperatures are pulled at a frequency of at least 0.5 Hz</t>
  </si>
  <si>
    <t>PL-4.08</t>
  </si>
  <si>
    <t>DSC-Domino upset flagging</t>
  </si>
  <si>
    <r>
      <t>The data gathered from the backup dominos shall be compared to the primary dominos and any difference of {</t>
    </r>
    <r>
      <rPr>
        <sz val="11"/>
        <color rgb="FFFF0000"/>
        <rFont val="Aptos Narrow"/>
        <family val="2"/>
        <scheme val="minor"/>
      </rPr>
      <t>5%</t>
    </r>
    <r>
      <rPr>
        <sz val="11"/>
        <color theme="1"/>
        <rFont val="Aptos Narrow"/>
        <family val="2"/>
        <scheme val="minor"/>
      </rPr>
      <t>} or more over an average of {</t>
    </r>
    <r>
      <rPr>
        <sz val="11"/>
        <color rgb="FFFF0000"/>
        <rFont val="Aptos Narrow"/>
        <family val="2"/>
        <scheme val="minor"/>
      </rPr>
      <t xml:space="preserve">20  </t>
    </r>
    <r>
      <rPr>
        <sz val="11"/>
        <color theme="1"/>
        <rFont val="Aptos Narrow"/>
        <family val="2"/>
        <scheme val="minor"/>
      </rPr>
      <t>} worth of data collection will be flagged as potential detector error</t>
    </r>
  </si>
  <si>
    <t>To ensure detectors are functioning as expected and no issues are ocurring, the backup platform in each moderation condition will check the measurements of the primary platform</t>
  </si>
  <si>
    <t>PL-3.01, PL-3.02, PL-3.03, PL-3.08</t>
  </si>
  <si>
    <t xml:space="preserve"> T &amp; D</t>
  </si>
  <si>
    <t>Test the backup dominos to se eif they compare their data to the primary dominos and demonstrate that any difference of 5% over 5 seconds is flagged as potential dtector error.</t>
  </si>
  <si>
    <t>PL-4.09</t>
  </si>
  <si>
    <t>DSC-Domino thermal interface</t>
  </si>
  <si>
    <t>The dominos shall have thermal couples to the heater(s) and radiator(s) to ensure they are kept in thermal limits (-20 °C and 55 °C) during operation</t>
  </si>
  <si>
    <t>The detectors must be kept within thermal limits when operating to keep thermal noise to a minumum (from high temperature) and ensure hardware functions (from low temperature)</t>
  </si>
  <si>
    <t>Demonstrate the dominos have thermal couples to the heaters and radiators to ensure they are kept in thermal limits (-20 °C and 55 °C)</t>
  </si>
  <si>
    <t xml:space="preserve"> </t>
  </si>
  <si>
    <t>4.3 Attitude Determination and Control Requirements</t>
  </si>
  <si>
    <t>ADC-4.01</t>
  </si>
  <si>
    <t>Calibration Period</t>
  </si>
  <si>
    <t>ADC shall be able to calibrate orientation and velocity sensors when required.</t>
  </si>
  <si>
    <t>ADC software must be able to detect calibration failures and calibrate using multiple sensors.</t>
  </si>
  <si>
    <t>Test by performing calibration in simulated environment, verify satellite and testbed data agree within the resolution of the sensors</t>
  </si>
  <si>
    <t>ADC-4.02a</t>
  </si>
  <si>
    <t>Fine Sun Sensor Angular Accuracy</t>
  </si>
  <si>
    <t>ADC shall use Fine Sun Sensors with an angular accuracy within 10 degrees.</t>
  </si>
  <si>
    <t>Enables sun tracking for payload pointing and charging.</t>
  </si>
  <si>
    <t>ADC-3.03</t>
  </si>
  <si>
    <t>Test sensors over operating range, verify accuracy within system resolution</t>
  </si>
  <si>
    <t>ADC-4.02b</t>
  </si>
  <si>
    <t>Fun Sun Sensor Field of View</t>
  </si>
  <si>
    <t>ADC shall use Fine Sun Sensors with a field of view of at least +/- 45 degrees.</t>
  </si>
  <si>
    <t>Sun tracking must be possible at near-Earth-normal orientation.</t>
  </si>
  <si>
    <t>&gt;45 deg</t>
  </si>
  <si>
    <t>&gt;60 deg</t>
  </si>
  <si>
    <t>Test sensors over operating range, verify accuracy within system range</t>
  </si>
  <si>
    <t>ADC-4.03a</t>
  </si>
  <si>
    <t>Coarse Sun Sensor Angular Accuracy</t>
  </si>
  <si>
    <t>ADC shall use Coarse Sun Sensors with an angular accuracy within 10 degrees.</t>
  </si>
  <si>
    <t>Enables sun awareness at all expected orientations.</t>
  </si>
  <si>
    <t>ADC-3.07</t>
  </si>
  <si>
    <t>ADC-4.03b</t>
  </si>
  <si>
    <t>Coarse Sun Sensor Field of View</t>
  </si>
  <si>
    <t>ADC shall use Coarse Sun Sensors with a field of view of at least +/- 45 degrees.</t>
  </si>
  <si>
    <t>Sun awareness should be possible at all expected orientations.</t>
  </si>
  <si>
    <t>ADC-4.04</t>
  </si>
  <si>
    <t>Magnetometer Angular Accuracy</t>
  </si>
  <si>
    <t>ADC shall use Magnetometers with an angular accuracy within 5 degrees.</t>
  </si>
  <si>
    <t>Enables earth-normal tracking for payload pointing.</t>
  </si>
  <si>
    <t>ADC-3.02, ADC-3.04</t>
  </si>
  <si>
    <t>&lt;5 deg</t>
  </si>
  <si>
    <t>ADC-4.05</t>
  </si>
  <si>
    <t>Magnetorquer Angular Accuracy</t>
  </si>
  <si>
    <t>ADC shall use Magnetorquers to make maneuvers accurate to less than 5 degrees.</t>
  </si>
  <si>
    <t>Satellite must be maneuverable within the resolution of the most precise sensors.</t>
  </si>
  <si>
    <t>ADC-3.02, ADC-3.03, ADC-3.04, ADC-3.07</t>
  </si>
  <si>
    <t>ADC-4.06</t>
  </si>
  <si>
    <t>FSW Interface with MCB</t>
  </si>
  <si>
    <t>ADC Main Control Board must be able to receive commands, provide health &amp; status, and push MTM data to PLD for ground re-normalization.</t>
  </si>
  <si>
    <t>Required connections for power and commands.</t>
  </si>
  <si>
    <t>Test that ADC can be controlled from main bus</t>
  </si>
  <si>
    <t>ADC-4.07</t>
  </si>
  <si>
    <t>EPD Interface with MCB</t>
  </si>
  <si>
    <t>ADC Main Control Board must be able to draw power from EPD.</t>
  </si>
  <si>
    <t>Test that ADC can be powered from main bus</t>
  </si>
  <si>
    <t>ADC-4.08</t>
  </si>
  <si>
    <t>CDH Interface with MCB</t>
  </si>
  <si>
    <t>ADC Main Control Board must be able to pull GPS data from CDH to confirm position and time.</t>
  </si>
  <si>
    <t>Payload and tracking support.</t>
  </si>
  <si>
    <t>Test that ADC can access GPS data for calibration</t>
  </si>
  <si>
    <t>ADC-4.09</t>
  </si>
  <si>
    <t>Miscellaneous Requirements</t>
  </si>
  <si>
    <t>All ADC components shall fall within total SWaP-C for ADC system.</t>
  </si>
  <si>
    <t>Compliance with overall requirements.</t>
  </si>
  <si>
    <t>ADC-3.04</t>
  </si>
  <si>
    <t>Demonstrate that all components of ADC fall within system and subsystem requirements</t>
  </si>
  <si>
    <t>ADC-4.10a</t>
  </si>
  <si>
    <t>Operational Temperature Range</t>
  </si>
  <si>
    <t>ADC shall operate as designed between -20 and 55 degrees Celcius.</t>
  </si>
  <si>
    <t>Science mission temp range.</t>
  </si>
  <si>
    <t>-20 to 55 deg C</t>
  </si>
  <si>
    <t>-40 to 85 deg C</t>
  </si>
  <si>
    <t>Analyze components of ADC during design to verify  components will handle extreme temp range, and test with TVAC chamber.</t>
  </si>
  <si>
    <t>ADC-4.10b</t>
  </si>
  <si>
    <t>Survivable Temperature Range</t>
  </si>
  <si>
    <t>ADC shall endure any temperature between "x" and "y" degrees Celcius.</t>
  </si>
  <si>
    <t>Absolute temp range from THM system.</t>
  </si>
  <si>
    <t>"x" to "y" deg C</t>
  </si>
  <si>
    <t>Analyze components of ADC during design to verify components can handle any temperature between "x" and "y" degrees.</t>
  </si>
  <si>
    <t>ADC-4.11</t>
  </si>
  <si>
    <t>Radiation Hardness</t>
  </si>
  <si>
    <t>ADC shall endure 24 krad of radiation during mission life.</t>
  </si>
  <si>
    <t>Rad survivability from STR shielding decision.</t>
  </si>
  <si>
    <t>&lt; 24 krad</t>
  </si>
  <si>
    <t>&lt; 48 krad</t>
  </si>
  <si>
    <t>Analyze components of ADC in simulated software environment to ensure system can endure "x" krad of radiation during mission life.</t>
  </si>
  <si>
    <t>ADC-4.12</t>
  </si>
  <si>
    <t>ADC shall operate as designed for 2 years.</t>
  </si>
  <si>
    <t>Align with mission lifetime.</t>
  </si>
  <si>
    <t>&lt; 2 years</t>
  </si>
  <si>
    <t>&lt; 5 years</t>
  </si>
  <si>
    <t>Analyze ADC when subjected to environmental conditions of space and verify that the system can endure for "x" years.</t>
  </si>
  <si>
    <t>4.4 Communication and Data Handling Requirements</t>
  </si>
  <si>
    <t>CDH-4.01</t>
  </si>
  <si>
    <t>Satellite Antenna Gain</t>
  </si>
  <si>
    <t>On-board satellite antenna will have a minimum gain of "X" dBi across its operational beamwidth.</t>
  </si>
  <si>
    <t>Antenna gain is a factor in link budget</t>
  </si>
  <si>
    <t>Demonstrate that antenna will have a minimum gain of "X" dBi accorss operational beamwidth</t>
  </si>
  <si>
    <t>CDH-4.02</t>
  </si>
  <si>
    <t>Satellite Antenna Beamwidth</t>
  </si>
  <si>
    <t>On-board satellite antenna will have an operational beamwidth of "X" degrees.</t>
  </si>
  <si>
    <t>Smaller effective beamwidth requires stricter attitude control</t>
  </si>
  <si>
    <t>Demonstrate that the antena has an operational beamwidth of "X" degrees</t>
  </si>
  <si>
    <t>CDH-4.03</t>
  </si>
  <si>
    <t>Link Budget Validation</t>
  </si>
  <si>
    <t>The link budget shall demonstrate a link margin of at least 3 dB.</t>
  </si>
  <si>
    <t>Analyze the link budget and demonstrate that it is within 3 dB</t>
  </si>
  <si>
    <t>CDH-4.04</t>
  </si>
  <si>
    <t>Transceiver Data Rate Cap (Tx)</t>
  </si>
  <si>
    <t>The transceiver downlink data rate shall be bounded to "X" bps.</t>
  </si>
  <si>
    <t>Transmitting too much data over a channel will increase the noise per bit beyond acceptible levels</t>
  </si>
  <si>
    <t>Demonstrate that the tranceiver downlink data rate is bounded to "X" bps</t>
  </si>
  <si>
    <t>CDH-4.05</t>
  </si>
  <si>
    <t>Transceiver Data Rate Cap (Rx)</t>
  </si>
  <si>
    <t>The transceiver uplink data rate shall be bounded to "X" bps.</t>
  </si>
  <si>
    <t>Demonstrate the tranceiever uplink will be bounded to "X" bps</t>
  </si>
  <si>
    <t>CDH-4.06</t>
  </si>
  <si>
    <t>Modulation Implementation</t>
  </si>
  <si>
    <t>The transceiver shall be capable of implementing "X" data modulation.</t>
  </si>
  <si>
    <t>To interface with K-State ground station.</t>
  </si>
  <si>
    <t>Demonstrate that the tranceiver is capable of implementing "X" data modulation</t>
  </si>
  <si>
    <t>4.5 Electrical Power Distribution Requirements</t>
  </si>
  <si>
    <t>EPD-4.01</t>
  </si>
  <si>
    <t>Power Consumption</t>
  </si>
  <si>
    <t>The PCDU shall not draw more than "x" Watts of power when operating.</t>
  </si>
  <si>
    <t>Power used for controlling and maintaining voltage rails should be minimal compared to the overall power consumption.</t>
  </si>
  <si>
    <t>Analyze the expected power output of the solar array and test to verify that the power output is ~"x" watts.</t>
  </si>
  <si>
    <t>EPD-4.02</t>
  </si>
  <si>
    <t>Battery Size</t>
  </si>
  <si>
    <t>The battery shall be of adequate size to provide power to systems while vehicle is in Earth's shadow .</t>
  </si>
  <si>
    <t>During periods in which the vehicle is without access to solar power the battery must be able to provide vehicle power to subsystems.</t>
  </si>
  <si>
    <t>20 Wh</t>
  </si>
  <si>
    <t>Analyze system power draw and battery capacity such that calculations show energy used during dark periods is less than 50% of battery capacity.</t>
  </si>
  <si>
    <t>EPD-4.03</t>
  </si>
  <si>
    <t>Solar Array Size</t>
  </si>
  <si>
    <t>The solar arrays shall conform to a "x"U vehicle size of "x".</t>
  </si>
  <si>
    <t>Vehicle size of "x"U constraints the solar arrays size to vehicle dimensions.</t>
  </si>
  <si>
    <t>Inspect solar array and take necessary measurements to confirm requirement.</t>
  </si>
  <si>
    <t>EPD-4.04</t>
  </si>
  <si>
    <t>Solar Array Power</t>
  </si>
  <si>
    <t>The affixed solar array shall provide nominally ~"x"W on sides of the vehicle.</t>
  </si>
  <si>
    <t>Power produced by solar panels is dependent on area dedicated to PV-cells and orientation of those cells relative to the sun.</t>
  </si>
  <si>
    <t>EPD-4.05</t>
  </si>
  <si>
    <t>Lifetime</t>
  </si>
  <si>
    <t>Component's expected life-span should excede mission life expectancy of "x" months.</t>
  </si>
  <si>
    <t>The components chosen will need to provided power for the entirety of the satellite's mission.</t>
  </si>
  <si>
    <t xml:space="preserve">Analyze the expected lifespan of the components and compare it to the mission life expectancy </t>
  </si>
  <si>
    <t>EPD-4.06</t>
  </si>
  <si>
    <t>Voltage Rails</t>
  </si>
  <si>
    <t>The PCDU shall provide the necessary voltage levels for the busses.</t>
  </si>
  <si>
    <t>There are common voltage levels that all bus components will require for operation.</t>
  </si>
  <si>
    <t>3.3V, 5V, Vbat</t>
  </si>
  <si>
    <t>Analyze the voltage needs of all busses and demonstrate the PCDU can provide the necessary voltage levels to those busses</t>
  </si>
  <si>
    <t>4.6 Flight Software Requirements</t>
  </si>
  <si>
    <t>FSW-4.01</t>
  </si>
  <si>
    <t>Onboard Computer Utilization</t>
  </si>
  <si>
    <t>The flight software shall require under "x"% of full OBC Utilization.</t>
  </si>
  <si>
    <t>The software should not require the full use of the OBC as that would make it prone to crashes and errors.</t>
  </si>
  <si>
    <t>FSW-3.01, 3.03, 3.08</t>
  </si>
  <si>
    <t>Analyze the power requirements of FSW against OBC power, test that consumption is not greater than "x" percent</t>
  </si>
  <si>
    <t>FSW-4.02</t>
  </si>
  <si>
    <t>Software Code Count</t>
  </si>
  <si>
    <t>The flight software should be written within the range of "X" and "Y" lines of code.</t>
  </si>
  <si>
    <t>The software should be robust enough to handle errors while also not over-engineered.</t>
  </si>
  <si>
    <t>Demonstrate that the flight software is written within "x" and "y" lines of code</t>
  </si>
  <si>
    <t>FSW-4.03</t>
  </si>
  <si>
    <t>Decryption Algorithm</t>
  </si>
  <si>
    <t>The flight software shall implement an AES-256 decryption algorithm.</t>
  </si>
  <si>
    <t>The software should have the ability to decrypt ground station commands.</t>
  </si>
  <si>
    <t>Demonstrate that the software uses a AES-256 decryption algorithm</t>
  </si>
  <si>
    <t>FSW-4.04</t>
  </si>
  <si>
    <t>Software Package</t>
  </si>
  <si>
    <t>The flight software shall be implemented using the C, C++, Python, and TriCortex real-time AI languages.</t>
  </si>
  <si>
    <t>The software should be implemented using an embedded software language.</t>
  </si>
  <si>
    <t>Demonstarte that the flight software is implemented using be implemented using the C, C++, Python, and TriCortex real-time AI languages</t>
  </si>
  <si>
    <t>FSW-4.05</t>
  </si>
  <si>
    <t>Software Structure</t>
  </si>
  <si>
    <t>The flight software shall utilize NASA's  core Flight System (cFS) framework.</t>
  </si>
  <si>
    <t>This will give a good baseline to code against, and provide a structured development experience.</t>
  </si>
  <si>
    <t>Demonstrate that the flight software utilizes NASA's cor Flight System framework</t>
  </si>
  <si>
    <t>4.7  Structure Requirements</t>
  </si>
  <si>
    <t>STR-4.01</t>
  </si>
  <si>
    <t>Chassis Dimensions</t>
  </si>
  <si>
    <t>The chassis shall be of maximum dimensions of 100mm X 100mm in the Z by Y plane, 227mm on the X axis</t>
  </si>
  <si>
    <t>This is driven by the launcher, information from Nanoracks</t>
  </si>
  <si>
    <t>100mm x 100mm x 227mm</t>
  </si>
  <si>
    <t>Analyze the dimensions of the satellite assembly CAD models, and physically inspect the finished chassis to confirm dimentional tolerance</t>
  </si>
  <si>
    <t>STR-4.02</t>
  </si>
  <si>
    <t>Chassis Material</t>
  </si>
  <si>
    <t>The material of the chassis shall be aluminum 6061 with a density of 2.7 g/cm^2</t>
  </si>
  <si>
    <t>The material must be able to withstand radiation and launch conditions while still lightweight</t>
  </si>
  <si>
    <t>2.7 g/cm</t>
  </si>
  <si>
    <t>Demonstrate that the chosen chassis material is 6061 aluminum</t>
  </si>
  <si>
    <t>STR-4.03</t>
  </si>
  <si>
    <t>Rail Material and Hardness</t>
  </si>
  <si>
    <t>The material of the rails shall have a hardness equal or greater than the hardness of hard anodized aluminum. The material will be aluminum 6061</t>
  </si>
  <si>
    <t>To prevent cold welding to the deployment chamber</t>
  </si>
  <si>
    <t>Inspect the deployment rails with a Rockwell hardness tester to confirm that rail hardness is equal to or greater than that of anodized aluminum</t>
  </si>
  <si>
    <t>STR-4.04</t>
  </si>
  <si>
    <t xml:space="preserve">The rails shall be parallel to the Y axis within +/- 100 micrometers. Rails shall extrude no less than 2mm from the exterior surface of the satellite </t>
  </si>
  <si>
    <t>Compliance with launch requirements for smooth deployment</t>
  </si>
  <si>
    <t xml:space="preserve"> +/- 100 micrometers</t>
  </si>
  <si>
    <t>Inspect deployment rail surfaces with calipers/optical comparator to ensure coplanarity within +-100 micrometers and do not extrude more than 2mm from surface</t>
  </si>
  <si>
    <t>STR-4.05</t>
  </si>
  <si>
    <t>Exeterior Interface</t>
  </si>
  <si>
    <t>The chassis shall contain an external interface that is USB-C compatible</t>
  </si>
  <si>
    <t>Necessary for testing and callibration of the satellite</t>
  </si>
  <si>
    <t>Demonstrate that an external interface in USB-C is present on the chassis</t>
  </si>
  <si>
    <t>STR-4.06</t>
  </si>
  <si>
    <t>Payload Mounting</t>
  </si>
  <si>
    <t>The payload shall be mounted normal to the Z axis with 'X' fasteners of 'type'</t>
  </si>
  <si>
    <t>Payload must be securely mounted normal to earth for optimizing function</t>
  </si>
  <si>
    <t>Demonstrate the propper mounting orientation of the payload normal to Z axis, and that it is fastened with the correct number of the correct type of fastener.</t>
  </si>
  <si>
    <t>STR-4.07</t>
  </si>
  <si>
    <t>Fasteners Material</t>
  </si>
  <si>
    <t>Fasteners shall be of a 18-8 stainless steel</t>
  </si>
  <si>
    <t>Prevent corrosion or temperature affects</t>
  </si>
  <si>
    <t xml:space="preserve">18-8 Stainless Steel </t>
  </si>
  <si>
    <t>Demonstrate that all fasteners are of material 18-8 stainless steel</t>
  </si>
  <si>
    <t>STR-4.08</t>
  </si>
  <si>
    <t>Fasteners Dimensions</t>
  </si>
  <si>
    <t>Fasteners shall be in the range of M1-M3 bolt size and will fit with +/- .025mm standard tolerance</t>
  </si>
  <si>
    <t>Secure mounting for each component with varying mount hole sizes</t>
  </si>
  <si>
    <t>M1-M3</t>
  </si>
  <si>
    <t xml:space="preserve">Demonstrate that all fasteners are in the M1-M3 size range </t>
  </si>
  <si>
    <t>STR-4.09</t>
  </si>
  <si>
    <t>Radiation Shielding</t>
  </si>
  <si>
    <t>Paneling shall consist of hard anodized alminum 6061 of 1.5mm thick, being able to withstand 7 kRad</t>
  </si>
  <si>
    <t>Must protect components from dangerous levels of radiation exposure</t>
  </si>
  <si>
    <t xml:space="preserve">1.5mm </t>
  </si>
  <si>
    <t xml:space="preserve">Analyze the effectiveness of aluminum shielding, and demonstrate that the satellite shielding is comprised of 1.5mm 6061 plates. </t>
  </si>
  <si>
    <t>4.8 Thermal Requirements</t>
  </si>
  <si>
    <t>THM-4.01</t>
  </si>
  <si>
    <t>Thermistor Operating Temperature</t>
  </si>
  <si>
    <t xml:space="preserve">The Thermistors shall operate with a temperature range of "X °C" to "Y °C" </t>
  </si>
  <si>
    <t>ensure proper operation of component</t>
  </si>
  <si>
    <t xml:space="preserve"> A &amp; D</t>
  </si>
  <si>
    <t>Analyze the operating temperature of the thermistor and demonstrate that it operates within a range of "X" C to "Y" C</t>
  </si>
  <si>
    <t>THM-4.02</t>
  </si>
  <si>
    <t>Thermistor Power Consumption</t>
  </si>
  <si>
    <t>The thermistors shall operate with a power consumption no greater than "X" W</t>
  </si>
  <si>
    <t>stay within power budget</t>
  </si>
  <si>
    <t>&gt;2 W</t>
  </si>
  <si>
    <t>Demonstrate that the thermistors operate with  power consumption no greater than "X" W</t>
  </si>
  <si>
    <t>THM-4.03</t>
  </si>
  <si>
    <t>Thermistor Reading Interval</t>
  </si>
  <si>
    <t>The thermistors shall provide readings within a time interval of "X" seconds</t>
  </si>
  <si>
    <t>provide enough information to make timely responses</t>
  </si>
  <si>
    <t>Test what interval the thermistors provide information and demonstrate that the thermistors provide information at an interval of "X" seconds</t>
  </si>
  <si>
    <t>THM-4.04</t>
  </si>
  <si>
    <t>Thermistor Reading Accuracy</t>
  </si>
  <si>
    <t>the thermistor reading shall be accuracate within +/-"X" %</t>
  </si>
  <si>
    <t>provide accurate information to make appropriate responses</t>
  </si>
  <si>
    <t>Analyze the accuracy of the thermistors and demonstrate that the thermistor reading accuracy is within +/- "X"%</t>
  </si>
  <si>
    <t>THM-4.05</t>
  </si>
  <si>
    <t>Thermistor Mounting Method</t>
  </si>
  <si>
    <t>the thermistors shall be mounted to ensure proper operation</t>
  </si>
  <si>
    <t>yes</t>
  </si>
  <si>
    <t xml:space="preserve">Inspect the thermistors to ensure they are mounted properly </t>
  </si>
  <si>
    <t>THM-4.06</t>
  </si>
  <si>
    <t>Thermistor Quantity</t>
  </si>
  <si>
    <t>there shall be a sufficent number of thermistors to monitor critical systems</t>
  </si>
  <si>
    <t>monitor all critical components to ensure proper operation</t>
  </si>
  <si>
    <t>THM-3.06,THM-3.07</t>
  </si>
  <si>
    <t>Analyze how many thermistors are necessary to monitor critical systmes</t>
  </si>
  <si>
    <t>THM-4.07</t>
  </si>
  <si>
    <t>Thermistor/OBC communication</t>
  </si>
  <si>
    <t xml:space="preserve">the thermistor shall be able to communicate with the OBC </t>
  </si>
  <si>
    <t>the information collected must be useable by the satellite</t>
  </si>
  <si>
    <t>Demonstrate that the thermistor can communicate with the OBC</t>
  </si>
  <si>
    <t>THM-4.08</t>
  </si>
  <si>
    <t>Heater Operating Temperature</t>
  </si>
  <si>
    <t>The heaters shall be operable within a termperature range of "X °C" to "Y °C"</t>
  </si>
  <si>
    <t>Analyze the temperature the heaters are operable in and demonstrate that they can operate in a range of "X"C to "Y"C</t>
  </si>
  <si>
    <t>THM-4.09</t>
  </si>
  <si>
    <t>Heater Power Consumption</t>
  </si>
  <si>
    <t xml:space="preserve">the heaters shall consume no greater than "X" W </t>
  </si>
  <si>
    <t>Analyze the heater power consumption and demonstrate that they consume less than "X" W</t>
  </si>
  <si>
    <t>THM-4.10</t>
  </si>
  <si>
    <t>Heater Response Time</t>
  </si>
  <si>
    <t>the heaters shall be cabaple of providing sufficent heat within a set time</t>
  </si>
  <si>
    <t xml:space="preserve">provide enough heat to keep components in operating ranges </t>
  </si>
  <si>
    <t>Test the heaters to see if they can provide sufficient heat within a set time</t>
  </si>
  <si>
    <t>THM-4.11</t>
  </si>
  <si>
    <t>Heater Mounting Method</t>
  </si>
  <si>
    <t>the heaters shall be mounted to ensure proper operation</t>
  </si>
  <si>
    <t xml:space="preserve">I </t>
  </si>
  <si>
    <t xml:space="preserve">Inspect the heater mounts to ensure they are mounted properly </t>
  </si>
  <si>
    <t>THM-4.12</t>
  </si>
  <si>
    <t>Heater size</t>
  </si>
  <si>
    <t>the heaters shall be of adaquate size to provide sufficient heat to components</t>
  </si>
  <si>
    <t>Analyze what size the heaters need to be to provode sufficient heat to components</t>
  </si>
  <si>
    <t>4.10 Ground Station Hardware Requirements</t>
  </si>
  <si>
    <t>GSH-4.01</t>
  </si>
  <si>
    <t>FCC Specific Liscesning</t>
  </si>
  <si>
    <t>Students planning on working the ground station must pass the FCC exam offered through Jeff Sheldon at KSU Manhattan.</t>
  </si>
  <si>
    <t>Students will not be able to help operate the ground station without passing the FCC exam.</t>
  </si>
  <si>
    <t>Demonstrate that students must pass the FCC exam administered by Jeff Sheldon to operate the ground station equipment</t>
  </si>
  <si>
    <t>GSH-4.02</t>
  </si>
  <si>
    <t>Satellite Antenna and Gain</t>
  </si>
  <si>
    <t>Ground station antenna must be able to comunicate and operate in UHF bands between 430-440 MHz and with an antenna gain between 10-15 dBI.</t>
  </si>
  <si>
    <t>Antenna is needed to communicate with satellite and antenna gain will affect the link budget.</t>
  </si>
  <si>
    <t>D&amp;T</t>
  </si>
  <si>
    <t>Demonstrate that the ground station operates between 430 and 440 MHz, and test the antenna gain to ensure proper signal strength</t>
  </si>
  <si>
    <t>GSH-4.03</t>
  </si>
  <si>
    <t>SDR Transceiver</t>
  </si>
  <si>
    <t>Must have  UHF transmit frequencies within "x" MHz and recieve frequencies within "x" MHz.</t>
  </si>
  <si>
    <t>Faciliate communications to and from the satellite.</t>
  </si>
  <si>
    <t>Demonstrate that the chosen SDR receiver has reception and transmission ranges within the needed frequencies</t>
  </si>
  <si>
    <t>GSH-4.04</t>
  </si>
  <si>
    <t>Rotator</t>
  </si>
  <si>
    <t>Rotator will be needed for tracking NuKat in orbit.</t>
  </si>
  <si>
    <t>Assists antenna in tracking the satellite in space.</t>
  </si>
  <si>
    <t>Demonstrate that the ground station antenna rotator is present and operational</t>
  </si>
  <si>
    <t>GSH-4.05</t>
  </si>
  <si>
    <t>Contoller</t>
  </si>
  <si>
    <t>TBD if controller will be needed.</t>
  </si>
  <si>
    <t>Contains the software needed to track the satellite through space.</t>
  </si>
  <si>
    <t>Demonstrate that control software/hardware for antenna rotator is present and operational</t>
  </si>
  <si>
    <t>GSH-4.06</t>
  </si>
  <si>
    <t>Amplifier</t>
  </si>
  <si>
    <t>Select the correct low-noise amplifier that meets the mission requirements.</t>
  </si>
  <si>
    <t>A low-noise amplifier is required to take a low signal and increase its power. This is esppecially crucial as signals are traveling through space.</t>
  </si>
  <si>
    <t>A&amp;T</t>
  </si>
  <si>
    <t>Analyze the needed amplification requirements of received signal, and test the LNA with a weak signal to verify function</t>
  </si>
  <si>
    <t>GSH-4.07</t>
  </si>
  <si>
    <t>Ground station antenna will have an operational beamwidth of X degrees</t>
  </si>
  <si>
    <t>Size of beamwidth affects attitude control.</t>
  </si>
  <si>
    <t>Analyze antenna beamwidth in software to verify the width is within acceptable tolerance of "x" degrees</t>
  </si>
  <si>
    <t>GSH-4.08</t>
  </si>
  <si>
    <t>Computer</t>
  </si>
  <si>
    <t>TBD if computer will be needed.</t>
  </si>
  <si>
    <t>Computer will be needed to view the data through the software.</t>
  </si>
  <si>
    <t>Demonstrate that the communication computer for SDR usage is present</t>
  </si>
  <si>
    <t>GSH-4.09</t>
  </si>
  <si>
    <t>Cabling</t>
  </si>
  <si>
    <t>Cabling will be needed to connect hardware together.</t>
  </si>
  <si>
    <t>Hardware will need to be connected together and with computer.</t>
  </si>
  <si>
    <t>Demonstrate that all cabling required for power and data transfer is present</t>
  </si>
  <si>
    <t>GSH-4.10</t>
  </si>
  <si>
    <t>Liscensing</t>
  </si>
  <si>
    <t>Need to obtain FCC, IARU, FAA, and ITU.</t>
  </si>
  <si>
    <t>Liscensing is needed to be able to launch satellite.</t>
  </si>
  <si>
    <t>Demonstrate that the university is in possession of all required FCC, IARU, FAA, and ITU licensing.</t>
  </si>
  <si>
    <t>GSH-4.11</t>
  </si>
  <si>
    <t>Ground Station Storage</t>
  </si>
  <si>
    <t>Expected storage needed for 6 years is between 1.01 x 10^10 bits 2.03 x 10^10 bits (4800-9600 BPS)</t>
  </si>
  <si>
    <t>Need to be able to hold enough storage at the ground station for the lifetime of the mission.</t>
  </si>
  <si>
    <t>Demonstrate that existing data storage at ground station is in excess of the maximum ammount of storage expected</t>
  </si>
  <si>
    <t>GSH-4.12</t>
  </si>
  <si>
    <t>Command Encryptor</t>
  </si>
  <si>
    <t>Needed to ensure data isn't lost or destroyed during the encryption process.</t>
  </si>
  <si>
    <t>Protects data from being lost or destroyed.</t>
  </si>
  <si>
    <t>Demonstrate that command encryptor is present and functional</t>
  </si>
  <si>
    <t>4.11 Ground Software Requirements</t>
  </si>
  <si>
    <t>GSW-4.01</t>
  </si>
  <si>
    <t>Host</t>
  </si>
  <si>
    <t>The ground station software shall be hosted on a server in the Kansas State Network</t>
  </si>
  <si>
    <t>This gives us a host that is safe and effective at moving information from the ground station software to the satellite, as well as to move the downlinked data to end-users.</t>
  </si>
  <si>
    <t>GSW-3.01, 3.02, 3.05</t>
  </si>
  <si>
    <t xml:space="preserve">D </t>
  </si>
  <si>
    <t>Demonstrate that the ground station software can be hosted on a server in the K-State network</t>
  </si>
  <si>
    <t>https://support.ksu.edu/TDClient/30/Portal/Requests/ServiceDet?ID=39</t>
  </si>
  <si>
    <t>GSW-4.02</t>
  </si>
  <si>
    <t>The ground station software will be based on the open-source software Cosmos and additional functionality will be added on as needed.</t>
  </si>
  <si>
    <t>Cosmos is a free ground station software that has a strong base to build off of. It is a gold-standard for ground station software and is easy to customize and add on to. Additionally, it has a database already built into it, allowing for easy storage and retrieval of data and commands.</t>
  </si>
  <si>
    <t>GSW-3.02, 3.03, 3.04</t>
  </si>
  <si>
    <t>Demonstrate that the ground station software will be based on Cosmos</t>
  </si>
  <si>
    <t>https://docs.openc3.com/docs</t>
  </si>
  <si>
    <t>GSW-4.03</t>
  </si>
  <si>
    <t>InfluxDB</t>
  </si>
  <si>
    <t xml:space="preserve">The ground station software shall use InfluxDB as the database for storing telemetry data and neutron counts </t>
  </si>
  <si>
    <t>InfluxDB stores time-series data. This works well with our need to look at neutron counts based off when and where they were recorded. It is a database that is built for the types of measurements we will want to export and aggregate.</t>
  </si>
  <si>
    <t>Demonstrate that the gorund station will use InfluxDB as the database</t>
  </si>
  <si>
    <t>GSW-4.04</t>
  </si>
  <si>
    <t>AES-256</t>
  </si>
  <si>
    <t xml:space="preserve">The ground station software shall use Advanced Encryption Standard to encrypt uplink commands </t>
  </si>
  <si>
    <t>AES-256 is a gold standard for encryption and works well with Ruby/Python, which is what COSMOS is written in.</t>
  </si>
  <si>
    <t>Demonstrate that the ground station software will use Advanced Encryption Standard to encrypt uplink commands</t>
  </si>
  <si>
    <t>GSW-4.05</t>
  </si>
  <si>
    <t>Data Distribution</t>
  </si>
  <si>
    <t>The ground station software shall utilize the Ruby Mail package to send out data on request.</t>
  </si>
  <si>
    <t>It would be easiest to connect to our database and just add functionality to retrieve and send out data on request.</t>
  </si>
  <si>
    <t>Demonstrate that the ground station software will utilize the Ruby Mail package to send out data upon request</t>
  </si>
  <si>
    <t>https://www.rubydoc.info/gems/mail?utm_source=chatgpt.com</t>
  </si>
  <si>
    <t>GSW-4.06</t>
  </si>
  <si>
    <t>The ground station software shall build an alert system into COSMOS that will alert an admin or registered invidividual to anomalies or extreme events.</t>
  </si>
  <si>
    <t>Anomalies may be handled by automation, but it will be important to alert admins to the state of the satellite if something goes wrong.</t>
  </si>
  <si>
    <t>D &amp; T</t>
  </si>
  <si>
    <t>Demonstrate that the ground station software has built an alert system into Cosmos and test that the alert system works</t>
  </si>
  <si>
    <t>4.12 Mission Operation Requirements</t>
  </si>
  <si>
    <t>MOP-4.01</t>
  </si>
  <si>
    <t>4.13 Launch System Requirements</t>
  </si>
  <si>
    <t>LNC-4.01</t>
  </si>
  <si>
    <t>Integration Compliance</t>
  </si>
  <si>
    <t>All satellite components must comply with SpaceX Transporter and provider launch system requirements.</t>
  </si>
  <si>
    <t>Dispenser and integration (LNC-3.01, 3.02, 3.03, 3.05) managed by launch provider. The only NuKAT requirement is that we meet company regulations.</t>
  </si>
  <si>
    <t>Inspect launch provider's systems to ensure compliance with our requirements; demonstrate that our system meets their requirements.</t>
  </si>
  <si>
    <t>4.14 Electrical Ground Support Requirements</t>
  </si>
  <si>
    <t>EGSE-4.01</t>
  </si>
  <si>
    <t>Climate</t>
  </si>
  <si>
    <t>Facility temperature should stay at 68° F ± 5° F and relative humidity of 40% ± 10%</t>
  </si>
  <si>
    <t>Accounts for components that are sensitive to temperature and humidity.</t>
  </si>
  <si>
    <t>Demonstrate that the climate inside of the ground support facility is 68° F ± 5° F and humidity of 40% ± 10%</t>
  </si>
  <si>
    <t>EGSE-4.02</t>
  </si>
  <si>
    <t>Power Delivery</t>
  </si>
  <si>
    <t>Facility shall provide 120V regulated power for all equipment.</t>
  </si>
  <si>
    <t>Required to power equipment and hardware.</t>
  </si>
  <si>
    <t>Demonstrate that 120 VAC is available in the chosen facility to power all test equipment</t>
  </si>
  <si>
    <t>EGSE-4.03</t>
  </si>
  <si>
    <t>Electrostatic Discharge Prevention</t>
  </si>
  <si>
    <t>All assembly and handling surfaces must have grounded ESD mats.</t>
  </si>
  <si>
    <t>Accounts for components that are sensitive to static discharge.</t>
  </si>
  <si>
    <t>Demonstrate that Anti-ESD mats are present on assembly and handling surfaces</t>
  </si>
  <si>
    <t>EGSE-4.04</t>
  </si>
  <si>
    <t>The facility shall provide calibrated electrical instruments.</t>
  </si>
  <si>
    <t>Allow for assembly and testing.</t>
  </si>
  <si>
    <t>Demonstrate that all specified testing equipment is functional and present in the testing facility</t>
  </si>
  <si>
    <t>EGSE-4.05</t>
  </si>
  <si>
    <t>Computer Requirements</t>
  </si>
  <si>
    <t>The facility shall hold computers with all necessary software and tools needed.</t>
  </si>
  <si>
    <t>Access to necessary software enable simulation and testing.</t>
  </si>
  <si>
    <t>Demonstrate that computers containing all required testing/validation software are present in the testing facility</t>
  </si>
  <si>
    <t>EGSE-4.06</t>
  </si>
  <si>
    <t>Computer Signal Emulation</t>
  </si>
  <si>
    <t>The facility shall provide necessary software/hardware needed to emulate signal input.</t>
  </si>
  <si>
    <t>Allows flight software to recieve realistic sensor input.</t>
  </si>
  <si>
    <t>Demonstrate that signal emulation software and hardware are present in the testing facility.</t>
  </si>
  <si>
    <t>ESGE-4.07</t>
  </si>
  <si>
    <t>Communication Testing</t>
  </si>
  <si>
    <t>The facility shall provide the capability to interface with communication procedures and log results.</t>
  </si>
  <si>
    <t>Allows for repeatable testing methods.</t>
  </si>
  <si>
    <t>Demonstrate the capability of facility equipment to test radio comms compatibility and record success/error data</t>
  </si>
  <si>
    <t>4.15 Mechanical Ground Support Requirements</t>
  </si>
  <si>
    <t>MGSE-4.01</t>
  </si>
  <si>
    <t>NuKAT LEVEL 5 REQUIREMENTS: Part-Level</t>
  </si>
  <si>
    <t>Verification Methods</t>
  </si>
  <si>
    <t xml:space="preserve">Done = </t>
  </si>
  <si>
    <t xml:space="preserve">To go = </t>
  </si>
  <si>
    <t>Scores</t>
  </si>
  <si>
    <t>Frequency</t>
  </si>
  <si>
    <t xml:space="preserve">of </t>
  </si>
  <si>
    <t>Blank</t>
  </si>
  <si>
    <t>1x1</t>
  </si>
  <si>
    <t>1x2</t>
  </si>
  <si>
    <t>1x3</t>
  </si>
  <si>
    <t>1x4</t>
  </si>
  <si>
    <t>1x5</t>
  </si>
  <si>
    <t>2x1</t>
  </si>
  <si>
    <t>2x2</t>
  </si>
  <si>
    <t>2x3</t>
  </si>
  <si>
    <t>2x4</t>
  </si>
  <si>
    <t>2x5</t>
  </si>
  <si>
    <t>3x1</t>
  </si>
  <si>
    <t>3x2</t>
  </si>
  <si>
    <t>3x3</t>
  </si>
  <si>
    <t>3x4</t>
  </si>
  <si>
    <t>3x5</t>
  </si>
  <si>
    <t>4x1</t>
  </si>
  <si>
    <t>4x2</t>
  </si>
  <si>
    <t>4x3</t>
  </si>
  <si>
    <t>4x4</t>
  </si>
  <si>
    <t>4x5</t>
  </si>
  <si>
    <t>5x1</t>
  </si>
  <si>
    <t>5x2</t>
  </si>
  <si>
    <t>5x3</t>
  </si>
  <si>
    <t>5x4</t>
  </si>
  <si>
    <t>5x5</t>
  </si>
  <si>
    <t>Total</t>
  </si>
  <si>
    <t>Percent</t>
  </si>
  <si>
    <t>Mitagate</t>
  </si>
  <si>
    <t>Green</t>
  </si>
  <si>
    <t>Yellow</t>
  </si>
  <si>
    <t>Red</t>
  </si>
  <si>
    <t>NuKAT shall successfully launch into a low earth orbit at an altitude of 500 km and with an LTAN between 14:00 and 18:00</t>
  </si>
  <si>
    <t>NuKAT shall be able to deorbit within 5 years of the conclusion of nominal mission operations.</t>
  </si>
  <si>
    <t>NuKAT shall not have an initial altitude lower than 350 km.</t>
  </si>
  <si>
    <t>&gt;350km</t>
  </si>
  <si>
    <t>500km</t>
  </si>
  <si>
    <t>NuKAT shall be able to survive a radiation dosage of 417.25 krad.</t>
  </si>
  <si>
    <t>NuKAT altitude shall be known with ± 1 km</t>
  </si>
  <si>
    <t>NuKAT shall utilize operational modes to optimize power usage.</t>
  </si>
  <si>
    <t>YES, 2 kg</t>
  </si>
  <si>
    <t>Interpreted data shall be provided to end user within 7 days.</t>
  </si>
  <si>
    <t>&lt; 7 days</t>
  </si>
  <si>
    <t>Weekly</t>
  </si>
  <si>
    <t>&gt; 2</t>
  </si>
  <si>
    <t>BUS subsystems shall take up no more than 1.5U of the satellite.</t>
  </si>
  <si>
    <t>≤ 1.5 U</t>
  </si>
  <si>
    <t>1 U</t>
  </si>
  <si>
    <t>BUS must weigh less than 3 kg.</t>
  </si>
  <si>
    <t>≤ 3 kg</t>
  </si>
  <si>
    <t>2 kg</t>
  </si>
  <si>
    <t>BUS must provide 20 W of power.</t>
  </si>
  <si>
    <t>BUS must be able to keep interior systems within a temperature range of 15 and 50 degrees Celsius.</t>
  </si>
  <si>
    <t>BUS must be able to endure 500 krad of radiation over the mission lifetime.</t>
  </si>
  <si>
    <t>BUS shall provide data handling, ground communication ("x" kbps), attitude control, structure, and flight software to support payload needs.</t>
  </si>
  <si>
    <t>BUS shall consist of components rated for space environments and proven to be space worthy for at least 12 months.</t>
  </si>
  <si>
    <t>&gt;12 months</t>
  </si>
  <si>
    <t>24 months</t>
  </si>
  <si>
    <t>BUS shall be capable of storing and downlinking data for up to 7 days-worth of missed passes.</t>
  </si>
  <si>
    <r>
      <t>≥</t>
    </r>
    <r>
      <rPr>
        <sz val="11"/>
        <color theme="1"/>
        <rFont val="Aptos Narrow"/>
        <family val="2"/>
      </rPr>
      <t>30g</t>
    </r>
  </si>
  <si>
    <t>BUS-2.24</t>
  </si>
  <si>
    <t>Payload Orientation</t>
  </si>
  <si>
    <t>BUS shall ensure payload is in its correct orientation for data collection.</t>
  </si>
  <si>
    <t>Analyze reaction wheel detumble capability in software and test reaction wheels and ADC tumble rate detection capabilities.</t>
  </si>
  <si>
    <t>Mission temp range from PLD.</t>
  </si>
  <si>
    <t>Absolute temp range from BUS.</t>
  </si>
  <si>
    <t>Rad survivability from BUS.</t>
  </si>
  <si>
    <t>Analyze how much space will be needed for ADC and demonstrate that ADC uses lass than "x" U of space.</t>
  </si>
  <si>
    <t>Analyze the overall weight of the ADC system during design (SolidWorks or other), and inspect after construction with scale to verify mass.</t>
  </si>
  <si>
    <t>Analyze the ADc and see how much power it requires then demonstrate that the power requirement is less than "x" W.</t>
  </si>
  <si>
    <t>The C&amp;DH subsystem shall interface with the UHF transceiver via RS-485.</t>
  </si>
  <si>
    <t>The C&amp;DH subsystem shall interface the UHF transceiver with the UHF antenna via MCX to SMP.</t>
  </si>
  <si>
    <t>The C&amp;DH UHF subsystem shall operate between 420-450 MHz range.</t>
  </si>
  <si>
    <t>435-438 MHz</t>
  </si>
  <si>
    <t>The C&amp;DH subsystem shall interface with the EPD via I2C.</t>
  </si>
  <si>
    <t>The C&amp;DH subsystem shall interface with the Domino-2 payload via USB-C.</t>
  </si>
  <si>
    <t>The C&amp;DH subsystem shall interface with the ADCS via RS-485.</t>
  </si>
  <si>
    <r>
      <t xml:space="preserve">The C&amp;DH subsystem shall be capable of storing at least </t>
    </r>
    <r>
      <rPr>
        <b/>
        <sz val="11"/>
        <color rgb="FF000000"/>
        <rFont val="Aptos Narrow"/>
        <scheme val="minor"/>
      </rPr>
      <t>three *</t>
    </r>
    <r>
      <rPr>
        <sz val="11"/>
        <color rgb="FF000000"/>
        <rFont val="Aptos Narrow"/>
        <family val="2"/>
        <scheme val="minor"/>
      </rPr>
      <t xml:space="preserve"> </t>
    </r>
    <r>
      <rPr>
        <b/>
        <sz val="11"/>
        <color rgb="FF000000"/>
        <rFont val="Aptos Narrow"/>
        <scheme val="minor"/>
      </rPr>
      <t>213.12KB</t>
    </r>
    <r>
      <rPr>
        <sz val="11"/>
        <color rgb="FF000000"/>
        <rFont val="Aptos Narrow"/>
        <family val="2"/>
        <scheme val="minor"/>
      </rPr>
      <t xml:space="preserve"> </t>
    </r>
    <r>
      <rPr>
        <sz val="11"/>
        <color rgb="FF000000"/>
        <rFont val="Aptos Narrow"/>
        <scheme val="minor"/>
      </rPr>
      <t>(the daily payload data generation)</t>
    </r>
    <r>
      <rPr>
        <b/>
        <sz val="11"/>
        <color rgb="FF000000"/>
        <rFont val="Aptos Narrow"/>
        <scheme val="minor"/>
      </rPr>
      <t xml:space="preserve"> </t>
    </r>
    <r>
      <rPr>
        <sz val="11"/>
        <color rgb="FF000000"/>
        <rFont val="Aptos Narrow"/>
        <family val="2"/>
        <scheme val="minor"/>
      </rPr>
      <t>at a time in non-volatile memory over the mission lifetime.</t>
    </r>
  </si>
  <si>
    <t>&gt;= 639.36 KB</t>
  </si>
  <si>
    <t>320 GB</t>
  </si>
  <si>
    <t>The C&amp;DH subsystem shall incorporate a clock that will be used to track RTC (Real Time).</t>
  </si>
  <si>
    <t>Downlink Data Bandwidth</t>
  </si>
  <si>
    <r>
      <rPr>
        <sz val="11"/>
        <color rgb="FF000000"/>
        <rFont val="Aptos Narrow"/>
        <scheme val="minor"/>
      </rPr>
      <t xml:space="preserve">The CDH subsystem shall have a data bandwidth and daily link time sufficient to downlink at least </t>
    </r>
    <r>
      <rPr>
        <b/>
        <sz val="11"/>
        <color rgb="FF000000"/>
        <rFont val="Aptos Narrow"/>
        <scheme val="minor"/>
      </rPr>
      <t>3.25 times</t>
    </r>
    <r>
      <rPr>
        <sz val="11"/>
        <color rgb="FF000000"/>
        <rFont val="Aptos Narrow"/>
        <scheme val="minor"/>
      </rPr>
      <t xml:space="preserve"> the expected daily payload data generation.</t>
    </r>
  </si>
  <si>
    <t>Bandwidth: 9600 bps Link time: 23 minutes</t>
  </si>
  <si>
    <r>
      <rPr>
        <sz val="11"/>
        <color rgb="FFFF0000"/>
        <rFont val="Aptos Narrow (Body)"/>
      </rPr>
      <t>Bandwidth: 4800 bps Link</t>
    </r>
    <r>
      <rPr>
        <sz val="11"/>
        <color theme="1"/>
        <rFont val="Aptos Narrow"/>
        <family val="2"/>
        <scheme val="minor"/>
      </rPr>
      <t xml:space="preserve"> Time: 23 minutes</t>
    </r>
  </si>
  <si>
    <t>The C&amp;DH subsystem will establish a link margin of 3 dB to ensure stable and robust communication.</t>
  </si>
  <si>
    <t>&gt;= 3dB</t>
  </si>
  <si>
    <r>
      <rPr>
        <sz val="11"/>
        <color rgb="FF000000"/>
        <rFont val="Aptos Narrow"/>
        <scheme val="minor"/>
      </rPr>
      <t xml:space="preserve">The C&amp;DH subsystem will define a maximum allowable Bit Error Rate (BER) of </t>
    </r>
    <r>
      <rPr>
        <sz val="11"/>
        <color rgb="FFFF0000"/>
        <rFont val="Aptos Narrow"/>
        <scheme val="minor"/>
      </rPr>
      <t>[X]</t>
    </r>
    <r>
      <rPr>
        <sz val="11"/>
        <color rgb="FF000000"/>
        <rFont val="Aptos Narrow"/>
        <scheme val="minor"/>
      </rPr>
      <t xml:space="preserve"> to ensure accurate commuication.</t>
    </r>
  </si>
  <si>
    <t>&lt; 500 m &amp; &lt; 0.1 s</t>
  </si>
  <si>
    <t>&lt;= 50 m &amp; &lt;= 0.01 s</t>
  </si>
  <si>
    <t>100 mm x 100 mm</t>
  </si>
  <si>
    <t>4 rails</t>
  </si>
  <si>
    <t>The subsystem (heaters and heat strips/insulation) shall not take up more than 10.5% of the NuKAT's total volume</t>
  </si>
  <si>
    <t>Expected Compliance</t>
  </si>
  <si>
    <t>Yes/No</t>
  </si>
  <si>
    <r>
      <rPr>
        <sz val="11"/>
        <color rgb="FF000000"/>
        <rFont val="Aptos Narrow"/>
        <family val="2"/>
        <scheme val="minor"/>
      </rPr>
      <t>The dominos shall use a usb-c cable {</t>
    </r>
    <r>
      <rPr>
        <sz val="11"/>
        <color rgb="FFFF0000"/>
        <rFont val="Aptos Narrow"/>
        <family val="2"/>
        <scheme val="minor"/>
      </rPr>
      <t>up for debate if we need to have directly soldered wires</t>
    </r>
    <r>
      <rPr>
        <sz val="11"/>
        <color rgb="FF000000"/>
        <rFont val="Aptos Narrow"/>
        <family val="2"/>
        <scheme val="minor"/>
      </rPr>
      <t>} to receive commands and relay data</t>
    </r>
  </si>
  <si>
    <r>
      <t>The dominos shall use a usb-c cable {</t>
    </r>
    <r>
      <rPr>
        <sz val="11"/>
        <color rgb="FFFF0000"/>
        <rFont val="Aptos Narrow"/>
        <family val="2"/>
        <scheme val="minor"/>
      </rPr>
      <t>up for debate if we need to have directly soldered wires</t>
    </r>
    <r>
      <rPr>
        <sz val="11"/>
        <color theme="1"/>
        <rFont val="Aptos Narrow"/>
        <family val="2"/>
        <scheme val="minor"/>
      </rPr>
      <t>} to receive power</t>
    </r>
  </si>
  <si>
    <r>
      <t>The data gathered from the backup dominos shall be compared to the primary dominos and any difference of {</t>
    </r>
    <r>
      <rPr>
        <sz val="11"/>
        <color rgb="FFFF0000"/>
        <rFont val="Aptos Narrow"/>
        <family val="2"/>
        <scheme val="minor"/>
      </rPr>
      <t>5%</t>
    </r>
    <r>
      <rPr>
        <sz val="11"/>
        <color theme="1"/>
        <rFont val="Aptos Narrow"/>
        <family val="2"/>
        <scheme val="minor"/>
      </rPr>
      <t>} or more over an average of {</t>
    </r>
    <r>
      <rPr>
        <sz val="11"/>
        <color rgb="FFFF0000"/>
        <rFont val="Aptos Narrow"/>
        <family val="2"/>
        <scheme val="minor"/>
      </rPr>
      <t xml:space="preserve">20 </t>
    </r>
    <r>
      <rPr>
        <sz val="11"/>
        <color theme="1"/>
        <rFont val="Aptos Narrow"/>
        <family val="2"/>
        <scheme val="minor"/>
      </rPr>
      <t>} worth of data collection will be flagged as potential detector error</t>
    </r>
  </si>
  <si>
    <t>The detectors must be kept within thermal limits when operating to keep thermal noise to a minumum</t>
  </si>
  <si>
    <t>SYS-3.09, SYS-3.14</t>
  </si>
  <si>
    <t>Test that ADC can be powered and controlled from main bus</t>
  </si>
  <si>
    <r>
      <t xml:space="preserve">On-board satellite antenna will have a minimum gain of </t>
    </r>
    <r>
      <rPr>
        <sz val="11"/>
        <color rgb="FFFF0000"/>
        <rFont val="Aptos Narrow (Body)"/>
      </rPr>
      <t>["X"]</t>
    </r>
    <r>
      <rPr>
        <sz val="11"/>
        <color theme="1"/>
        <rFont val="Aptos Narrow"/>
        <family val="2"/>
        <scheme val="minor"/>
      </rPr>
      <t xml:space="preserve"> dBi across its operational beamwidth.</t>
    </r>
  </si>
  <si>
    <r>
      <t xml:space="preserve">On-board satellite antenna will have an operational beamwidth of </t>
    </r>
    <r>
      <rPr>
        <sz val="11"/>
        <color rgb="FFFF0000"/>
        <rFont val="Aptos Narrow (Body)"/>
      </rPr>
      <t>["X"]</t>
    </r>
    <r>
      <rPr>
        <sz val="11"/>
        <color theme="1"/>
        <rFont val="Aptos Narrow"/>
        <family val="2"/>
        <scheme val="minor"/>
      </rPr>
      <t xml:space="preserve"> degrees.</t>
    </r>
  </si>
  <si>
    <r>
      <t xml:space="preserve">The transceiver downlink data rate shall be bounded to </t>
    </r>
    <r>
      <rPr>
        <sz val="11"/>
        <color rgb="FFFF0000"/>
        <rFont val="Aptos Narrow"/>
        <family val="2"/>
        <scheme val="minor"/>
      </rPr>
      <t>[</t>
    </r>
    <r>
      <rPr>
        <sz val="11"/>
        <color rgb="FFFF0000"/>
        <rFont val="Aptos Narrow (Body)"/>
      </rPr>
      <t>"X"]</t>
    </r>
    <r>
      <rPr>
        <sz val="11"/>
        <color rgb="FFFF0000"/>
        <rFont val="Aptos Narrow"/>
        <family val="2"/>
        <scheme val="minor"/>
      </rPr>
      <t xml:space="preserve"> </t>
    </r>
    <r>
      <rPr>
        <sz val="11"/>
        <color theme="1"/>
        <rFont val="Aptos Narrow"/>
        <family val="2"/>
        <scheme val="minor"/>
      </rPr>
      <t>bps.</t>
    </r>
  </si>
  <si>
    <r>
      <t xml:space="preserve">The transceiver uplink data rate shall be bounded to </t>
    </r>
    <r>
      <rPr>
        <sz val="11"/>
        <color rgb="FFFF0000"/>
        <rFont val="Aptos Narrow (Body)"/>
      </rPr>
      <t>["X"]</t>
    </r>
    <r>
      <rPr>
        <sz val="11"/>
        <color theme="1"/>
        <rFont val="Aptos Narrow"/>
        <family val="2"/>
        <scheme val="minor"/>
      </rPr>
      <t xml:space="preserve"> bps.</t>
    </r>
  </si>
  <si>
    <r>
      <t xml:space="preserve">The transceiver shall be capable of implementing </t>
    </r>
    <r>
      <rPr>
        <sz val="11"/>
        <color rgb="FFFF0000"/>
        <rFont val="Aptos Narrow (Body)"/>
      </rPr>
      <t>["X"]</t>
    </r>
    <r>
      <rPr>
        <sz val="11"/>
        <color theme="1"/>
        <rFont val="Aptos Narrow"/>
        <family val="2"/>
        <scheme val="minor"/>
      </rPr>
      <t xml:space="preserve"> data modulation.</t>
    </r>
  </si>
  <si>
    <t>The affixed solar array shall conform to a "x"U vehicle size of "x".</t>
  </si>
  <si>
    <t>18-8 Stainless Steel</t>
  </si>
  <si>
    <t>the heaters shall consume no greater than "X" W</t>
  </si>
  <si>
    <t>Rotator will be needed to point the antenna at the satellite.</t>
  </si>
  <si>
    <t>Accounts for components that are sensitive to temperature and humidity</t>
  </si>
  <si>
    <t>Accounts for components that are sensitive to static discharge</t>
  </si>
  <si>
    <t>Accounts for components that are sensitive to dust, ect.</t>
  </si>
  <si>
    <t>Antenna Interface Testing</t>
  </si>
  <si>
    <t>The facility shall provide the capability to interface with antenna procedures and log results.</t>
  </si>
  <si>
    <t>Topics</t>
  </si>
  <si>
    <t>Person</t>
  </si>
  <si>
    <t>Time alloted (mins)</t>
  </si>
  <si>
    <t>Team leads/speakers</t>
  </si>
  <si>
    <t>Mission Objectives</t>
  </si>
  <si>
    <t>Colby</t>
  </si>
  <si>
    <t>Mission</t>
  </si>
  <si>
    <t>Braden</t>
  </si>
  <si>
    <t>Level 1 Req's</t>
  </si>
  <si>
    <t>NuKat/ND</t>
  </si>
  <si>
    <t>Level 2 Req's</t>
  </si>
  <si>
    <t>Bus</t>
  </si>
  <si>
    <t>Bailey</t>
  </si>
  <si>
    <t>Satellite</t>
  </si>
  <si>
    <t>ADCS</t>
  </si>
  <si>
    <t>Phillip</t>
  </si>
  <si>
    <t>Payload</t>
  </si>
  <si>
    <t>C&amp;DH</t>
  </si>
  <si>
    <t>Logan</t>
  </si>
  <si>
    <t>EPD</t>
  </si>
  <si>
    <t>Dalton</t>
  </si>
  <si>
    <t>Ground Station</t>
  </si>
  <si>
    <t>Noah</t>
  </si>
  <si>
    <t>FSW</t>
  </si>
  <si>
    <t>Level 3 Req's</t>
  </si>
  <si>
    <t>Structures</t>
  </si>
  <si>
    <t>Igor</t>
  </si>
  <si>
    <t>Bailey?</t>
  </si>
  <si>
    <t>Thermal</t>
  </si>
  <si>
    <t>Drew</t>
  </si>
  <si>
    <t>GSW</t>
  </si>
  <si>
    <t>Andrew</t>
  </si>
  <si>
    <t xml:space="preserve">Structure </t>
  </si>
  <si>
    <t>Ground Station Hardware</t>
  </si>
  <si>
    <t>Ground Software</t>
  </si>
  <si>
    <t>Launch System</t>
  </si>
  <si>
    <t xml:space="preserve">Goal is to minimize number of transitions, so repeat folks will jump between </t>
  </si>
  <si>
    <t>Order</t>
  </si>
  <si>
    <t>Time</t>
  </si>
  <si>
    <t>Total time per person</t>
  </si>
  <si>
    <t>Column1</t>
  </si>
  <si>
    <t>Payload (level 3)</t>
  </si>
  <si>
    <t>Payload (level 2)</t>
  </si>
  <si>
    <t>Satellite (level 2)</t>
  </si>
  <si>
    <t>Bus (level 2)</t>
  </si>
  <si>
    <t>Satellite (level 3)</t>
  </si>
  <si>
    <t>Ground Station (level 2)</t>
  </si>
  <si>
    <t>Ground Station Hardware (level 3)</t>
  </si>
  <si>
    <t>ADCS (level 3)</t>
  </si>
  <si>
    <t>Launch System (level 3)</t>
  </si>
  <si>
    <t>CD&amp;H (level 3)</t>
  </si>
  <si>
    <t>EPD (level 3)</t>
  </si>
  <si>
    <t>FSW (level 3)</t>
  </si>
  <si>
    <t>Igor/Sophia</t>
  </si>
  <si>
    <t>Structure (level 3)</t>
  </si>
  <si>
    <t>Thermal (level 3)</t>
  </si>
  <si>
    <t>Andew</t>
  </si>
  <si>
    <t>Ground Software (level 3)</t>
  </si>
  <si>
    <t>Section</t>
  </si>
  <si>
    <t>Backup Presenter</t>
  </si>
  <si>
    <t>Preliminary Time allotted</t>
  </si>
  <si>
    <t>Actual time (sans Glen's comments)</t>
  </si>
  <si>
    <t>Final Timing Allotment</t>
  </si>
  <si>
    <t>time</t>
  </si>
  <si>
    <t>total over after</t>
  </si>
  <si>
    <t>Intro</t>
  </si>
  <si>
    <t>Colby Johnston</t>
  </si>
  <si>
    <t>Mission Overview</t>
  </si>
  <si>
    <t>System Overview</t>
  </si>
  <si>
    <t>Bailey Walke</t>
  </si>
  <si>
    <t>Orbit</t>
  </si>
  <si>
    <t>Igor Sheshukov</t>
  </si>
  <si>
    <t>Colby/Bailey</t>
  </si>
  <si>
    <t>Space environment</t>
  </si>
  <si>
    <t>Cameron Weeks</t>
  </si>
  <si>
    <t>Launch Environment</t>
  </si>
  <si>
    <t>Phillip Shirkey</t>
  </si>
  <si>
    <t>Cameron</t>
  </si>
  <si>
    <t>Payload Overview</t>
  </si>
  <si>
    <t>Bus Overview</t>
  </si>
  <si>
    <t>~</t>
  </si>
  <si>
    <t>Satellite Subsystems</t>
  </si>
  <si>
    <t>Michael Bennett</t>
  </si>
  <si>
    <t xml:space="preserve">Dalton </t>
  </si>
  <si>
    <t>Link Information</t>
  </si>
  <si>
    <t>Henry</t>
  </si>
  <si>
    <t>Logan Hayward</t>
  </si>
  <si>
    <t xml:space="preserve">Logan Hayward </t>
  </si>
  <si>
    <t>Nalen</t>
  </si>
  <si>
    <t>Braden Adams</t>
  </si>
  <si>
    <t>Sophia Fenton</t>
  </si>
  <si>
    <t>Mitch</t>
  </si>
  <si>
    <t>Ground System</t>
  </si>
  <si>
    <t>Noah Amundson</t>
  </si>
  <si>
    <t>Chase/Andrew</t>
  </si>
  <si>
    <t>GSHW</t>
  </si>
  <si>
    <t>GSSW</t>
  </si>
  <si>
    <t>Andrew Osterhaus</t>
  </si>
  <si>
    <t>Chase/Noah</t>
  </si>
  <si>
    <t>AIT and Ground Support Equipment</t>
  </si>
  <si>
    <t>Chase Nowell</t>
  </si>
  <si>
    <t xml:space="preserve">Logan </t>
  </si>
  <si>
    <t>Budget and Schedule</t>
  </si>
  <si>
    <t>Abigail Husted</t>
  </si>
  <si>
    <t>Risk Assessment</t>
  </si>
  <si>
    <t>Owen</t>
  </si>
  <si>
    <t>Dale</t>
  </si>
  <si>
    <t>Conclusion</t>
  </si>
  <si>
    <t>98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</si>
</sst>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8"/>
      <color theme="0"/>
      <name val="Aptos Narrow"/>
      <family val="2"/>
      <scheme val="minor"/>
    </font>
    <font>
      <b/>
      <sz val="13"/>
      <color theme="1"/>
      <name val="Aptos Narrow"/>
      <family val="2"/>
      <scheme val="minor"/>
    </font>
    <font>
      <sz val="11"/>
      <color rgb="FF000000"/>
      <name val="Aptos Narrow"/>
      <family val="2"/>
      <scheme val="minor"/>
    </font>
    <font>
      <sz val="11"/>
      <color rgb="FF000000"/>
      <name val="Aptos Narrow"/>
      <family val="2"/>
    </font>
    <font>
      <sz val="9"/>
      <color indexed="81"/>
      <name val="Tahoma"/>
      <family val="2"/>
    </font>
    <font>
      <b/>
      <sz val="9"/>
      <color indexed="81"/>
      <name val="Tahoma"/>
      <family val="2"/>
    </font>
    <font>
      <sz val="11"/>
      <color theme="1"/>
      <name val="Aptos Narrow"/>
      <family val="2"/>
      <scheme val="minor"/>
    </font>
    <font>
      <sz val="11"/>
      <color rgb="FFFF0000"/>
      <name val="Aptos Narrow"/>
      <family val="2"/>
      <scheme val="minor"/>
    </font>
    <font>
      <sz val="10"/>
      <color rgb="FF000000"/>
      <name val="Aptos Display"/>
      <family val="2"/>
      <scheme val="major"/>
    </font>
    <font>
      <b/>
      <sz val="12"/>
      <color theme="1"/>
      <name val="Aptos Narrow"/>
      <family val="2"/>
      <scheme val="minor"/>
    </font>
    <font>
      <sz val="11"/>
      <color rgb="FFFF0000"/>
      <name val="Aptos Narrow"/>
      <family val="2"/>
    </font>
    <font>
      <sz val="11"/>
      <color rgb="FF000000"/>
      <name val="Calibri"/>
      <family val="2"/>
    </font>
    <font>
      <sz val="11"/>
      <color rgb="FF242424"/>
      <name val="Aptos Narrow"/>
      <family val="2"/>
    </font>
    <font>
      <b/>
      <sz val="11"/>
      <color rgb="FF000000"/>
      <name val="Aptos Narrow"/>
      <family val="2"/>
      <scheme val="minor"/>
    </font>
    <font>
      <sz val="11"/>
      <color theme="0" tint="-0.249977111117893"/>
      <name val="Aptos Narrow"/>
      <family val="2"/>
      <scheme val="minor"/>
    </font>
    <font>
      <u/>
      <sz val="11"/>
      <color theme="1"/>
      <name val="Aptos Narrow"/>
      <family val="2"/>
      <scheme val="minor"/>
    </font>
    <font>
      <u/>
      <sz val="11"/>
      <color theme="10"/>
      <name val="Aptos Narrow"/>
      <family val="2"/>
      <scheme val="minor"/>
    </font>
    <font>
      <b/>
      <sz val="9"/>
      <color rgb="FF000000"/>
      <name val="Tahoma"/>
      <family val="2"/>
    </font>
    <font>
      <sz val="9"/>
      <color rgb="FF000000"/>
      <name val="Tahoma"/>
      <family val="2"/>
    </font>
    <font>
      <sz val="11"/>
      <name val="Aptos Narrow"/>
      <family val="2"/>
      <scheme val="minor"/>
    </font>
    <font>
      <sz val="11"/>
      <color theme="1"/>
      <name val="Aptos Narrow"/>
      <family val="2"/>
    </font>
    <font>
      <i/>
      <sz val="11"/>
      <color theme="1"/>
      <name val="Aptos Narrow"/>
      <family val="2"/>
      <scheme val="minor"/>
    </font>
    <font>
      <sz val="11"/>
      <color rgb="FF242424"/>
      <name val="Aptos Narrow"/>
      <charset val="1"/>
    </font>
    <font>
      <sz val="11"/>
      <color theme="1"/>
      <name val="Aptos Narrow"/>
    </font>
    <font>
      <sz val="11"/>
      <color theme="1"/>
      <name val="Calibri"/>
      <family val="2"/>
    </font>
    <font>
      <sz val="11"/>
      <color rgb="FF000000"/>
      <name val="Aptos Narrow"/>
      <scheme val="minor"/>
    </font>
    <font>
      <b/>
      <sz val="11"/>
      <color rgb="FF000000"/>
      <name val="Aptos Narrow"/>
      <scheme val="minor"/>
    </font>
    <font>
      <sz val="11"/>
      <color rgb="FFFF0000"/>
      <name val="Aptos Narrow"/>
      <scheme val="minor"/>
    </font>
    <font>
      <sz val="11"/>
      <color rgb="FFFF0000"/>
      <name val="Aptos Narrow (Body)"/>
    </font>
  </fonts>
  <fills count="24">
    <fill>
      <patternFill patternType="none"/>
    </fill>
    <fill>
      <patternFill patternType="gray125"/>
    </fill>
    <fill>
      <patternFill patternType="solid">
        <fgColor theme="2" tint="-9.9978637043366805E-2"/>
        <bgColor indexed="64"/>
      </patternFill>
    </fill>
    <fill>
      <patternFill patternType="solid">
        <fgColor rgb="FF9966FF"/>
        <bgColor indexed="64"/>
      </patternFill>
    </fill>
    <fill>
      <patternFill patternType="solid">
        <fgColor theme="2" tint="-0.249977111117893"/>
        <bgColor indexed="64"/>
      </patternFill>
    </fill>
    <fill>
      <patternFill patternType="solid">
        <fgColor rgb="FF6600CC"/>
        <bgColor indexed="64"/>
      </patternFill>
    </fill>
    <fill>
      <patternFill patternType="solid">
        <fgColor theme="0"/>
        <bgColor indexed="64"/>
      </patternFill>
    </fill>
    <fill>
      <patternFill patternType="solid">
        <fgColor theme="1"/>
        <bgColor indexed="64"/>
      </patternFill>
    </fill>
    <fill>
      <patternFill patternType="solid">
        <fgColor theme="1" tint="4.9989318521683403E-2"/>
        <bgColor indexed="64"/>
      </patternFill>
    </fill>
    <fill>
      <patternFill patternType="solid">
        <fgColor theme="0" tint="-4.9989318521683403E-2"/>
        <bgColor indexed="64"/>
      </patternFill>
    </fill>
    <fill>
      <patternFill patternType="solid">
        <fgColor rgb="FFFFFFFF"/>
        <bgColor rgb="FF000000"/>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C000"/>
        <bgColor indexed="64"/>
      </patternFill>
    </fill>
    <fill>
      <patternFill patternType="solid">
        <fgColor rgb="FFFFFF00"/>
        <bgColor indexed="64"/>
      </patternFill>
    </fill>
    <fill>
      <patternFill patternType="solid">
        <fgColor rgb="FFFFFF00"/>
        <bgColor rgb="FF000000"/>
      </patternFill>
    </fill>
    <fill>
      <patternFill patternType="solid">
        <fgColor rgb="FFFFA3A3"/>
        <bgColor indexed="64"/>
      </patternFill>
    </fill>
    <fill>
      <patternFill patternType="solid">
        <fgColor rgb="FFFCA9A9"/>
        <bgColor indexed="64"/>
      </patternFill>
    </fill>
    <fill>
      <patternFill patternType="solid">
        <fgColor rgb="FFF8696B"/>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rgb="FF92D050"/>
        <bgColor indexed="64"/>
      </patternFill>
    </fill>
    <fill>
      <patternFill patternType="solid">
        <fgColor rgb="FFFF000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right/>
      <top style="medium">
        <color indexed="64"/>
      </top>
      <bottom style="medium">
        <color indexed="64"/>
      </bottom>
      <diagonal/>
    </border>
    <border>
      <left style="thin">
        <color rgb="FF000000"/>
      </left>
      <right/>
      <top style="thin">
        <color rgb="FF000000"/>
      </top>
      <bottom/>
      <diagonal/>
    </border>
  </borders>
  <cellStyleXfs count="2">
    <xf numFmtId="0" fontId="0" fillId="0" borderId="0"/>
    <xf numFmtId="0" fontId="21" fillId="0" borderId="0" applyNumberFormat="0" applyFill="0" applyBorder="0" applyAlignment="0" applyProtection="0"/>
  </cellStyleXfs>
  <cellXfs count="178">
    <xf numFmtId="0" fontId="0" fillId="0" borderId="0" xfId="0"/>
    <xf numFmtId="0" fontId="3" fillId="0" borderId="0" xfId="0" applyFont="1"/>
    <xf numFmtId="0" fontId="1" fillId="3" borderId="1" xfId="0" applyFont="1" applyFill="1" applyBorder="1" applyAlignment="1">
      <alignment horizontal="center" vertical="center" wrapText="1"/>
    </xf>
    <xf numFmtId="0" fontId="0" fillId="0" borderId="0" xfId="0" applyAlignment="1">
      <alignment vertical="center" wrapText="1"/>
    </xf>
    <xf numFmtId="0" fontId="0" fillId="0" borderId="1" xfId="0" applyBorder="1" applyAlignment="1">
      <alignment vertical="center" wrapText="1"/>
    </xf>
    <xf numFmtId="0" fontId="2" fillId="0" borderId="0" xfId="0" applyFont="1" applyAlignment="1">
      <alignment vertical="center" wrapText="1"/>
    </xf>
    <xf numFmtId="0" fontId="0" fillId="6" borderId="0" xfId="0" applyFill="1" applyAlignment="1">
      <alignment vertical="center" wrapText="1"/>
    </xf>
    <xf numFmtId="0" fontId="0" fillId="6" borderId="0" xfId="0" applyFill="1"/>
    <xf numFmtId="0" fontId="7"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xf numFmtId="0" fontId="2" fillId="0" borderId="0" xfId="0" applyFont="1"/>
    <xf numFmtId="0" fontId="0" fillId="7" borderId="0" xfId="0" applyFill="1"/>
    <xf numFmtId="0" fontId="2" fillId="0" borderId="0" xfId="0" applyFont="1" applyAlignment="1">
      <alignment horizontal="center"/>
    </xf>
    <xf numFmtId="0" fontId="2" fillId="0" borderId="0" xfId="0" applyFont="1" applyAlignment="1">
      <alignment horizontal="center" vertical="center"/>
    </xf>
    <xf numFmtId="0" fontId="0" fillId="0" borderId="0" xfId="0" applyAlignment="1">
      <alignment horizontal="left"/>
    </xf>
    <xf numFmtId="0" fontId="1" fillId="8" borderId="1" xfId="0" applyFont="1" applyFill="1" applyBorder="1"/>
    <xf numFmtId="0" fontId="0" fillId="2" borderId="1" xfId="0" applyFill="1" applyBorder="1" applyAlignment="1">
      <alignment horizontal="center" vertical="center"/>
    </xf>
    <xf numFmtId="0" fontId="0" fillId="2" borderId="1" xfId="0" applyFill="1" applyBorder="1"/>
    <xf numFmtId="0" fontId="0" fillId="9" borderId="1" xfId="0" applyFill="1" applyBorder="1" applyAlignment="1">
      <alignment horizontal="center" vertical="center"/>
    </xf>
    <xf numFmtId="0" fontId="0" fillId="9" borderId="1" xfId="0" applyFill="1" applyBorder="1"/>
    <xf numFmtId="0" fontId="0" fillId="9" borderId="1" xfId="0" applyFill="1" applyBorder="1" applyAlignment="1">
      <alignment vertical="center"/>
    </xf>
    <xf numFmtId="0" fontId="0" fillId="0" borderId="0" xfId="0" applyAlignment="1">
      <alignment vertical="center"/>
    </xf>
    <xf numFmtId="0" fontId="0" fillId="0" borderId="0" xfId="0" applyAlignment="1">
      <alignment horizontal="center" vertical="center" wrapText="1"/>
    </xf>
    <xf numFmtId="0" fontId="8" fillId="0" borderId="0" xfId="0" applyFont="1"/>
    <xf numFmtId="0" fontId="8" fillId="10" borderId="0" xfId="0" applyFont="1" applyFill="1"/>
    <xf numFmtId="0" fontId="0" fillId="0" borderId="0" xfId="0" applyAlignment="1">
      <alignment horizontal="center"/>
    </xf>
    <xf numFmtId="0" fontId="0" fillId="12" borderId="4" xfId="0" applyFill="1" applyBorder="1"/>
    <xf numFmtId="0" fontId="0" fillId="12" borderId="1" xfId="0" applyFill="1" applyBorder="1"/>
    <xf numFmtId="0" fontId="0" fillId="13" borderId="1" xfId="0" applyFill="1" applyBorder="1"/>
    <xf numFmtId="0" fontId="0" fillId="11" borderId="1" xfId="0" applyFill="1" applyBorder="1"/>
    <xf numFmtId="0" fontId="0" fillId="0" borderId="4" xfId="0" applyBorder="1" applyAlignment="1">
      <alignment horizontal="left"/>
    </xf>
    <xf numFmtId="0" fontId="0" fillId="0" borderId="1" xfId="0" applyBorder="1" applyAlignment="1">
      <alignment horizontal="left"/>
    </xf>
    <xf numFmtId="0" fontId="0" fillId="2" borderId="1" xfId="0" applyFill="1" applyBorder="1" applyAlignment="1">
      <alignment horizontal="center" vertical="center" wrapText="1"/>
    </xf>
    <xf numFmtId="0" fontId="13" fillId="0" borderId="1" xfId="0" applyFont="1" applyBorder="1" applyAlignment="1">
      <alignment horizontal="center" vertical="center" wrapText="1"/>
    </xf>
    <xf numFmtId="0" fontId="0" fillId="0" borderId="1" xfId="0" applyBorder="1" applyAlignment="1">
      <alignment horizontal="center" vertical="center"/>
    </xf>
    <xf numFmtId="0" fontId="0" fillId="14" borderId="1" xfId="0" applyFill="1" applyBorder="1" applyAlignment="1">
      <alignment horizontal="center" vertical="center" wrapText="1"/>
    </xf>
    <xf numFmtId="0" fontId="0" fillId="6" borderId="1" xfId="0" applyFill="1" applyBorder="1" applyAlignment="1">
      <alignment vertical="center" wrapText="1"/>
    </xf>
    <xf numFmtId="0" fontId="7" fillId="6"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8" fillId="0" borderId="1" xfId="0" applyFont="1" applyBorder="1" applyAlignment="1">
      <alignment wrapText="1"/>
    </xf>
    <xf numFmtId="0" fontId="8" fillId="0" borderId="1" xfId="0" applyFont="1" applyBorder="1" applyAlignment="1">
      <alignment horizontal="center" wrapText="1"/>
    </xf>
    <xf numFmtId="0" fontId="8" fillId="0" borderId="1" xfId="0" applyFont="1" applyBorder="1" applyAlignment="1">
      <alignment horizontal="center" vertical="center" wrapText="1"/>
    </xf>
    <xf numFmtId="0" fontId="8" fillId="0" borderId="1" xfId="0" applyFont="1" applyBorder="1"/>
    <xf numFmtId="0" fontId="8" fillId="15" borderId="1" xfId="0" quotePrefix="1" applyFont="1" applyFill="1" applyBorder="1" applyAlignment="1">
      <alignment wrapText="1"/>
    </xf>
    <xf numFmtId="0" fontId="16" fillId="0" borderId="1" xfId="0" applyFont="1" applyBorder="1" applyAlignment="1">
      <alignment wrapText="1"/>
    </xf>
    <xf numFmtId="0" fontId="8" fillId="15" borderId="1" xfId="0" applyFont="1" applyFill="1" applyBorder="1" applyAlignment="1">
      <alignment wrapText="1"/>
    </xf>
    <xf numFmtId="0" fontId="8" fillId="16" borderId="1" xfId="0" applyFont="1" applyFill="1" applyBorder="1" applyAlignment="1">
      <alignment wrapText="1"/>
    </xf>
    <xf numFmtId="0" fontId="8" fillId="10" borderId="1" xfId="0" applyFont="1" applyFill="1" applyBorder="1" applyAlignment="1">
      <alignment wrapText="1"/>
    </xf>
    <xf numFmtId="0" fontId="8" fillId="10" borderId="1" xfId="0" applyFont="1" applyFill="1" applyBorder="1" applyAlignment="1">
      <alignment horizontal="center" wrapText="1"/>
    </xf>
    <xf numFmtId="0" fontId="0" fillId="15" borderId="1" xfId="0" applyFill="1" applyBorder="1" applyAlignment="1">
      <alignment vertical="center" wrapText="1"/>
    </xf>
    <xf numFmtId="0" fontId="0" fillId="0" borderId="1" xfId="0" applyBorder="1" applyAlignment="1">
      <alignment horizontal="left" vertical="center" wrapText="1"/>
    </xf>
    <xf numFmtId="0" fontId="17" fillId="0" borderId="1" xfId="0" applyFont="1" applyBorder="1"/>
    <xf numFmtId="0" fontId="0" fillId="0" borderId="1" xfId="0" applyBorder="1" applyAlignment="1">
      <alignment wrapText="1"/>
    </xf>
    <xf numFmtId="0" fontId="18" fillId="6" borderId="1" xfId="0" applyFont="1" applyFill="1" applyBorder="1" applyAlignment="1">
      <alignment vertical="center" wrapText="1"/>
    </xf>
    <xf numFmtId="0" fontId="7" fillId="17" borderId="1" xfId="0" applyFont="1" applyFill="1" applyBorder="1" applyAlignment="1">
      <alignment horizontal="center" vertical="center" wrapText="1"/>
    </xf>
    <xf numFmtId="0" fontId="0" fillId="6" borderId="1" xfId="0" quotePrefix="1" applyFill="1" applyBorder="1" applyAlignment="1">
      <alignment vertical="center" wrapText="1"/>
    </xf>
    <xf numFmtId="0" fontId="7" fillId="18" borderId="1" xfId="0" applyFont="1" applyFill="1" applyBorder="1" applyAlignment="1">
      <alignment horizontal="center" vertical="center" wrapText="1"/>
    </xf>
    <xf numFmtId="0" fontId="0" fillId="0" borderId="1" xfId="0" quotePrefix="1" applyBorder="1" applyAlignment="1">
      <alignment vertical="center" wrapText="1"/>
    </xf>
    <xf numFmtId="0" fontId="8" fillId="6" borderId="1" xfId="0" applyFont="1" applyFill="1" applyBorder="1"/>
    <xf numFmtId="0" fontId="7" fillId="0" borderId="1" xfId="0" quotePrefix="1" applyFont="1" applyBorder="1" applyAlignment="1">
      <alignment vertical="center" wrapText="1"/>
    </xf>
    <xf numFmtId="0" fontId="19" fillId="0" borderId="1" xfId="0" quotePrefix="1" applyFont="1" applyBorder="1" applyAlignment="1">
      <alignment vertical="center" wrapText="1"/>
    </xf>
    <xf numFmtId="0" fontId="11" fillId="0" borderId="1" xfId="0" applyFont="1" applyBorder="1" applyAlignment="1">
      <alignment vertical="center" wrapText="1"/>
    </xf>
    <xf numFmtId="0" fontId="7" fillId="0" borderId="1" xfId="0" applyFont="1" applyBorder="1" applyAlignment="1">
      <alignment vertical="center" wrapText="1"/>
    </xf>
    <xf numFmtId="0" fontId="8" fillId="0" borderId="1" xfId="0" applyFont="1" applyBorder="1" applyAlignment="1">
      <alignment vertical="center"/>
    </xf>
    <xf numFmtId="10" fontId="0" fillId="0" borderId="1" xfId="0" applyNumberFormat="1" applyBorder="1" applyAlignment="1">
      <alignment vertical="center" wrapText="1"/>
    </xf>
    <xf numFmtId="0" fontId="0" fillId="0" borderId="1" xfId="0" applyBorder="1" applyAlignment="1">
      <alignment vertical="center"/>
    </xf>
    <xf numFmtId="0" fontId="20" fillId="0" borderId="0" xfId="0" applyFont="1" applyAlignment="1">
      <alignment vertical="center" wrapText="1"/>
    </xf>
    <xf numFmtId="0" fontId="0" fillId="0" borderId="0" xfId="0" applyAlignment="1">
      <alignment horizontal="left" vertical="center" wrapText="1"/>
    </xf>
    <xf numFmtId="0" fontId="2" fillId="0" borderId="5" xfId="0" applyFont="1" applyBorder="1" applyAlignment="1">
      <alignment horizontal="center" vertical="center" wrapText="1"/>
    </xf>
    <xf numFmtId="0" fontId="2" fillId="0" borderId="0" xfId="0" applyFont="1" applyAlignment="1">
      <alignment horizontal="center" vertical="center" wrapText="1"/>
    </xf>
    <xf numFmtId="0" fontId="20" fillId="0" borderId="0" xfId="0" applyFont="1" applyAlignment="1">
      <alignment horizontal="center" vertical="center" wrapText="1"/>
    </xf>
    <xf numFmtId="0" fontId="0" fillId="11" borderId="6" xfId="0" applyFill="1" applyBorder="1" applyAlignment="1">
      <alignment horizontal="center" vertical="center" wrapText="1"/>
    </xf>
    <xf numFmtId="0" fontId="0" fillId="11" borderId="0" xfId="0" applyFill="1" applyAlignment="1">
      <alignment horizontal="center" vertical="center" wrapText="1"/>
    </xf>
    <xf numFmtId="0" fontId="0" fillId="0" borderId="5" xfId="0" applyBorder="1" applyAlignment="1">
      <alignment horizontal="center" vertical="center" wrapText="1"/>
    </xf>
    <xf numFmtId="0" fontId="21" fillId="0" borderId="1" xfId="1" applyBorder="1" applyAlignment="1">
      <alignment vertical="center" wrapText="1"/>
    </xf>
    <xf numFmtId="0" fontId="0" fillId="0" borderId="3" xfId="0" applyBorder="1" applyAlignment="1">
      <alignment vertical="center" wrapText="1"/>
    </xf>
    <xf numFmtId="0" fontId="0" fillId="0" borderId="7" xfId="0" applyBorder="1" applyAlignment="1">
      <alignment vertical="center" wrapText="1"/>
    </xf>
    <xf numFmtId="0" fontId="0" fillId="0" borderId="7" xfId="0" applyBorder="1"/>
    <xf numFmtId="0" fontId="17" fillId="0" borderId="7" xfId="0" applyFont="1" applyBorder="1"/>
    <xf numFmtId="0" fontId="0" fillId="0" borderId="7" xfId="0" applyBorder="1" applyAlignment="1">
      <alignment horizontal="center" vertical="center" wrapText="1"/>
    </xf>
    <xf numFmtId="0" fontId="0" fillId="0" borderId="4" xfId="0" applyBorder="1" applyAlignment="1">
      <alignment vertical="center" wrapText="1"/>
    </xf>
    <xf numFmtId="0" fontId="0" fillId="15" borderId="4" xfId="0" applyFill="1" applyBorder="1" applyAlignment="1">
      <alignment vertical="center" wrapText="1"/>
    </xf>
    <xf numFmtId="0" fontId="0" fillId="0" borderId="4" xfId="0" applyBorder="1" applyAlignment="1">
      <alignment horizontal="center" vertical="center" wrapText="1"/>
    </xf>
    <xf numFmtId="0" fontId="7" fillId="0" borderId="4" xfId="0" applyFont="1" applyBorder="1" applyAlignment="1">
      <alignment horizontal="center" vertical="center" wrapText="1"/>
    </xf>
    <xf numFmtId="0" fontId="0" fillId="0" borderId="8" xfId="0" applyBorder="1" applyAlignment="1">
      <alignment vertical="center" wrapText="1"/>
    </xf>
    <xf numFmtId="0" fontId="0" fillId="0" borderId="8" xfId="0" applyBorder="1"/>
    <xf numFmtId="0" fontId="0" fillId="0" borderId="8" xfId="0" applyBorder="1" applyAlignment="1">
      <alignment horizontal="center" vertical="center" wrapText="1"/>
    </xf>
    <xf numFmtId="0" fontId="0" fillId="15" borderId="3" xfId="0" applyFill="1" applyBorder="1" applyAlignment="1">
      <alignment vertical="center" wrapText="1"/>
    </xf>
    <xf numFmtId="0" fontId="0" fillId="0" borderId="3" xfId="0" applyBorder="1"/>
    <xf numFmtId="0" fontId="0" fillId="0" borderId="3" xfId="0" applyBorder="1" applyAlignment="1">
      <alignment horizontal="center" vertical="center" wrapText="1"/>
    </xf>
    <xf numFmtId="0" fontId="7" fillId="0" borderId="3" xfId="0" applyFont="1" applyBorder="1" applyAlignment="1">
      <alignment horizontal="center" vertical="center" wrapText="1"/>
    </xf>
    <xf numFmtId="0" fontId="0" fillId="0" borderId="9" xfId="0" applyBorder="1" applyAlignment="1">
      <alignment vertical="center" wrapText="1"/>
    </xf>
    <xf numFmtId="0" fontId="0" fillId="0" borderId="9" xfId="0" applyBorder="1" applyAlignment="1">
      <alignment horizontal="center" vertical="center" wrapText="1"/>
    </xf>
    <xf numFmtId="0" fontId="0" fillId="0" borderId="2" xfId="0" applyBorder="1" applyAlignment="1">
      <alignment horizontal="center" vertical="center" wrapText="1"/>
    </xf>
    <xf numFmtId="0" fontId="0" fillId="6" borderId="8" xfId="0" applyFill="1" applyBorder="1" applyAlignment="1">
      <alignment vertical="center" wrapText="1"/>
    </xf>
    <xf numFmtId="0" fontId="0" fillId="21" borderId="1" xfId="0" applyFill="1" applyBorder="1"/>
    <xf numFmtId="0" fontId="0" fillId="22" borderId="0" xfId="0" applyFill="1" applyAlignment="1">
      <alignment vertical="center" wrapText="1"/>
    </xf>
    <xf numFmtId="0" fontId="0" fillId="15" borderId="0" xfId="0" applyFill="1" applyAlignment="1">
      <alignment vertical="center" wrapText="1"/>
    </xf>
    <xf numFmtId="0" fontId="0" fillId="23" borderId="0" xfId="0" applyFill="1" applyAlignment="1">
      <alignment vertical="center" wrapText="1"/>
    </xf>
    <xf numFmtId="0" fontId="0" fillId="22" borderId="0" xfId="0" applyFill="1" applyAlignment="1">
      <alignment horizontal="center" vertical="center" wrapText="1"/>
    </xf>
    <xf numFmtId="0" fontId="0" fillId="15" borderId="0" xfId="0" applyFill="1" applyAlignment="1">
      <alignment horizontal="center" vertical="center" wrapText="1"/>
    </xf>
    <xf numFmtId="0" fontId="0" fillId="23" borderId="0" xfId="0" applyFill="1" applyAlignment="1">
      <alignment horizontal="center"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5" xfId="0" applyBorder="1" applyAlignment="1">
      <alignment vertical="center" wrapText="1"/>
    </xf>
    <xf numFmtId="0" fontId="0" fillId="0" borderId="13" xfId="0" applyBorder="1" applyAlignment="1">
      <alignment vertical="center" wrapText="1"/>
    </xf>
    <xf numFmtId="0" fontId="0" fillId="0" borderId="14" xfId="0" applyBorder="1" applyAlignment="1">
      <alignment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5" xfId="0" applyBorder="1" applyAlignment="1">
      <alignment horizontal="center" vertical="top" wrapText="1"/>
    </xf>
    <xf numFmtId="0" fontId="11" fillId="6" borderId="1" xfId="0" applyFont="1" applyFill="1" applyBorder="1" applyAlignment="1">
      <alignment vertical="center" wrapText="1"/>
    </xf>
    <xf numFmtId="0" fontId="17" fillId="0" borderId="0" xfId="0" applyFont="1"/>
    <xf numFmtId="0" fontId="17" fillId="0" borderId="12" xfId="0" applyFont="1" applyBorder="1"/>
    <xf numFmtId="0" fontId="17" fillId="0" borderId="0" xfId="0" applyFont="1" applyAlignment="1">
      <alignment wrapText="1"/>
    </xf>
    <xf numFmtId="0" fontId="0" fillId="20" borderId="5" xfId="0" applyFill="1" applyBorder="1" applyAlignment="1">
      <alignment horizontal="center" vertical="top" wrapText="1"/>
    </xf>
    <xf numFmtId="10" fontId="0" fillId="0" borderId="5" xfId="0" applyNumberFormat="1" applyBorder="1" applyAlignment="1">
      <alignment horizontal="center" vertical="center" wrapText="1"/>
    </xf>
    <xf numFmtId="0" fontId="0" fillId="15" borderId="5" xfId="0" applyFill="1" applyBorder="1" applyAlignment="1">
      <alignment horizontal="center" vertical="top" wrapText="1"/>
    </xf>
    <xf numFmtId="0" fontId="0" fillId="19" borderId="5" xfId="0" applyFill="1" applyBorder="1" applyAlignment="1">
      <alignment horizontal="center" vertical="top" wrapText="1"/>
    </xf>
    <xf numFmtId="0" fontId="25" fillId="0" borderId="1" xfId="0" applyFont="1" applyBorder="1" applyAlignment="1">
      <alignment vertical="center" wrapText="1"/>
    </xf>
    <xf numFmtId="0" fontId="7" fillId="0" borderId="4" xfId="0" applyFont="1" applyBorder="1" applyAlignment="1">
      <alignment horizontal="center"/>
    </xf>
    <xf numFmtId="0" fontId="7" fillId="0" borderId="1" xfId="0" applyFont="1" applyBorder="1" applyAlignment="1">
      <alignment horizontal="center"/>
    </xf>
    <xf numFmtId="0" fontId="0" fillId="6" borderId="8" xfId="0" quotePrefix="1" applyFill="1" applyBorder="1" applyAlignment="1">
      <alignment vertical="center" wrapText="1"/>
    </xf>
    <xf numFmtId="0" fontId="7" fillId="0" borderId="2" xfId="0" applyFont="1" applyBorder="1" applyAlignment="1">
      <alignment horizontal="center"/>
    </xf>
    <xf numFmtId="0" fontId="0" fillId="0" borderId="4" xfId="0" applyBorder="1"/>
    <xf numFmtId="0" fontId="26" fillId="0" borderId="10" xfId="0" applyFont="1" applyBorder="1" applyAlignment="1">
      <alignment horizontal="center"/>
    </xf>
    <xf numFmtId="0" fontId="26" fillId="0" borderId="17" xfId="0" applyFont="1" applyBorder="1" applyAlignment="1">
      <alignment horizontal="center"/>
    </xf>
    <xf numFmtId="0" fontId="0" fillId="0" borderId="19" xfId="0" applyBorder="1"/>
    <xf numFmtId="0" fontId="0" fillId="0" borderId="20" xfId="0" applyBorder="1"/>
    <xf numFmtId="0" fontId="26" fillId="0" borderId="18" xfId="0" applyFont="1" applyBorder="1" applyAlignment="1">
      <alignment horizontal="center"/>
    </xf>
    <xf numFmtId="0" fontId="2" fillId="0" borderId="21" xfId="0" applyFont="1" applyBorder="1" applyAlignment="1">
      <alignment horizontal="center"/>
    </xf>
    <xf numFmtId="0" fontId="2" fillId="0" borderId="22" xfId="0" applyFont="1" applyBorder="1" applyAlignment="1">
      <alignment horizontal="center"/>
    </xf>
    <xf numFmtId="0" fontId="0" fillId="0" borderId="23" xfId="0" applyBorder="1"/>
    <xf numFmtId="0" fontId="2" fillId="0" borderId="25" xfId="0" applyFont="1" applyBorder="1" applyAlignment="1">
      <alignment horizontal="center"/>
    </xf>
    <xf numFmtId="0" fontId="26" fillId="0" borderId="24" xfId="0" applyFont="1" applyBorder="1" applyAlignment="1">
      <alignment horizontal="center"/>
    </xf>
    <xf numFmtId="0" fontId="2" fillId="0" borderId="26" xfId="0" applyFont="1" applyBorder="1" applyAlignment="1">
      <alignment horizontal="center"/>
    </xf>
    <xf numFmtId="0" fontId="0" fillId="0" borderId="2" xfId="0" applyBorder="1"/>
    <xf numFmtId="0" fontId="0" fillId="0" borderId="25" xfId="0" applyBorder="1"/>
    <xf numFmtId="0" fontId="0" fillId="0" borderId="27" xfId="0" applyBorder="1" applyAlignment="1">
      <alignment horizontal="center"/>
    </xf>
    <xf numFmtId="9" fontId="0" fillId="0" borderId="1" xfId="0" applyNumberFormat="1" applyBorder="1" applyAlignment="1">
      <alignment vertical="center" wrapText="1"/>
    </xf>
    <xf numFmtId="0" fontId="7" fillId="0" borderId="1" xfId="0" applyFont="1" applyBorder="1" applyAlignment="1">
      <alignment horizontal="center" vertical="center"/>
    </xf>
    <xf numFmtId="0" fontId="1" fillId="6" borderId="0" xfId="0" applyFont="1" applyFill="1" applyAlignment="1">
      <alignment horizontal="center" vertical="center" wrapText="1"/>
    </xf>
    <xf numFmtId="0" fontId="7" fillId="6" borderId="0" xfId="0" applyFont="1" applyFill="1" applyAlignment="1">
      <alignment horizontal="center" vertical="center" wrapText="1"/>
    </xf>
    <xf numFmtId="0" fontId="0" fillId="0" borderId="28" xfId="0" applyBorder="1" applyAlignment="1">
      <alignment vertical="center" wrapText="1"/>
    </xf>
    <xf numFmtId="0" fontId="0" fillId="0" borderId="12" xfId="0" applyBorder="1" applyAlignment="1">
      <alignment vertical="center" wrapText="1"/>
    </xf>
    <xf numFmtId="0" fontId="27" fillId="0" borderId="5" xfId="0" applyFont="1" applyBorder="1"/>
    <xf numFmtId="0" fontId="0" fillId="0" borderId="6" xfId="0" applyBorder="1" applyAlignment="1">
      <alignment vertical="center" wrapText="1"/>
    </xf>
    <xf numFmtId="0" fontId="28" fillId="0" borderId="1" xfId="0" applyFont="1" applyBorder="1" applyAlignment="1">
      <alignment wrapText="1"/>
    </xf>
    <xf numFmtId="0" fontId="25" fillId="0" borderId="1" xfId="0" applyFont="1" applyBorder="1" applyAlignment="1">
      <alignment wrapText="1"/>
    </xf>
    <xf numFmtId="0" fontId="25" fillId="0" borderId="1" xfId="0" quotePrefix="1" applyFont="1" applyBorder="1" applyAlignment="1">
      <alignment wrapText="1"/>
    </xf>
    <xf numFmtId="0" fontId="25" fillId="0" borderId="1" xfId="0" applyFont="1" applyBorder="1"/>
    <xf numFmtId="0" fontId="29" fillId="0" borderId="1" xfId="0" applyFont="1" applyBorder="1" applyAlignment="1">
      <alignment wrapText="1"/>
    </xf>
    <xf numFmtId="0" fontId="7" fillId="15" borderId="1" xfId="0" applyFont="1" applyFill="1" applyBorder="1" applyAlignment="1">
      <alignment vertical="center" wrapText="1"/>
    </xf>
    <xf numFmtId="0" fontId="0" fillId="15" borderId="1" xfId="0" applyFill="1" applyBorder="1" applyAlignment="1">
      <alignment horizontal="center" vertical="center" wrapText="1"/>
    </xf>
    <xf numFmtId="0" fontId="0" fillId="15" borderId="1" xfId="0" quotePrefix="1" applyFill="1" applyBorder="1" applyAlignment="1">
      <alignment vertical="center" wrapText="1"/>
    </xf>
    <xf numFmtId="0" fontId="8" fillId="15" borderId="1" xfId="0" applyFont="1" applyFill="1" applyBorder="1"/>
    <xf numFmtId="0" fontId="7" fillId="6" borderId="1" xfId="0" applyFont="1" applyFill="1" applyBorder="1" applyAlignment="1">
      <alignment vertical="center" wrapText="1"/>
    </xf>
    <xf numFmtId="0" fontId="7" fillId="6" borderId="1" xfId="0" quotePrefix="1" applyFont="1" applyFill="1" applyBorder="1" applyAlignment="1">
      <alignment vertical="center" wrapText="1"/>
    </xf>
    <xf numFmtId="0" fontId="12" fillId="15" borderId="1" xfId="0" quotePrefix="1" applyFont="1" applyFill="1" applyBorder="1" applyAlignment="1">
      <alignment vertical="center" wrapText="1"/>
    </xf>
    <xf numFmtId="0" fontId="12" fillId="15" borderId="1" xfId="0" applyFont="1" applyFill="1" applyBorder="1" applyAlignment="1">
      <alignment vertical="center" wrapText="1"/>
    </xf>
    <xf numFmtId="20" fontId="0" fillId="0" borderId="0" xfId="0" applyNumberFormat="1"/>
    <xf numFmtId="0" fontId="14" fillId="2" borderId="1" xfId="0" applyFont="1" applyFill="1" applyBorder="1" applyAlignment="1">
      <alignment horizontal="left" vertical="center" wrapText="1" indent="2"/>
    </xf>
    <xf numFmtId="0" fontId="14" fillId="2" borderId="4" xfId="0" applyFont="1" applyFill="1" applyBorder="1" applyAlignment="1">
      <alignment horizontal="left" vertical="center" wrapText="1" indent="2"/>
    </xf>
    <xf numFmtId="0" fontId="6" fillId="4" borderId="1" xfId="0" applyFont="1" applyFill="1" applyBorder="1" applyAlignment="1">
      <alignment horizontal="left" vertical="center" wrapText="1" indent="1"/>
    </xf>
    <xf numFmtId="0" fontId="0" fillId="0" borderId="1" xfId="0" applyBorder="1" applyAlignment="1">
      <alignment horizontal="center" vertical="center" wrapText="1"/>
    </xf>
    <xf numFmtId="0" fontId="5" fillId="5" borderId="1" xfId="0" applyFont="1" applyFill="1" applyBorder="1" applyAlignment="1">
      <alignment horizontal="left"/>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1" xfId="0" applyFill="1" applyBorder="1" applyAlignment="1">
      <alignment horizontal="center" vertical="center"/>
    </xf>
    <xf numFmtId="0" fontId="0" fillId="9" borderId="1" xfId="0" applyFill="1" applyBorder="1" applyAlignment="1">
      <alignment horizontal="center" vertical="center"/>
    </xf>
    <xf numFmtId="0" fontId="0" fillId="9" borderId="2" xfId="0" applyFill="1" applyBorder="1" applyAlignment="1">
      <alignment horizontal="center" vertical="center"/>
    </xf>
    <xf numFmtId="0" fontId="0" fillId="9" borderId="3" xfId="0" applyFill="1" applyBorder="1" applyAlignment="1">
      <alignment horizontal="center" vertical="center"/>
    </xf>
    <xf numFmtId="0" fontId="0" fillId="9" borderId="4" xfId="0" applyFill="1" applyBorder="1" applyAlignment="1">
      <alignment horizontal="center" vertical="center"/>
    </xf>
    <xf numFmtId="0" fontId="0" fillId="0" borderId="10" xfId="0" applyBorder="1" applyAlignment="1">
      <alignment horizontal="right" vertical="center" textRotation="90" wrapText="1"/>
    </xf>
    <xf numFmtId="0" fontId="26" fillId="0" borderId="10" xfId="0" applyFont="1" applyBorder="1" applyAlignment="1">
      <alignment horizontal="center" vertical="center"/>
    </xf>
    <xf numFmtId="0" fontId="7" fillId="0" borderId="1" xfId="0" applyFont="1" applyBorder="1" applyAlignment="1">
      <alignment horizontal="center" vertical="center"/>
    </xf>
    <xf numFmtId="0" fontId="2" fillId="0" borderId="22" xfId="0" applyFont="1" applyBorder="1" applyAlignment="1">
      <alignment horizontal="center" vertical="center"/>
    </xf>
  </cellXfs>
  <cellStyles count="2">
    <cellStyle name="Hyperlink" xfId="1" builtinId="8"/>
    <cellStyle name="Normal" xfId="0" builtinId="0"/>
  </cellStyles>
  <dxfs count="511">
    <dxf>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ill>
        <patternFill patternType="solid">
          <fgColor rgb="FFF4C7C3"/>
          <bgColor rgb="FFF4C7C3"/>
        </patternFill>
      </fill>
    </dxf>
    <dxf>
      <fill>
        <patternFill patternType="solid">
          <fgColor rgb="FFFCE8B2"/>
          <bgColor rgb="FFFCE8B2"/>
        </patternFill>
      </fill>
    </dxf>
    <dxf>
      <fill>
        <patternFill patternType="solid">
          <fgColor rgb="FFB7E1CD"/>
          <bgColor rgb="FFB7E1CD"/>
        </patternFill>
      </fill>
    </dxf>
    <dxf>
      <fill>
        <patternFill>
          <bgColor theme="0"/>
        </patternFill>
      </fill>
    </dxf>
    <dxf>
      <fill>
        <patternFill>
          <bgColor rgb="FFFCE8B2"/>
        </patternFill>
      </fill>
    </dxf>
    <dxf>
      <fill>
        <patternFill>
          <bgColor rgb="FFFF9999"/>
        </patternFill>
      </fill>
    </dxf>
    <dxf>
      <fill>
        <patternFill>
          <bgColor rgb="FFB7E1CD"/>
        </patternFill>
      </fill>
    </dxf>
    <dxf>
      <fill>
        <patternFill>
          <bgColor theme="0"/>
        </patternFill>
      </fill>
    </dxf>
    <dxf>
      <fill>
        <patternFill>
          <bgColor rgb="FFFCE8B2"/>
        </patternFill>
      </fill>
    </dxf>
    <dxf>
      <fill>
        <patternFill>
          <bgColor rgb="FFFF9999"/>
        </patternFill>
      </fill>
    </dxf>
    <dxf>
      <fill>
        <patternFill>
          <bgColor rgb="FFB7E1CD"/>
        </patternFill>
      </fill>
    </dxf>
    <dxf>
      <fill>
        <patternFill>
          <bgColor theme="0"/>
        </patternFill>
      </fill>
    </dxf>
    <dxf>
      <fill>
        <patternFill>
          <bgColor rgb="FFFCE8B2"/>
        </patternFill>
      </fill>
    </dxf>
    <dxf>
      <fill>
        <patternFill>
          <bgColor rgb="FFFF9999"/>
        </patternFill>
      </fill>
    </dxf>
    <dxf>
      <fill>
        <patternFill>
          <bgColor rgb="FFB7E1CD"/>
        </patternFill>
      </fill>
    </dxf>
    <dxf>
      <fill>
        <patternFill>
          <bgColor theme="0"/>
        </patternFill>
      </fill>
    </dxf>
    <dxf>
      <fill>
        <patternFill>
          <bgColor rgb="FFB7E1CD"/>
        </patternFill>
      </fill>
    </dxf>
    <dxf>
      <fill>
        <patternFill>
          <bgColor rgb="FFFCE8B2"/>
        </patternFill>
      </fill>
    </dxf>
    <dxf>
      <fill>
        <patternFill>
          <bgColor rgb="FFFF9999"/>
        </patternFill>
      </fill>
    </dxf>
    <dxf>
      <fill>
        <patternFill>
          <bgColor theme="0"/>
        </patternFill>
      </fill>
    </dxf>
    <dxf>
      <fill>
        <patternFill>
          <bgColor rgb="FFFCE8B2"/>
        </patternFill>
      </fill>
    </dxf>
    <dxf>
      <fill>
        <patternFill>
          <bgColor rgb="FFFF9999"/>
        </patternFill>
      </fill>
    </dxf>
    <dxf>
      <fill>
        <patternFill>
          <bgColor rgb="FFB7E1CD"/>
        </patternFill>
      </fill>
    </dxf>
    <dxf>
      <fill>
        <patternFill>
          <bgColor theme="0"/>
        </patternFill>
      </fill>
    </dxf>
    <dxf>
      <fill>
        <patternFill>
          <bgColor rgb="FFFCE8B2"/>
        </patternFill>
      </fill>
    </dxf>
    <dxf>
      <fill>
        <patternFill>
          <bgColor rgb="FFFF9999"/>
        </patternFill>
      </fill>
    </dxf>
    <dxf>
      <fill>
        <patternFill>
          <bgColor rgb="FFB7E1CD"/>
        </patternFill>
      </fill>
    </dxf>
    <dxf>
      <fill>
        <patternFill patternType="solid">
          <fgColor rgb="FFFCE8B2"/>
          <bgColor rgb="FFFCE8B2"/>
        </patternFill>
      </fill>
    </dxf>
    <dxf>
      <fill>
        <patternFill patternType="solid">
          <fgColor rgb="FFB7E1CD"/>
          <bgColor rgb="FFB7E1CD"/>
        </patternFill>
      </fill>
    </dxf>
    <dxf>
      <fill>
        <patternFill patternType="solid">
          <fgColor rgb="FFF4C7C3"/>
          <bgColor rgb="FFF4C7C3"/>
        </patternFill>
      </fill>
    </dxf>
    <dxf>
      <fill>
        <patternFill>
          <bgColor rgb="FFFFFF00"/>
        </patternFill>
      </fill>
    </dxf>
    <dxf>
      <fill>
        <patternFill>
          <bgColor rgb="FF92D050"/>
        </patternFill>
      </fill>
    </dxf>
    <dxf>
      <fill>
        <patternFill>
          <bgColor rgb="FF00B05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5050"/>
        </patternFill>
      </fill>
    </dxf>
    <dxf>
      <fill>
        <patternFill>
          <bgColor rgb="FFFF5050"/>
        </patternFill>
      </fill>
    </dxf>
    <dxf>
      <fill>
        <patternFill>
          <bgColor rgb="FFFFC000"/>
        </patternFill>
      </fill>
    </dxf>
    <dxf>
      <fill>
        <patternFill>
          <bgColor rgb="FFFFC000"/>
        </patternFill>
      </fill>
    </dxf>
    <dxf>
      <fill>
        <patternFill>
          <bgColor rgb="FFFF5050"/>
        </patternFill>
      </fill>
    </dxf>
    <dxf>
      <fill>
        <patternFill>
          <bgColor rgb="FFFF5050"/>
        </patternFill>
      </fill>
    </dxf>
    <dxf>
      <fill>
        <patternFill>
          <bgColor rgb="FFFFC000"/>
        </patternFill>
      </fill>
    </dxf>
    <dxf>
      <fill>
        <patternFill>
          <bgColor rgb="FF00B050"/>
        </patternFill>
      </fill>
    </dxf>
    <dxf>
      <fill>
        <patternFill>
          <bgColor rgb="FF92D050"/>
        </patternFill>
      </fill>
    </dxf>
    <dxf>
      <fill>
        <patternFill>
          <bgColor rgb="FFFFFF00"/>
        </patternFill>
      </fill>
    </dxf>
    <dxf>
      <fill>
        <patternFill>
          <bgColor rgb="FF92D050"/>
        </patternFill>
      </fill>
    </dxf>
    <dxf>
      <fill>
        <patternFill>
          <bgColor rgb="FF00B050"/>
        </patternFill>
      </fill>
    </dxf>
    <dxf>
      <fill>
        <patternFill>
          <bgColor rgb="FFFFFF00"/>
        </patternFill>
      </fill>
    </dxf>
    <dxf>
      <fill>
        <patternFill>
          <bgColor rgb="FFFFC000"/>
        </patternFill>
      </fill>
    </dxf>
    <dxf>
      <fill>
        <patternFill>
          <bgColor rgb="FF92D050"/>
        </patternFill>
      </fill>
    </dxf>
    <dxf>
      <fill>
        <patternFill>
          <bgColor rgb="FF00B050"/>
        </patternFill>
      </fill>
    </dxf>
    <dxf>
      <fill>
        <patternFill>
          <bgColor rgb="FFFFFF00"/>
        </patternFill>
      </fill>
    </dxf>
    <dxf>
      <fill>
        <patternFill>
          <bgColor rgb="FF00B050"/>
        </patternFill>
      </fill>
    </dxf>
    <dxf>
      <fill>
        <patternFill>
          <bgColor rgb="FFFF5050"/>
        </patternFill>
      </fill>
    </dxf>
    <dxf>
      <fill>
        <patternFill>
          <bgColor rgb="FF92D050"/>
        </patternFill>
      </fill>
    </dxf>
    <dxf>
      <fill>
        <patternFill>
          <bgColor rgb="FFFFFF00"/>
        </patternFill>
      </fill>
    </dxf>
    <dxf>
      <fill>
        <patternFill>
          <bgColor rgb="FFFFC000"/>
        </patternFill>
      </fill>
    </dxf>
    <dxf>
      <fill>
        <patternFill>
          <bgColor rgb="FFFF5050"/>
        </patternFill>
      </fill>
    </dxf>
    <dxf>
      <fill>
        <patternFill>
          <bgColor rgb="FFFF5050"/>
        </patternFill>
      </fill>
    </dxf>
    <dxf>
      <fill>
        <patternFill>
          <bgColor rgb="FFFFC00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5050"/>
        </patternFill>
      </fill>
    </dxf>
    <dxf>
      <fill>
        <patternFill>
          <bgColor rgb="FF00B050"/>
        </patternFill>
      </fill>
    </dxf>
    <dxf>
      <fill>
        <patternFill>
          <bgColor rgb="FF92D050"/>
        </patternFill>
      </fill>
    </dxf>
    <dxf>
      <fill>
        <patternFill>
          <bgColor rgb="FFFFFF00"/>
        </patternFill>
      </fill>
    </dxf>
    <dxf>
      <fill>
        <patternFill>
          <bgColor rgb="FFFF5050"/>
        </patternFill>
      </fill>
    </dxf>
    <dxf>
      <fill>
        <patternFill>
          <bgColor rgb="FFFF5050"/>
        </patternFill>
      </fill>
    </dxf>
    <dxf>
      <fill>
        <patternFill>
          <bgColor rgb="FFFFC000"/>
        </patternFill>
      </fill>
    </dxf>
    <dxf>
      <fill>
        <patternFill>
          <bgColor rgb="FFFFFF00"/>
        </patternFill>
      </fill>
    </dxf>
    <dxf>
      <fill>
        <patternFill>
          <bgColor rgb="FFFFFF00"/>
        </patternFill>
      </fill>
    </dxf>
    <dxf>
      <fill>
        <patternFill>
          <bgColor rgb="FF00B050"/>
        </patternFill>
      </fill>
    </dxf>
    <dxf>
      <fill>
        <patternFill>
          <bgColor rgb="FF92D050"/>
        </patternFill>
      </fill>
    </dxf>
    <dxf>
      <fill>
        <patternFill>
          <bgColor rgb="FFFFC000"/>
        </patternFill>
      </fill>
    </dxf>
    <dxf>
      <fill>
        <patternFill>
          <bgColor rgb="FF00B05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FF5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5050"/>
        </patternFill>
      </fill>
    </dxf>
    <dxf>
      <fill>
        <patternFill>
          <bgColor rgb="FFFFFF00"/>
        </patternFill>
      </fill>
    </dxf>
    <dxf>
      <fill>
        <patternFill>
          <bgColor rgb="FFFFC000"/>
        </patternFill>
      </fill>
    </dxf>
    <dxf>
      <fill>
        <patternFill>
          <bgColor rgb="FFFF5050"/>
        </patternFill>
      </fill>
    </dxf>
    <dxf>
      <fill>
        <patternFill>
          <bgColor rgb="FFFF505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00B050"/>
        </patternFill>
      </fill>
    </dxf>
    <dxf>
      <fill>
        <patternFill>
          <bgColor rgb="FF92D050"/>
        </patternFill>
      </fill>
    </dxf>
    <dxf>
      <fill>
        <patternFill>
          <bgColor rgb="FFFFFF00"/>
        </patternFill>
      </fill>
    </dxf>
    <dxf>
      <fill>
        <patternFill>
          <bgColor rgb="FF00B050"/>
        </patternFill>
      </fill>
    </dxf>
    <dxf>
      <fill>
        <patternFill>
          <bgColor rgb="FFFF5050"/>
        </patternFill>
      </fill>
    </dxf>
    <dxf>
      <fill>
        <patternFill>
          <bgColor rgb="FFFFC000"/>
        </patternFill>
      </fill>
    </dxf>
    <dxf>
      <fill>
        <patternFill>
          <bgColor rgb="FFFF5050"/>
        </patternFill>
      </fill>
    </dxf>
    <dxf>
      <fill>
        <patternFill>
          <bgColor rgb="FF92D050"/>
        </patternFill>
      </fill>
    </dxf>
    <dxf>
      <fill>
        <patternFill>
          <bgColor rgb="FFFFFF00"/>
        </patternFill>
      </fill>
    </dxf>
    <dxf>
      <fill>
        <patternFill>
          <bgColor rgb="FFFFC000"/>
        </patternFill>
      </fill>
    </dxf>
    <dxf>
      <fill>
        <patternFill>
          <bgColor rgb="FFFFC000"/>
        </patternFill>
      </fill>
    </dxf>
    <dxf>
      <fill>
        <patternFill>
          <bgColor rgb="FF00B050"/>
        </patternFill>
      </fill>
    </dxf>
    <dxf>
      <fill>
        <patternFill>
          <bgColor rgb="FFFFFF00"/>
        </patternFill>
      </fill>
    </dxf>
    <dxf>
      <fill>
        <patternFill>
          <bgColor rgb="FFFF5050"/>
        </patternFill>
      </fill>
    </dxf>
    <dxf>
      <fill>
        <patternFill>
          <bgColor rgb="FFFF5050"/>
        </patternFill>
      </fill>
    </dxf>
    <dxf>
      <fill>
        <patternFill>
          <bgColor rgb="FFFFC000"/>
        </patternFill>
      </fill>
    </dxf>
    <dxf>
      <fill>
        <patternFill>
          <bgColor rgb="FFFFFF00"/>
        </patternFill>
      </fill>
    </dxf>
    <dxf>
      <fill>
        <patternFill>
          <bgColor rgb="FF92D050"/>
        </patternFill>
      </fill>
    </dxf>
    <dxf>
      <fill>
        <patternFill>
          <bgColor rgb="FF92D050"/>
        </patternFill>
      </fill>
    </dxf>
    <dxf>
      <fill>
        <patternFill>
          <bgColor rgb="FF00B050"/>
        </patternFill>
      </fill>
    </dxf>
    <dxf>
      <fill>
        <patternFill>
          <bgColor rgb="FFFF5050"/>
        </patternFill>
      </fill>
    </dxf>
    <dxf>
      <fill>
        <patternFill>
          <bgColor rgb="FFFFC000"/>
        </patternFill>
      </fill>
    </dxf>
    <dxf>
      <fill>
        <patternFill>
          <bgColor rgb="FF00B050"/>
        </patternFill>
      </fill>
    </dxf>
    <dxf>
      <fill>
        <patternFill>
          <bgColor rgb="FF92D050"/>
        </patternFill>
      </fill>
    </dxf>
    <dxf>
      <fill>
        <patternFill>
          <bgColor rgb="FF00B050"/>
        </patternFill>
      </fill>
    </dxf>
    <dxf>
      <fill>
        <patternFill>
          <bgColor rgb="FFFFFF00"/>
        </patternFill>
      </fill>
    </dxf>
    <dxf>
      <fill>
        <patternFill>
          <bgColor rgb="FFFFC000"/>
        </patternFill>
      </fill>
    </dxf>
    <dxf>
      <fill>
        <patternFill>
          <bgColor rgb="FF92D050"/>
        </patternFill>
      </fill>
    </dxf>
    <dxf>
      <fill>
        <patternFill>
          <bgColor rgb="FFFF5050"/>
        </patternFill>
      </fill>
    </dxf>
    <dxf>
      <fill>
        <patternFill>
          <bgColor rgb="FFFFFF00"/>
        </patternFill>
      </fill>
    </dxf>
    <dxf>
      <fill>
        <patternFill>
          <bgColor rgb="FFFFFF00"/>
        </patternFill>
      </fill>
    </dxf>
    <dxf>
      <fill>
        <patternFill>
          <bgColor rgb="FFFFC000"/>
        </patternFill>
      </fill>
    </dxf>
    <dxf>
      <fill>
        <patternFill>
          <bgColor rgb="FFFF5050"/>
        </patternFill>
      </fill>
    </dxf>
    <dxf>
      <fill>
        <patternFill>
          <bgColor rgb="FFFF505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5050"/>
        </patternFill>
      </fill>
    </dxf>
    <dxf>
      <fill>
        <patternFill>
          <bgColor rgb="FFFF5050"/>
        </patternFill>
      </fill>
    </dxf>
    <dxf>
      <fill>
        <patternFill>
          <bgColor rgb="FFFFC000"/>
        </patternFill>
      </fill>
    </dxf>
    <dxf>
      <fill>
        <patternFill>
          <bgColor rgb="FFFFFF00"/>
        </patternFill>
      </fill>
    </dxf>
    <dxf>
      <fill>
        <patternFill>
          <bgColor rgb="FF92D050"/>
        </patternFill>
      </fill>
    </dxf>
    <dxf>
      <fill>
        <patternFill>
          <bgColor rgb="FFFFFF00"/>
        </patternFill>
      </fill>
    </dxf>
    <dxf>
      <fill>
        <patternFill>
          <bgColor rgb="FFFF5050"/>
        </patternFill>
      </fill>
    </dxf>
    <dxf>
      <fill>
        <patternFill>
          <bgColor rgb="FFFFC0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5050"/>
        </patternFill>
      </fill>
    </dxf>
    <dxf>
      <fill>
        <patternFill>
          <bgColor rgb="FFFFFF00"/>
        </patternFill>
      </fill>
    </dxf>
    <dxf>
      <fill>
        <patternFill>
          <bgColor rgb="FF92D050"/>
        </patternFill>
      </fill>
    </dxf>
    <dxf>
      <fill>
        <patternFill>
          <bgColor rgb="FF00B050"/>
        </patternFill>
      </fill>
    </dxf>
    <dxf>
      <fill>
        <patternFill>
          <bgColor rgb="FFFF5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5050"/>
        </patternFill>
      </fill>
    </dxf>
    <dxf>
      <fill>
        <patternFill>
          <bgColor rgb="FFFFC000"/>
        </patternFill>
      </fill>
    </dxf>
    <dxf>
      <fill>
        <patternFill>
          <bgColor rgb="FFFFC00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5050"/>
        </patternFill>
      </fill>
    </dxf>
    <dxf>
      <fill>
        <patternFill>
          <bgColor rgb="FFFFFF00"/>
        </patternFill>
      </fill>
    </dxf>
    <dxf>
      <fill>
        <patternFill>
          <bgColor rgb="FFFF505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5050"/>
        </patternFill>
      </fill>
    </dxf>
    <dxf>
      <fill>
        <patternFill>
          <bgColor rgb="FFFFC000"/>
        </patternFill>
      </fill>
    </dxf>
    <dxf>
      <fill>
        <patternFill>
          <bgColor rgb="FFFFFF00"/>
        </patternFill>
      </fill>
    </dxf>
    <dxf>
      <fill>
        <patternFill>
          <bgColor rgb="FF00B050"/>
        </patternFill>
      </fill>
    </dxf>
    <dxf>
      <fill>
        <patternFill>
          <bgColor rgb="FF00B050"/>
        </patternFill>
      </fill>
    </dxf>
    <dxf>
      <fill>
        <patternFill>
          <bgColor rgb="FFFF5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5050"/>
        </patternFill>
      </fill>
    </dxf>
    <dxf>
      <fill>
        <patternFill>
          <bgColor rgb="FFFF505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92D050"/>
        </patternFill>
      </fill>
    </dxf>
    <dxf>
      <fill>
        <patternFill>
          <bgColor rgb="FF00B050"/>
        </patternFill>
      </fill>
    </dxf>
    <dxf>
      <fill>
        <patternFill>
          <bgColor rgb="FFFFFF00"/>
        </patternFill>
      </fill>
    </dxf>
    <dxf>
      <fill>
        <patternFill>
          <bgColor rgb="FFFF3300"/>
        </patternFill>
      </fill>
    </dxf>
    <dxf>
      <fill>
        <patternFill>
          <bgColor rgb="FFFFC000"/>
        </patternFill>
      </fill>
    </dxf>
    <dxf>
      <fill>
        <patternFill>
          <bgColor rgb="FF00B050"/>
        </patternFill>
      </fill>
    </dxf>
    <dxf>
      <fill>
        <patternFill>
          <bgColor rgb="FFFF33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FFFF00"/>
        </patternFill>
      </fill>
    </dxf>
    <dxf>
      <fill>
        <patternFill>
          <bgColor rgb="FFFF3300"/>
        </patternFill>
      </fill>
    </dxf>
    <dxf>
      <fill>
        <patternFill>
          <bgColor rgb="FFFFFF00"/>
        </patternFill>
      </fill>
    </dxf>
    <dxf>
      <fill>
        <patternFill>
          <bgColor rgb="FFFF33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00B050"/>
        </patternFill>
      </fill>
    </dxf>
    <dxf>
      <fill>
        <patternFill>
          <bgColor rgb="FFFFFF00"/>
        </patternFill>
      </fill>
    </dxf>
    <dxf>
      <fill>
        <patternFill>
          <bgColor rgb="FFFFC000"/>
        </patternFill>
      </fill>
    </dxf>
    <dxf>
      <fill>
        <patternFill>
          <bgColor rgb="FFFF3300"/>
        </patternFill>
      </fill>
    </dxf>
    <dxf>
      <fill>
        <patternFill>
          <bgColor rgb="FFFFC000"/>
        </patternFill>
      </fill>
    </dxf>
    <dxf>
      <fill>
        <patternFill>
          <bgColor rgb="FF92D050"/>
        </patternFill>
      </fill>
    </dxf>
    <dxf>
      <fill>
        <patternFill>
          <bgColor rgb="FF00B050"/>
        </patternFill>
      </fill>
    </dxf>
    <dxf>
      <fill>
        <patternFill>
          <bgColor rgb="FFFFFF00"/>
        </patternFill>
      </fill>
    </dxf>
    <dxf>
      <fill>
        <patternFill>
          <bgColor rgb="FFFF3300"/>
        </patternFill>
      </fill>
    </dxf>
    <dxf>
      <fill>
        <patternFill>
          <bgColor rgb="FF00B050"/>
        </patternFill>
      </fill>
    </dxf>
    <dxf>
      <fill>
        <patternFill>
          <bgColor rgb="FF92D050"/>
        </patternFill>
      </fill>
    </dxf>
    <dxf>
      <fill>
        <patternFill>
          <bgColor rgb="FFFF33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3300"/>
        </patternFill>
      </fill>
    </dxf>
    <dxf>
      <fill>
        <patternFill>
          <bgColor rgb="FFFFC000"/>
        </patternFill>
      </fill>
    </dxf>
    <dxf>
      <fill>
        <patternFill>
          <bgColor rgb="FF92D05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3300"/>
        </patternFill>
      </fill>
    </dxf>
    <dxf>
      <fill>
        <patternFill>
          <bgColor rgb="FFFFFF00"/>
        </patternFill>
      </fill>
    </dxf>
    <dxf>
      <fill>
        <patternFill>
          <bgColor rgb="FFFFC000"/>
        </patternFill>
      </fill>
    </dxf>
    <dxf>
      <fill>
        <patternFill>
          <bgColor rgb="FFFF3300"/>
        </patternFill>
      </fill>
    </dxf>
    <dxf>
      <fill>
        <patternFill>
          <bgColor rgb="FF00B050"/>
        </patternFill>
      </fill>
    </dxf>
    <dxf>
      <fill>
        <patternFill>
          <bgColor rgb="FF92D050"/>
        </patternFill>
      </fill>
    </dxf>
    <dxf>
      <fill>
        <patternFill>
          <bgColor rgb="FF00B050"/>
        </patternFill>
      </fill>
    </dxf>
    <dxf>
      <fill>
        <patternFill>
          <bgColor rgb="FFFFFF00"/>
        </patternFill>
      </fill>
    </dxf>
    <dxf>
      <fill>
        <patternFill>
          <bgColor rgb="FFFFC000"/>
        </patternFill>
      </fill>
    </dxf>
    <dxf>
      <fill>
        <patternFill>
          <bgColor rgb="FFFF3300"/>
        </patternFill>
      </fill>
    </dxf>
    <dxf>
      <fill>
        <patternFill>
          <bgColor rgb="FF92D050"/>
        </patternFill>
      </fill>
    </dxf>
    <dxf>
      <fill>
        <patternFill patternType="solid">
          <fgColor rgb="FFF4C7C3"/>
          <bgColor rgb="FFF4C7C3"/>
        </patternFill>
      </fill>
    </dxf>
    <dxf>
      <fill>
        <patternFill patternType="solid">
          <fgColor rgb="FFFCE8B2"/>
          <bgColor rgb="FFFCE8B2"/>
        </patternFill>
      </fill>
    </dxf>
    <dxf>
      <fill>
        <patternFill patternType="solid">
          <fgColor rgb="FFB7E1CD"/>
          <bgColor rgb="FFB7E1CD"/>
        </patternFill>
      </fill>
    </dxf>
    <dxf>
      <fill>
        <patternFill>
          <bgColor rgb="FFFCE8B2"/>
        </patternFill>
      </fill>
    </dxf>
    <dxf>
      <fill>
        <patternFill>
          <bgColor rgb="FFFF9999"/>
        </patternFill>
      </fill>
    </dxf>
    <dxf>
      <fill>
        <patternFill>
          <bgColor rgb="FFB7E1CD"/>
        </patternFill>
      </fill>
    </dxf>
    <dxf>
      <fill>
        <patternFill>
          <bgColor rgb="FFFCE8B2"/>
        </patternFill>
      </fill>
    </dxf>
    <dxf>
      <fill>
        <patternFill>
          <bgColor rgb="FFFF9999"/>
        </patternFill>
      </fill>
    </dxf>
    <dxf>
      <fill>
        <patternFill>
          <bgColor rgb="FFB7E1CD"/>
        </patternFill>
      </fill>
    </dxf>
    <dxf>
      <fill>
        <patternFill>
          <bgColor theme="0"/>
        </patternFill>
      </fill>
    </dxf>
    <dxf>
      <fill>
        <patternFill>
          <bgColor rgb="FFB7E1CD"/>
        </patternFill>
      </fill>
    </dxf>
    <dxf>
      <fill>
        <patternFill>
          <bgColor rgb="FFFF9999"/>
        </patternFill>
      </fill>
    </dxf>
    <dxf>
      <fill>
        <patternFill>
          <bgColor rgb="FFFCE8B2"/>
        </patternFill>
      </fill>
    </dxf>
    <dxf>
      <fill>
        <patternFill>
          <fgColor auto="1"/>
          <bgColor rgb="FFFF9999"/>
        </patternFill>
      </fill>
    </dxf>
    <dxf>
      <fill>
        <patternFill patternType="solid">
          <fgColor auto="1"/>
          <bgColor rgb="FFFCE8B2"/>
        </patternFill>
      </fill>
    </dxf>
    <dxf>
      <fill>
        <patternFill>
          <fgColor auto="1"/>
          <bgColor rgb="FFB7E1CD"/>
        </patternFill>
      </fill>
    </dxf>
    <dxf>
      <fill>
        <patternFill>
          <bgColor rgb="FF00B050"/>
        </patternFill>
      </fill>
    </dxf>
    <dxf>
      <fill>
        <patternFill>
          <bgColor rgb="FFFF5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505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FF00"/>
        </patternFill>
      </fill>
    </dxf>
    <dxf>
      <fill>
        <patternFill>
          <bgColor rgb="FFFF5050"/>
        </patternFill>
      </fill>
    </dxf>
    <dxf>
      <fill>
        <patternFill>
          <bgColor rgb="FFFF5050"/>
        </patternFill>
      </fill>
    </dxf>
    <dxf>
      <fill>
        <patternFill>
          <bgColor rgb="FFFFC00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FF5050"/>
        </patternFill>
      </fill>
    </dxf>
    <dxf>
      <fill>
        <patternFill>
          <bgColor rgb="FFFF505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50"/>
        </patternFill>
      </fill>
    </dxf>
    <dxf>
      <fill>
        <patternFill>
          <bgColor rgb="FF92D050"/>
        </patternFill>
      </fill>
    </dxf>
    <dxf>
      <fill>
        <patternFill>
          <bgColor rgb="FFFFC000"/>
        </patternFill>
      </fill>
    </dxf>
    <dxf>
      <fill>
        <patternFill>
          <bgColor rgb="FFFF5050"/>
        </patternFill>
      </fill>
    </dxf>
    <dxf>
      <fill>
        <patternFill>
          <bgColor rgb="FFFF5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5050"/>
        </patternFill>
      </fill>
    </dxf>
    <dxf>
      <fill>
        <patternFill>
          <bgColor rgb="FFFF5050"/>
        </patternFill>
      </fill>
    </dxf>
    <dxf>
      <fill>
        <patternFill>
          <bgColor rgb="FF92D050"/>
        </patternFill>
      </fill>
    </dxf>
    <dxf>
      <fill>
        <patternFill>
          <bgColor rgb="FFFFC000"/>
        </patternFill>
      </fill>
    </dxf>
    <dxf>
      <fill>
        <patternFill>
          <bgColor rgb="FFFFFF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5050"/>
        </patternFill>
      </fill>
    </dxf>
    <dxf>
      <fill>
        <patternFill>
          <bgColor rgb="FFFF5050"/>
        </patternFill>
      </fill>
    </dxf>
    <dxf>
      <fill>
        <patternFill>
          <bgColor rgb="FFFFC000"/>
        </patternFill>
      </fill>
    </dxf>
    <dxf>
      <fill>
        <patternFill>
          <bgColor rgb="FFFFFF00"/>
        </patternFill>
      </fill>
    </dxf>
    <dxf>
      <fill>
        <patternFill>
          <bgColor rgb="FF92D05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5050"/>
        </patternFill>
      </fill>
    </dxf>
    <dxf>
      <fill>
        <patternFill>
          <bgColor rgb="FFFF505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00B050"/>
        </patternFill>
      </fill>
    </dxf>
    <dxf>
      <fill>
        <patternFill>
          <bgColor rgb="FF92D050"/>
        </patternFill>
      </fill>
    </dxf>
    <dxf>
      <fill>
        <patternFill>
          <bgColor rgb="FFFFFF00"/>
        </patternFill>
      </fill>
    </dxf>
    <dxf>
      <fill>
        <patternFill>
          <bgColor rgb="FFFF5050"/>
        </patternFill>
      </fill>
    </dxf>
    <dxf>
      <fill>
        <patternFill>
          <bgColor rgb="FFFF5050"/>
        </patternFill>
      </fill>
    </dxf>
    <dxf>
      <fill>
        <patternFill>
          <bgColor rgb="FFFFC000"/>
        </patternFill>
      </fill>
    </dxf>
    <dxf>
      <fill>
        <patternFill>
          <bgColor rgb="FFFFFF00"/>
        </patternFill>
      </fill>
    </dxf>
    <dxf>
      <fill>
        <patternFill>
          <bgColor rgb="FF00B050"/>
        </patternFill>
      </fill>
    </dxf>
    <dxf>
      <fill>
        <patternFill>
          <bgColor rgb="FF92D050"/>
        </patternFill>
      </fill>
    </dxf>
    <dxf>
      <fill>
        <patternFill>
          <bgColor rgb="FF00B050"/>
        </patternFill>
      </fill>
    </dxf>
    <dxf>
      <fill>
        <patternFill>
          <bgColor rgb="FF92D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5050"/>
        </patternFill>
      </fill>
    </dxf>
    <dxf>
      <fill>
        <patternFill>
          <bgColor rgb="FFFF5050"/>
        </patternFill>
      </fill>
    </dxf>
    <dxf>
      <fill>
        <patternFill>
          <bgColor rgb="FFFFFF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FF5050"/>
        </patternFill>
      </fill>
    </dxf>
    <dxf>
      <fill>
        <patternFill>
          <bgColor rgb="FFFF505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5050"/>
        </patternFill>
      </fill>
    </dxf>
    <dxf>
      <fill>
        <patternFill>
          <bgColor rgb="FFFF505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FFFF00"/>
        </patternFill>
      </fill>
    </dxf>
    <dxf>
      <fill>
        <patternFill>
          <bgColor rgb="FF00B050"/>
        </patternFill>
      </fill>
    </dxf>
    <dxf>
      <fill>
        <patternFill>
          <bgColor rgb="FF92D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5050"/>
        </patternFill>
      </fill>
    </dxf>
    <dxf>
      <fill>
        <patternFill>
          <bgColor rgb="FFFF505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FF00"/>
        </patternFill>
      </fill>
    </dxf>
    <dxf>
      <fill>
        <patternFill>
          <bgColor rgb="FF92D050"/>
        </patternFill>
      </fill>
    </dxf>
    <dxf>
      <fill>
        <patternFill>
          <bgColor rgb="FF92D050"/>
        </patternFill>
      </fill>
    </dxf>
    <dxf>
      <fill>
        <patternFill>
          <bgColor rgb="FF00B050"/>
        </patternFill>
      </fill>
    </dxf>
    <dxf>
      <fill>
        <patternFill>
          <bgColor rgb="FFFFC000"/>
        </patternFill>
      </fill>
    </dxf>
    <dxf>
      <fill>
        <patternFill>
          <bgColor rgb="FFFF5050"/>
        </patternFill>
      </fill>
    </dxf>
    <dxf>
      <fill>
        <patternFill>
          <bgColor rgb="FFFF5050"/>
        </patternFill>
      </fill>
    </dxf>
    <dxf>
      <fill>
        <patternFill>
          <bgColor rgb="FF00B050"/>
        </patternFill>
      </fill>
    </dxf>
    <dxf>
      <fill>
        <patternFill>
          <bgColor rgb="FFFFC000"/>
        </patternFill>
      </fill>
    </dxf>
    <dxf>
      <fill>
        <patternFill>
          <bgColor rgb="FFFF5050"/>
        </patternFill>
      </fill>
    </dxf>
    <dxf>
      <fill>
        <patternFill>
          <bgColor rgb="FFFF505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5050"/>
        </patternFill>
      </fill>
    </dxf>
    <dxf>
      <fill>
        <patternFill>
          <bgColor rgb="FFFF5050"/>
        </patternFill>
      </fill>
    </dxf>
    <dxf>
      <fill>
        <patternFill>
          <bgColor rgb="FFFFFF00"/>
        </patternFill>
      </fill>
    </dxf>
    <dxf>
      <fill>
        <patternFill>
          <bgColor rgb="FF00B050"/>
        </patternFill>
      </fill>
    </dxf>
    <dxf>
      <fill>
        <patternFill>
          <bgColor rgb="FF92D050"/>
        </patternFill>
      </fill>
    </dxf>
    <dxf>
      <fill>
        <patternFill>
          <bgColor rgb="FFFFFF00"/>
        </patternFill>
      </fill>
    </dxf>
    <dxf>
      <fill>
        <patternFill>
          <bgColor rgb="FF92D050"/>
        </patternFill>
      </fill>
    </dxf>
    <dxf>
      <fill>
        <patternFill>
          <bgColor rgb="FFFFC000"/>
        </patternFill>
      </fill>
    </dxf>
    <dxf>
      <fill>
        <patternFill>
          <bgColor rgb="FF00B050"/>
        </patternFill>
      </fill>
    </dxf>
    <dxf>
      <fill>
        <patternFill>
          <bgColor rgb="FFFFC000"/>
        </patternFill>
      </fill>
    </dxf>
    <dxf>
      <fill>
        <patternFill>
          <bgColor rgb="FF00B050"/>
        </patternFill>
      </fill>
    </dxf>
    <dxf>
      <fill>
        <patternFill>
          <bgColor rgb="FF92D050"/>
        </patternFill>
      </fill>
    </dxf>
    <dxf>
      <fill>
        <patternFill>
          <bgColor rgb="FFFFFF00"/>
        </patternFill>
      </fill>
    </dxf>
    <dxf>
      <fill>
        <patternFill>
          <bgColor rgb="FFFF5050"/>
        </patternFill>
      </fill>
    </dxf>
    <dxf>
      <fill>
        <patternFill>
          <bgColor rgb="FFFF5050"/>
        </patternFill>
      </fill>
    </dxf>
    <dxf>
      <fill>
        <patternFill>
          <bgColor rgb="FFFFFF00"/>
        </patternFill>
      </fill>
    </dxf>
    <dxf>
      <fill>
        <patternFill>
          <bgColor rgb="FFFFC0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5050"/>
        </patternFill>
      </fill>
    </dxf>
    <dxf>
      <fill>
        <patternFill>
          <bgColor rgb="FFFF505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3300"/>
        </patternFill>
      </fill>
    </dxf>
    <dxf>
      <fill>
        <patternFill>
          <bgColor rgb="FF00B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3300"/>
        </patternFill>
      </fill>
    </dxf>
    <dxf>
      <fill>
        <patternFill>
          <bgColor rgb="FFFFC000"/>
        </patternFill>
      </fill>
    </dxf>
    <dxf>
      <fill>
        <patternFill>
          <bgColor rgb="FFFF3300"/>
        </patternFill>
      </fill>
    </dxf>
    <dxf>
      <fill>
        <patternFill>
          <bgColor rgb="FF00B050"/>
        </patternFill>
      </fill>
    </dxf>
    <dxf>
      <fill>
        <patternFill>
          <bgColor rgb="FF92D050"/>
        </patternFill>
      </fill>
    </dxf>
    <dxf>
      <fill>
        <patternFill>
          <bgColor rgb="FFFFFF00"/>
        </patternFill>
      </fill>
    </dxf>
    <dxf>
      <fill>
        <patternFill>
          <bgColor rgb="FFFF33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FF330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330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3300"/>
        </patternFill>
      </fill>
    </dxf>
    <dxf>
      <fill>
        <patternFill>
          <bgColor rgb="FF00B050"/>
        </patternFill>
      </fill>
    </dxf>
    <dxf>
      <fill>
        <patternFill>
          <bgColor rgb="FFFFFF00"/>
        </patternFill>
      </fill>
    </dxf>
    <dxf>
      <fill>
        <patternFill>
          <bgColor rgb="FFFFC000"/>
        </patternFill>
      </fill>
    </dxf>
    <dxf>
      <fill>
        <patternFill>
          <bgColor rgb="FFFF3300"/>
        </patternFill>
      </fill>
    </dxf>
    <dxf>
      <fill>
        <patternFill>
          <bgColor rgb="FF92D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330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330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3300"/>
        </patternFill>
      </fill>
    </dxf>
    <dxf>
      <fill>
        <patternFill>
          <bgColor rgb="FFFFFF00"/>
        </patternFill>
      </fill>
    </dxf>
    <dxf>
      <fill>
        <patternFill>
          <bgColor rgb="FF00B050"/>
        </patternFill>
      </fill>
    </dxf>
    <dxf>
      <fill>
        <patternFill>
          <bgColor rgb="FFFFC000"/>
        </patternFill>
      </fill>
    </dxf>
    <dxf>
      <fill>
        <patternFill>
          <bgColor rgb="FFFF3300"/>
        </patternFill>
      </fill>
    </dxf>
    <dxf>
      <fill>
        <patternFill>
          <bgColor rgb="FF92D050"/>
        </patternFill>
      </fill>
    </dxf>
    <dxf>
      <fill>
        <patternFill>
          <bgColor rgb="FFFF330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B7E1CD"/>
        </patternFill>
      </fill>
    </dxf>
    <dxf>
      <fill>
        <patternFill>
          <bgColor rgb="FFFCE8B2"/>
        </patternFill>
      </fill>
    </dxf>
    <dxf>
      <fill>
        <patternFill>
          <bgColor rgb="FFFF9999"/>
        </patternFill>
      </fill>
    </dxf>
  </dxfs>
  <tableStyles count="0" defaultTableStyle="TableStyleMedium2" defaultPivotStyle="PivotStyleLight16"/>
  <colors>
    <mruColors>
      <color rgb="FFB7E1CD"/>
      <color rgb="FFFF9999"/>
      <color rgb="FFFCE8B2"/>
      <color rgb="FFFFE101"/>
      <color rgb="FFF8696B"/>
      <color rgb="FF9966FF"/>
      <color rgb="FF6666FF"/>
      <color rgb="FF6600CC"/>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RVM Verifications</a:t>
            </a:r>
            <a:r>
              <a:rPr lang="en-US" baseline="0"/>
              <a:t> Progress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E0-4F5E-B65F-E7DB82C65D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E0-4F5E-B65F-E7DB82C65D00}"/>
              </c:ext>
            </c:extLst>
          </c:dPt>
          <c:cat>
            <c:numRef>
              <c:f>'NuKat Requirements'!$M$710:$N$710</c:f>
              <c:numCache>
                <c:formatCode>General</c:formatCode>
                <c:ptCount val="2"/>
              </c:numCache>
            </c:numRef>
          </c:cat>
          <c:val>
            <c:numRef>
              <c:f>'NuKat Requirements'!$M$711:$N$711</c:f>
              <c:numCache>
                <c:formatCode>General</c:formatCode>
                <c:ptCount val="2"/>
              </c:numCache>
            </c:numRef>
          </c:val>
          <c:extLst>
            <c:ext xmlns:c16="http://schemas.microsoft.com/office/drawing/2014/chart" uri="{C3380CC4-5D6E-409C-BE32-E72D297353CC}">
              <c16:uniqueId val="{00000000-35B9-421E-B56E-48D726873FB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RVM Verifications</a:t>
            </a:r>
            <a:r>
              <a:rPr lang="en-US" baseline="0"/>
              <a:t> Progress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C9-4416-8D1D-A3E1ED6E50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C9-4416-8D1D-A3E1ED6E507F}"/>
              </c:ext>
            </c:extLst>
          </c:dPt>
          <c:cat>
            <c:strRef>
              <c:f>'[1]NuKat Requirements'!$M$370:$N$370</c:f>
              <c:strCache>
                <c:ptCount val="2"/>
                <c:pt idx="0">
                  <c:v>Done = </c:v>
                </c:pt>
                <c:pt idx="1">
                  <c:v>To go = </c:v>
                </c:pt>
              </c:strCache>
            </c:strRef>
          </c:cat>
          <c:val>
            <c:numRef>
              <c:f>'[1]NuKat Requirements'!$M$371:$N$371</c:f>
              <c:numCache>
                <c:formatCode>General</c:formatCode>
                <c:ptCount val="2"/>
                <c:pt idx="0">
                  <c:v>214</c:v>
                </c:pt>
                <c:pt idx="1">
                  <c:v>9</c:v>
                </c:pt>
              </c:numCache>
            </c:numRef>
          </c:val>
          <c:extLst>
            <c:ext xmlns:c16="http://schemas.microsoft.com/office/drawing/2014/chart" uri="{C3380CC4-5D6E-409C-BE32-E72D297353CC}">
              <c16:uniqueId val="{00000004-E6C9-4416-8D1D-A3E1ED6E507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Risk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2-8B6D-4929-A718-46B4F2EFE89F}"/>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1-8B6D-4929-A718-46B4F2EFE89F}"/>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3-8B6D-4929-A718-46B4F2EFE89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'NuKat Requirements'!$G$427:$G$429</c:f>
              <c:strCache>
                <c:ptCount val="3"/>
                <c:pt idx="0">
                  <c:v>Green</c:v>
                </c:pt>
                <c:pt idx="1">
                  <c:v>Yellow</c:v>
                </c:pt>
                <c:pt idx="2">
                  <c:v>Red</c:v>
                </c:pt>
              </c:strCache>
            </c:strRef>
          </c:cat>
          <c:val>
            <c:numRef>
              <c:f>'NuKat Requirements'!$H$427:$H$429</c:f>
              <c:numCache>
                <c:formatCode>General</c:formatCode>
                <c:ptCount val="3"/>
                <c:pt idx="0">
                  <c:v>114</c:v>
                </c:pt>
                <c:pt idx="1">
                  <c:v>140</c:v>
                </c:pt>
                <c:pt idx="2">
                  <c:v>25</c:v>
                </c:pt>
              </c:numCache>
            </c:numRef>
          </c:val>
          <c:extLst>
            <c:ext xmlns:c16="http://schemas.microsoft.com/office/drawing/2014/chart" uri="{C3380CC4-5D6E-409C-BE32-E72D297353CC}">
              <c16:uniqueId val="{00000000-8B6D-4929-A718-46B4F2EFE89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ocumenttasks/documenttask1.xml><?xml version="1.0" encoding="utf-8"?>
<Tasks xmlns="http://schemas.microsoft.com/office/tasks/2019/documenttasks">
  <Task id="{F6146E15-5EE9-481C-A0F9-B19F697AD4FB}">
    <Anchor>
      <Comment id="{925F0CC0-90E6-467A-9A2C-9D959C9D3CFC}"/>
    </Anchor>
    <History>
      <Event time="2025-04-09T13:19:25.79" id="{C32B0484-9D0E-49C1-B0D9-D1F519A54241}">
        <Attribution userId="S::pmsnider@ksu.edu::8e0ebc2d-ac24-4893-a19a-1809f9ac35e3" userName="Paul Snider" userProvider="AD"/>
        <Anchor>
          <Comment id="{925F0CC0-90E6-467A-9A2C-9D959C9D3CFC}"/>
        </Anchor>
        <Create/>
      </Event>
      <Event time="2025-04-09T13:19:25.79" id="{3515B0D5-8A18-4D09-8569-85C1A366DD61}">
        <Attribution userId="S::pmsnider@ksu.edu::8e0ebc2d-ac24-4893-a19a-1809f9ac35e3" userName="Paul Snider" userProvider="AD"/>
        <Anchor>
          <Comment id="{925F0CC0-90E6-467A-9A2C-9D959C9D3CFC}"/>
        </Anchor>
        <Assign userId="S::djrephlo@ksu.edu::aa84b1ee-59d7-4ee1-9449-032966d7c8ea" userName="Derek Rephlo" userProvider="AD"/>
      </Event>
      <Event time="2025-04-09T13:19:25.79" id="{8583CC2B-9724-49A0-A8A5-4EDD972BE417}">
        <Attribution userId="S::pmsnider@ksu.edu::8e0ebc2d-ac24-4893-a19a-1809f9ac35e3" userName="Paul Snider" userProvider="AD"/>
        <Anchor>
          <Comment id="{925F0CC0-90E6-467A-9A2C-9D959C9D3CFC}"/>
        </Anchor>
        <SetTitle title="@Derek Rephlo Word thermal requirements as shall statements, not will and should statements to enforce verification of the requirements. Will and should statements are goals and not subject to verification."/>
      </Event>
      <Event time="2025-04-09T18:00:04.77" id="{B5674CF1-0E0B-482B-9A2C-0AFE5B508E6C}">
        <Attribution userId="S::djrephlo@ksu.edu::aa84b1ee-59d7-4ee1-9449-032966d7c8ea" userName="Derek Rephlo" userProvider="AD"/>
        <Progress percentComplete="100"/>
      </Event>
    </History>
  </Task>
  <Task id="{9381691D-38D2-408F-997F-6528BEF63939}">
    <Anchor>
      <Comment id="{7019ED8F-4B98-41BC-9265-21B76F8A6C08}"/>
    </Anchor>
    <History>
      <Event time="2025-04-09T13:41:03.04" id="{1786597C-9504-4E6B-807F-A59BFEA49EFC}">
        <Attribution userId="S::pmsnider@ksu.edu::8e0ebc2d-ac24-4893-a19a-1809f9ac35e3" userName="Paul Snider" userProvider="AD"/>
        <Anchor>
          <Comment id="{7019ED8F-4B98-41BC-9265-21B76F8A6C08}"/>
        </Anchor>
        <Create/>
      </Event>
      <Event time="2025-04-09T13:41:03.04" id="{B4EE28E5-D6CE-4156-B2B7-E5E681584993}">
        <Attribution userId="S::pmsnider@ksu.edu::8e0ebc2d-ac24-4893-a19a-1809f9ac35e3" userName="Paul Snider" userProvider="AD"/>
        <Anchor>
          <Comment id="{7019ED8F-4B98-41BC-9265-21B76F8A6C08}"/>
        </Anchor>
        <Assign userId="S::shirkey@ksu.edu::56922c2f-e925-4020-bb9f-92a23a2541bc" userName="Phillip Shirkey" userProvider="AD"/>
      </Event>
      <Event time="2025-04-09T13:41:03.04" id="{76845B14-49AC-4801-9FD0-7A0EE755EEB6}">
        <Attribution userId="S::pmsnider@ksu.edu::8e0ebc2d-ac24-4893-a19a-1809f9ac35e3" userName="Paul Snider" userProvider="AD"/>
        <Anchor>
          <Comment id="{7019ED8F-4B98-41BC-9265-21B76F8A6C08}"/>
        </Anchor>
        <SetTitle title="@Phillip Shirkey Consider approaching level 2 for the payload as: The Payload System shall consist of the primary imaging payload, the hosted neutron detector, and the hosted thermoelectric generator payload. (Level 3 will define the requirements for …"/>
      </Event>
      <Event time="2025-04-09T18:05:34.40" id="{17F8B636-F7E9-4AEE-A7CF-636464921F9A}">
        <Attribution userId="S::shirkey@ksu.edu::56922c2f-e925-4020-bb9f-92a23a2541bc" userName="Phillip Shirkey" userProvider="AD"/>
        <Progress percentComplete="100"/>
      </Event>
    </History>
  </Task>
  <Task id="{59100762-9414-4121-8990-A93AD3795CB5}">
    <Anchor>
      <Comment id="{29155691-060C-4380-8F17-C0261B2B3601}"/>
    </Anchor>
    <History>
      <Event time="2025-04-09T13:56:45.57" id="{46BE0288-F0FB-46CE-872E-BE6FDC95794A}">
        <Attribution userId="S::pmsnider@ksu.edu::8e0ebc2d-ac24-4893-a19a-1809f9ac35e3" userName="Paul Snider" userProvider="AD"/>
        <Anchor>
          <Comment id="{29155691-060C-4380-8F17-C0261B2B3601}"/>
        </Anchor>
        <Create/>
      </Event>
      <Event time="2025-04-09T13:56:45.57" id="{960AF919-531C-406B-9FE4-306879192333}">
        <Attribution userId="S::pmsnider@ksu.edu::8e0ebc2d-ac24-4893-a19a-1809f9ac35e3" userName="Paul Snider" userProvider="AD"/>
        <Anchor>
          <Comment id="{29155691-060C-4380-8F17-C0261B2B3601}"/>
        </Anchor>
        <Assign userId="S::walke1@ksu.edu::03abaabf-506d-405a-8901-d5aef3b1ba2f" userName="Bailey Walke" userProvider="AD"/>
      </Event>
      <Event time="2025-04-09T13:56:45.57" id="{57B4EBFE-EDA7-47CB-BAC3-383F883D7714}">
        <Attribution userId="S::pmsnider@ksu.edu::8e0ebc2d-ac24-4893-a19a-1809f9ac35e3" userName="Paul Snider" userProvider="AD"/>
        <Anchor>
          <Comment id="{29155691-060C-4380-8F17-C0261B2B3601}"/>
        </Anchor>
        <SetTitle title="@Bailey Walke Suggest changing this to Ground System Requirements. Consider a Level 2 requirements such as The Ground System shall consist of ground station, ground data, ground software and ground support equipment. (Flow each of those down to level 3…"/>
      </Event>
      <Event time="2025-04-09T14:13:56.18" id="{EE42E7D8-8C85-4834-A214-6C9725D52100}">
        <Attribution userId="S::walke1@ksu.edu::03abaabf-506d-405a-8901-d5aef3b1ba2f" userName="Bailey Walke" userProvider="AD"/>
        <Progress percentComplete="100"/>
      </Event>
    </History>
  </Task>
  <Task id="{4289FE64-2341-4808-9522-D818C005931D}">
    <Anchor>
      <Comment id="{7D4CC440-2527-48A2-B922-A72207F2B4C3}"/>
    </Anchor>
    <History>
      <Event time="2025-04-09T14:04:38.66" id="{83DC6DBE-8A86-4849-A373-4FEF5D90C324}">
        <Attribution userId="S::pmsnider@ksu.edu::8e0ebc2d-ac24-4893-a19a-1809f9ac35e3" userName="Paul Snider" userProvider="AD"/>
        <Anchor>
          <Comment id="{7D4CC440-2527-48A2-B922-A72207F2B4C3}"/>
        </Anchor>
        <Create/>
      </Event>
      <Event time="2025-04-09T14:04:38.66" id="{4380C357-8D12-416F-BE9A-0D043E8A03EB}">
        <Attribution userId="S::pmsnider@ksu.edu::8e0ebc2d-ac24-4893-a19a-1809f9ac35e3" userName="Paul Snider" userProvider="AD"/>
        <Anchor>
          <Comment id="{7D4CC440-2527-48A2-B922-A72207F2B4C3}"/>
        </Anchor>
        <Assign userId="S::logkh22@ksu.edu::fcdb2007-cf03-4340-871e-71e43575fbea" userName="Logan Hayward" userProvider="AD"/>
      </Event>
      <Event time="2025-04-09T14:04:38.66" id="{D54F3A31-EE3D-4529-ADC0-9803DC47980B}">
        <Attribution userId="S::pmsnider@ksu.edu::8e0ebc2d-ac24-4893-a19a-1809f9ac35e3" userName="Paul Snider" userProvider="AD"/>
        <Anchor>
          <Comment id="{7D4CC440-2527-48A2-B922-A72207F2B4C3}"/>
        </Anchor>
        <SetTitle title="@Logan Hayward @Colby Johnston The interface requirements with the other subsystems should be in the Level 2 Bus Requirements. Need requirement(s) for the communications bus(es) (how data from payloads and subsystems moves around the bus). Need …"/>
      </Event>
      <Event time="2025-09-24T18:53:04.42" id="{74843895-A226-4A6F-BABE-A2F5D118F2D3}">
        <Attribution userId="S::logkh22@ksu.edu::fcdb2007-cf03-4340-871e-71e43575fbea" userName="Logan Hayward" userProvider="AD"/>
        <Progress percentComplete="100"/>
      </Event>
    </History>
  </Task>
  <Task id="{91F0C58C-F31D-4599-82A6-4AB48B0343C4}">
    <Anchor>
      <Comment id="{BD66EE7C-96DE-4E70-B07C-4A7108F6BB4D}"/>
    </Anchor>
    <History>
      <Event time="2025-04-09T14:13:38.28" id="{935249F5-AD78-4B4F-84BA-C41A86F2DE26}">
        <Attribution userId="S::pmsnider@ksu.edu::8e0ebc2d-ac24-4893-a19a-1809f9ac35e3" userName="Paul Snider" userProvider="AD"/>
        <Anchor>
          <Comment id="{BD66EE7C-96DE-4E70-B07C-4A7108F6BB4D}"/>
        </Anchor>
        <Create/>
      </Event>
      <Event time="2025-04-09T14:13:38.28" id="{038E85A0-0491-45AB-A3F0-8D0BC5D98C63}">
        <Attribution userId="S::pmsnider@ksu.edu::8e0ebc2d-ac24-4893-a19a-1809f9ac35e3" userName="Paul Snider" userProvider="AD"/>
        <Anchor>
          <Comment id="{BD66EE7C-96DE-4E70-B07C-4A7108F6BB4D}"/>
        </Anchor>
        <Assign userId="S::mikebennett106@ksu.edu::06fc2e7c-2387-4994-858d-46821002c1fd" userName="Michael Bennett" userProvider="AD"/>
      </Event>
      <Event time="2025-04-09T14:13:38.28" id="{73B07EC3-E5CF-4583-AED7-3553B5423375}">
        <Attribution userId="S::pmsnider@ksu.edu::8e0ebc2d-ac24-4893-a19a-1809f9ac35e3" userName="Paul Snider" userProvider="AD"/>
        <Anchor>
          <Comment id="{BD66EE7C-96DE-4E70-B07C-4A7108F6BB4D}"/>
        </Anchor>
        <SetTitle title="@Michael Bennett Need requirements for solar array power and area. Need requirements for separation sense to power on after deployment. Need requirements for battery and solar array arming/shorting plugs. Need requirements for install and remove before …"/>
      </Event>
    </History>
  </Task>
  <Task id="{FAEE378D-A836-4DD2-95DF-9A23A7554611}">
    <Anchor>
      <Comment id="{6459769E-7EBF-4053-8598-6D3C105DBA7D}"/>
    </Anchor>
    <History>
      <Event time="2025-09-24T18:40:10.52" id="{C59D3D71-62DE-4671-9C4D-5BED9862811A}">
        <Attribution userId="S::pmsnider@ksu.edu::8e0ebc2d-ac24-4893-a19a-1809f9ac35e3" userName="Paul Snider" userProvider="AD"/>
        <Anchor>
          <Comment id="{6459769E-7EBF-4053-8598-6D3C105DBA7D}"/>
        </Anchor>
        <Create/>
      </Event>
      <Event time="2025-09-24T18:40:10.52" id="{7F3E0CC5-B930-4056-9D33-E6286A5F853B}">
        <Attribution userId="S::pmsnider@ksu.edu::8e0ebc2d-ac24-4893-a19a-1809f9ac35e3" userName="Paul Snider" userProvider="AD"/>
        <Anchor>
          <Comment id="{6459769E-7EBF-4053-8598-6D3C105DBA7D}"/>
        </Anchor>
        <Assign userId="S::cjohnston@ksu.edu::6cde2a96-2379-4680-9c92-ff3a7ea74ace" userName="Colby Johnston" userProvider="AD"/>
      </Event>
      <Event time="2025-09-24T18:40:10.52" id="{88111ED6-8D76-4F4E-965C-EF0FF85D6DF7}">
        <Attribution userId="S::pmsnider@ksu.edu::8e0ebc2d-ac24-4893-a19a-1809f9ac35e3" userName="Paul Snider" userProvider="AD"/>
        <Anchor>
          <Comment id="{6459769E-7EBF-4053-8598-6D3C105DBA7D}"/>
        </Anchor>
        <SetTitle title="@Colby Johnston Add Payload Size, Weight and Power, and Thermal Range requirements, similar to Bus Requirements."/>
      </Event>
      <Event time="2025-09-24T18:42:57.13" id="{B9BCD6BA-FE9B-4066-A9FE-4CD822FCBC4C}">
        <Attribution userId="S::pmsnider@ksu.edu::8e0ebc2d-ac24-4893-a19a-1809f9ac35e3" userName="Paul Snider" userProvider="AD"/>
        <Progress percentComplete="100"/>
      </Event>
      <Event time="2025-09-24T18:43:06.89" id="{B60F3312-F3A8-4291-803A-FC3B817A39BF}">
        <Attribution userId="S::pmsnider@ksu.edu::8e0ebc2d-ac24-4893-a19a-1809f9ac35e3" userName="Paul Snider" userProvider="AD"/>
        <Progress percentComplete="0"/>
      </Event>
      <Event time="2025-09-24T18:43:37.61" id="{D64F3374-71B3-4A1E-B149-B711F5919B1A}">
        <Attribution userId="S::pmsnider@ksu.edu::8e0ebc2d-ac24-4893-a19a-1809f9ac35e3" userName="Paul Snider" userProvider="AD"/>
        <Progress percentComplete="100"/>
      </Event>
    </History>
  </Task>
  <Task id="{345D1AAB-764D-4251-BFF3-56FCCDFC5E43}">
    <Anchor>
      <Comment id="{7B298502-03C5-4DD5-B23D-6981FF8B9A25}"/>
    </Anchor>
    <History>
      <Event time="2025-04-09T13:30:54.51" id="{8573B044-C5F6-415A-833D-2DEB00FC1E50}">
        <Attribution userId="S::pmsnider@ksu.edu::8e0ebc2d-ac24-4893-a19a-1809f9ac35e3" userName="Paul Snider" userProvider="AD"/>
        <Anchor>
          <Comment id="{7B298502-03C5-4DD5-B23D-6981FF8B9A25}"/>
        </Anchor>
        <Create/>
      </Event>
      <Event time="2025-04-09T13:30:54.51" id="{A6E14AAB-89E1-499C-BA79-73507B7E552F}">
        <Attribution userId="S::pmsnider@ksu.edu::8e0ebc2d-ac24-4893-a19a-1809f9ac35e3" userName="Paul Snider" userProvider="AD"/>
        <Anchor>
          <Comment id="{7B298502-03C5-4DD5-B23D-6981FF8B9A25}"/>
        </Anchor>
        <Assign userId="S::walke1@ksu.edu::03abaabf-506d-405a-8901-d5aef3b1ba2f" userName="Bailey Walke" userProvider="AD"/>
      </Event>
      <Event time="2025-04-09T13:30:54.51" id="{2DF2A63B-C5D4-4A33-9160-E9F7C996BE5D}">
        <Attribution userId="S::pmsnider@ksu.edu::8e0ebc2d-ac24-4893-a19a-1809f9ac35e3" userName="Paul Snider" userProvider="AD"/>
        <Anchor>
          <Comment id="{7B298502-03C5-4DD5-B23D-6981FF8B9A25}"/>
        </Anchor>
        <SetTitle title="@Bailey Walke Need Satellite level SWAP requirements."/>
      </Event>
      <Event time="2025-04-09T14:12:30.65" id="{0BAA441F-3FC7-40D8-BAEB-7791E946849B}">
        <Attribution userId="S::walke1@ksu.edu::03abaabf-506d-405a-8901-d5aef3b1ba2f" userName="Bailey Walke" userProvider="AD"/>
        <Progress percentComplete="100"/>
      </Event>
      <Event time="2025-04-09T14:43:27.62" id="{63D579A4-C13D-4481-8EDD-F8ED3EF3E22B}">
        <Attribution userId="S::pmsnider@ksu.edu::8e0ebc2d-ac24-4893-a19a-1809f9ac35e3" userName="Paul Snider" userProvider="AD"/>
        <Progress percentComplete="0"/>
      </Event>
      <Event time="2025-04-09T18:24:39.17" id="{46476C16-19DC-4763-B4C2-DC020D472E96}">
        <Attribution userId="S::walke1@ksu.edu::03abaabf-506d-405a-8901-d5aef3b1ba2f" userName="Bailey Walke" userProvider="AD"/>
        <Progress percentComplete="100"/>
      </Event>
    </History>
  </Task>
  <Task id="{A22ABFCF-43BC-4AE4-949B-BC71B2684811}">
    <Anchor>
      <Comment id="{88D0F01F-61DF-41CE-A28F-AB3863CDD314}"/>
    </Anchor>
    <History>
      <Event time="2025-04-09T13:34:30.93" id="{03E1D9E5-30FE-4559-85F7-33F343C8BA79}">
        <Attribution userId="S::pmsnider@ksu.edu::8e0ebc2d-ac24-4893-a19a-1809f9ac35e3" userName="Paul Snider" userProvider="AD"/>
        <Anchor>
          <Comment id="{88D0F01F-61DF-41CE-A28F-AB3863CDD314}"/>
        </Anchor>
        <Create/>
      </Event>
      <Event time="2025-04-09T13:34:30.93" id="{48C23B1C-D0F1-42E8-BC2B-E57B8539E70E}">
        <Attribution userId="S::pmsnider@ksu.edu::8e0ebc2d-ac24-4893-a19a-1809f9ac35e3" userName="Paul Snider" userProvider="AD"/>
        <Anchor>
          <Comment id="{88D0F01F-61DF-41CE-A28F-AB3863CDD314}"/>
        </Anchor>
        <Assign userId="S::cjohnston@ksu.edu::6cde2a96-2379-4680-9c92-ff3a7ea74ace" userName="Colby Johnston" userProvider="AD"/>
      </Event>
      <Event time="2025-04-09T13:34:30.93" id="{B708CCE2-CC86-40E1-907E-FCA820A3C0BD}">
        <Attribution userId="S::pmsnider@ksu.edu::8e0ebc2d-ac24-4893-a19a-1809f9ac35e3" userName="Paul Snider" userProvider="AD"/>
        <Anchor>
          <Comment id="{88D0F01F-61DF-41CE-A28F-AB3863CDD314}"/>
        </Anchor>
        <SetTitle title="@Colby Johnston Need Bus weight and power requirements."/>
      </Event>
      <Event time="2025-04-09T14:04:49.17" id="{B800731C-DA53-42F3-B2A6-A693B66F7453}">
        <Attribution userId="S::cjohnston@ksu.edu::6cde2a96-2379-4680-9c92-ff3a7ea74ace" userName="Colby Johnston" userProvider="AD"/>
        <Progress percentComplete="100"/>
      </Event>
    </History>
  </Task>
  <Task id="{2C5E24D6-D69B-4744-84F4-DA57D9DDE992}">
    <Anchor>
      <Comment id="{DCDC21AD-609E-4027-90CA-54C3C1ADD4BD}"/>
    </Anchor>
    <History>
      <Event time="2025-04-09T13:56:45.57" id="{46BE0288-F0FB-46CE-872E-BE6FDC95794A}">
        <Attribution userId="S::pmsnider@ksu.edu::8e0ebc2d-ac24-4893-a19a-1809f9ac35e3" userName="Paul Snider" userProvider="AD"/>
        <Anchor>
          <Comment id="{DCDC21AD-609E-4027-90CA-54C3C1ADD4BD}"/>
        </Anchor>
        <Create/>
      </Event>
      <Event time="2025-04-09T13:56:45.57" id="{960AF919-531C-406B-9FE4-306879192333}">
        <Attribution userId="S::pmsnider@ksu.edu::8e0ebc2d-ac24-4893-a19a-1809f9ac35e3" userName="Paul Snider" userProvider="AD"/>
        <Anchor>
          <Comment id="{DCDC21AD-609E-4027-90CA-54C3C1ADD4BD}"/>
        </Anchor>
        <Assign userId="S::walke1@ksu.edu::03abaabf-506d-405a-8901-d5aef3b1ba2f" userName="Bailey Walke" userProvider="AD"/>
      </Event>
      <Event time="2025-04-09T13:56:45.57" id="{57B4EBFE-EDA7-47CB-BAC3-383F883D7714}">
        <Attribution userId="S::pmsnider@ksu.edu::8e0ebc2d-ac24-4893-a19a-1809f9ac35e3" userName="Paul Snider" userProvider="AD"/>
        <Anchor>
          <Comment id="{DCDC21AD-609E-4027-90CA-54C3C1ADD4BD}"/>
        </Anchor>
        <SetTitle title="@Bailey Walke Suggest changing this to Ground System Requirements. Consider a Level 2 requirements such as The Ground System shall consist of ground station, ground data, ground software and ground support equipment. (Flow each of those down to level 3…"/>
      </Event>
      <Event time="2025-04-09T14:13:56.18" id="{EE42E7D8-8C85-4834-A214-6C9725D52100}">
        <Attribution userId="S::walke1@ksu.edu::03abaabf-506d-405a-8901-d5aef3b1ba2f" userName="Bailey Walke" userProvider="AD"/>
        <Progress percentComplete="100"/>
      </Event>
    </History>
  </Task>
  <Task id="{2C86C1F7-6CB8-4E27-BC94-CEC12A784497}">
    <Anchor>
      <Comment id="{535766BE-1636-44EF-A519-CD58D39162F9}"/>
    </Anchor>
    <History>
      <Event time="2025-04-09T13:21:01.32" id="{4D430D54-2153-4E17-BC7B-C16E9FAC78A1}">
        <Attribution userId="S::pmsnider@ksu.edu::8e0ebc2d-ac24-4893-a19a-1809f9ac35e3" userName="Paul Snider" userProvider="AD"/>
        <Anchor>
          <Comment id="{535766BE-1636-44EF-A519-CD58D39162F9}"/>
        </Anchor>
        <Create/>
      </Event>
      <Event time="2025-04-09T13:21:01.32" id="{F57B7289-6318-4D70-8C64-1F539368FCCB}">
        <Attribution userId="S::pmsnider@ksu.edu::8e0ebc2d-ac24-4893-a19a-1809f9ac35e3" userName="Paul Snider" userProvider="AD"/>
        <Anchor>
          <Comment id="{535766BE-1636-44EF-A519-CD58D39162F9}"/>
        </Anchor>
        <Assign userId="S::pakessinger@ksu.edu::2d93c848-6ffe-4812-8ec9-163a0ce1f508" userName="Paul Kessinger" userProvider="AD"/>
      </Event>
      <Event time="2025-04-09T13:21:01.32" id="{D2970408-D5ED-45EE-9DD6-F9C3D3442019}">
        <Attribution userId="S::pmsnider@ksu.edu::8e0ebc2d-ac24-4893-a19a-1809f9ac35e3" userName="Paul Snider" userProvider="AD"/>
        <Anchor>
          <Comment id="{535766BE-1636-44EF-A519-CD58D39162F9}"/>
        </Anchor>
        <SetTitle title="@Paul Kessinger Word structure requirements as shall statements, not will and should statements to enforce verification of the requirements. Will and should statements are goals and not subject to verification."/>
      </Event>
    </History>
  </Task>
</Tasks>
</file>

<file path=xl/documenttasks/documenttask2.xml><?xml version="1.0" encoding="utf-8"?>
<Tasks xmlns="http://schemas.microsoft.com/office/tasks/2019/documenttasks">
  <Task id="{F0FEEE1A-C9F1-44EF-8585-ADCE822C8F01}">
    <Anchor>
      <Comment id="{EDE7EE6A-82C2-422C-936D-8B4AE795770C}"/>
    </Anchor>
    <History>
      <Event time="2025-04-09T13:30:54.51" id="{8573B044-C5F6-415A-833D-2DEB00FC1E50}">
        <Attribution userId="S::pmsnider@ksu.edu::8e0ebc2d-ac24-4893-a19a-1809f9ac35e3" userName="Paul Snider" userProvider="AD"/>
        <Anchor>
          <Comment id="{EDE7EE6A-82C2-422C-936D-8B4AE795770C}"/>
        </Anchor>
        <Create/>
      </Event>
      <Event time="2025-04-09T13:30:54.51" id="{A6E14AAB-89E1-499C-BA79-73507B7E552F}">
        <Attribution userId="S::pmsnider@ksu.edu::8e0ebc2d-ac24-4893-a19a-1809f9ac35e3" userName="Paul Snider" userProvider="AD"/>
        <Anchor>
          <Comment id="{EDE7EE6A-82C2-422C-936D-8B4AE795770C}"/>
        </Anchor>
        <Assign userId="S::walke1@ksu.edu::03abaabf-506d-405a-8901-d5aef3b1ba2f" userName="Bailey Walke" userProvider="AD"/>
      </Event>
      <Event time="2025-04-09T13:30:54.51" id="{2DF2A63B-C5D4-4A33-9160-E9F7C996BE5D}">
        <Attribution userId="S::pmsnider@ksu.edu::8e0ebc2d-ac24-4893-a19a-1809f9ac35e3" userName="Paul Snider" userProvider="AD"/>
        <Anchor>
          <Comment id="{EDE7EE6A-82C2-422C-936D-8B4AE795770C}"/>
        </Anchor>
        <SetTitle title="@Bailey Walke Need Satellite level SWAP requirements."/>
      </Event>
      <Event time="2025-04-09T14:12:30.65" id="{0BAA441F-3FC7-40D8-BAEB-7791E946849B}">
        <Attribution userId="S::walke1@ksu.edu::03abaabf-506d-405a-8901-d5aef3b1ba2f" userName="Bailey Walke" userProvider="AD"/>
        <Progress percentComplete="100"/>
      </Event>
      <Event time="2025-04-09T14:43:27.62" id="{63D579A4-C13D-4481-8EDD-F8ED3EF3E22B}">
        <Attribution userId="S::pmsnider@ksu.edu::8e0ebc2d-ac24-4893-a19a-1809f9ac35e3" userName="Paul Snider" userProvider="AD"/>
        <Progress percentComplete="0"/>
      </Event>
      <Event time="2025-04-09T18:24:39.17" id="{46476C16-19DC-4763-B4C2-DC020D472E96}">
        <Attribution userId="S::walke1@ksu.edu::03abaabf-506d-405a-8901-d5aef3b1ba2f" userName="Bailey Walke" userProvider="AD"/>
        <Progress percentComplete="100"/>
      </Event>
    </History>
  </Task>
  <Task id="{0DCDA43C-B311-4CB9-911F-59414DECBF75}">
    <Anchor>
      <Comment id="{6BE1D8E0-097B-47A6-8EB6-060F358B9143}"/>
    </Anchor>
    <History>
      <Event time="2025-04-09T13:34:30.93" id="{03E1D9E5-30FE-4559-85F7-33F343C8BA79}">
        <Attribution userId="S::pmsnider@ksu.edu::8e0ebc2d-ac24-4893-a19a-1809f9ac35e3" userName="Paul Snider" userProvider="AD"/>
        <Anchor>
          <Comment id="{6BE1D8E0-097B-47A6-8EB6-060F358B9143}"/>
        </Anchor>
        <Create/>
      </Event>
      <Event time="2025-04-09T13:34:30.93" id="{48C23B1C-D0F1-42E8-BC2B-E57B8539E70E}">
        <Attribution userId="S::pmsnider@ksu.edu::8e0ebc2d-ac24-4893-a19a-1809f9ac35e3" userName="Paul Snider" userProvider="AD"/>
        <Anchor>
          <Comment id="{6BE1D8E0-097B-47A6-8EB6-060F358B9143}"/>
        </Anchor>
        <Assign userId="S::cjohnston@ksu.edu::6cde2a96-2379-4680-9c92-ff3a7ea74ace" userName="Colby Johnston" userProvider="AD"/>
      </Event>
      <Event time="2025-04-09T13:34:30.93" id="{B708CCE2-CC86-40E1-907E-FCA820A3C0BD}">
        <Attribution userId="S::pmsnider@ksu.edu::8e0ebc2d-ac24-4893-a19a-1809f9ac35e3" userName="Paul Snider" userProvider="AD"/>
        <Anchor>
          <Comment id="{6BE1D8E0-097B-47A6-8EB6-060F358B9143}"/>
        </Anchor>
        <SetTitle title="@Colby Johnston Need Bus weight and power requirements."/>
      </Event>
      <Event time="2025-04-09T14:04:49.17" id="{B800731C-DA53-42F3-B2A6-A693B66F7453}">
        <Attribution userId="S::cjohnston@ksu.edu::6cde2a96-2379-4680-9c92-ff3a7ea74ace" userName="Colby Johnston" userProvider="AD"/>
        <Progress percentComplete="100"/>
      </Event>
    </History>
  </Task>
  <Task id="{CB18C840-BD65-418D-B337-8BA8AEEAB241}">
    <Anchor>
      <Comment id="{D47FE628-4DD1-4542-B209-9BE7CD7747A9}"/>
    </Anchor>
    <History>
      <Event time="2025-04-09T13:41:03.04" id="{1786597C-9504-4E6B-807F-A59BFEA49EFC}">
        <Attribution userId="S::pmsnider@ksu.edu::8e0ebc2d-ac24-4893-a19a-1809f9ac35e3" userName="Paul Snider" userProvider="AD"/>
        <Anchor>
          <Comment id="{D47FE628-4DD1-4542-B209-9BE7CD7747A9}"/>
        </Anchor>
        <Create/>
      </Event>
      <Event time="2025-04-09T13:41:03.04" id="{B4EE28E5-D6CE-4156-B2B7-E5E681584993}">
        <Attribution userId="S::pmsnider@ksu.edu::8e0ebc2d-ac24-4893-a19a-1809f9ac35e3" userName="Paul Snider" userProvider="AD"/>
        <Anchor>
          <Comment id="{D47FE628-4DD1-4542-B209-9BE7CD7747A9}"/>
        </Anchor>
        <Assign userId="S::shirkey@ksu.edu::56922c2f-e925-4020-bb9f-92a23a2541bc" userName="Phillip Shirkey" userProvider="AD"/>
      </Event>
      <Event time="2025-04-09T13:41:03.04" id="{76845B14-49AC-4801-9FD0-7A0EE755EEB6}">
        <Attribution userId="S::pmsnider@ksu.edu::8e0ebc2d-ac24-4893-a19a-1809f9ac35e3" userName="Paul Snider" userProvider="AD"/>
        <Anchor>
          <Comment id="{D47FE628-4DD1-4542-B209-9BE7CD7747A9}"/>
        </Anchor>
        <SetTitle title="@Phillip Shirkey Consider approaching level 2 for the payload as: The Payload System shall consist of the primary imaging payload, the hosted neutron detector, and the hosted thermoelectric generator payload. (Level 3 will define the requirements for …"/>
      </Event>
      <Event time="2025-04-09T18:05:34.40" id="{17F8B636-F7E9-4AEE-A7CF-636464921F9A}">
        <Attribution userId="S::shirkey@ksu.edu::56922c2f-e925-4020-bb9f-92a23a2541bc" userName="Phillip Shirkey" userProvider="AD"/>
        <Progress percentComplete="100"/>
      </Event>
    </History>
  </Task>
  <Task id="{0A87CE41-28B8-4B0C-A1C1-1C932E376228}">
    <Anchor>
      <Comment id="{58A2C7DC-51A8-4D2C-9937-79D186FB281D}"/>
    </Anchor>
    <History>
      <Event time="2025-09-24T18:40:10.52" id="{C59D3D71-62DE-4671-9C4D-5BED9862811A}">
        <Attribution userId="S::pmsnider@ksu.edu::8e0ebc2d-ac24-4893-a19a-1809f9ac35e3" userName="Paul Snider" userProvider="AD"/>
        <Anchor>
          <Comment id="{58A2C7DC-51A8-4D2C-9937-79D186FB281D}"/>
        </Anchor>
        <Create/>
      </Event>
      <Event time="2025-09-24T18:40:10.52" id="{7F3E0CC5-B930-4056-9D33-E6286A5F853B}">
        <Attribution userId="S::pmsnider@ksu.edu::8e0ebc2d-ac24-4893-a19a-1809f9ac35e3" userName="Paul Snider" userProvider="AD"/>
        <Anchor>
          <Comment id="{58A2C7DC-51A8-4D2C-9937-79D186FB281D}"/>
        </Anchor>
        <Assign userId="S::cjohnston@ksu.edu::6cde2a96-2379-4680-9c92-ff3a7ea74ace" userName="Colby Johnston" userProvider="AD"/>
      </Event>
      <Event time="2025-09-24T18:40:10.52" id="{88111ED6-8D76-4F4E-965C-EF0FF85D6DF7}">
        <Attribution userId="S::pmsnider@ksu.edu::8e0ebc2d-ac24-4893-a19a-1809f9ac35e3" userName="Paul Snider" userProvider="AD"/>
        <Anchor>
          <Comment id="{58A2C7DC-51A8-4D2C-9937-79D186FB281D}"/>
        </Anchor>
        <SetTitle title="@Colby Johnston Add Payload Size, Weight and Power, and Thermal Range requirements, similar to Bus Requirements."/>
      </Event>
      <Event time="2025-09-24T18:42:57.13" id="{B9BCD6BA-FE9B-4066-A9FE-4CD822FCBC4C}">
        <Attribution userId="S::pmsnider@ksu.edu::8e0ebc2d-ac24-4893-a19a-1809f9ac35e3" userName="Paul Snider" userProvider="AD"/>
        <Progress percentComplete="100"/>
      </Event>
      <Event time="2025-09-24T18:43:06.89" id="{B60F3312-F3A8-4291-803A-FC3B817A39BF}">
        <Attribution userId="S::pmsnider@ksu.edu::8e0ebc2d-ac24-4893-a19a-1809f9ac35e3" userName="Paul Snider" userProvider="AD"/>
        <Progress percentComplete="0"/>
      </Event>
      <Event time="2025-09-24T18:43:37.61" id="{D64F3374-71B3-4A1E-B149-B711F5919B1A}">
        <Attribution userId="S::pmsnider@ksu.edu::8e0ebc2d-ac24-4893-a19a-1809f9ac35e3" userName="Paul Snider" userProvider="AD"/>
        <Progress percentComplete="100"/>
      </Event>
    </History>
  </Task>
  <Task id="{C776445A-60D3-4DF1-9EBB-E66954094F22}">
    <Anchor>
      <Comment id="{99B9BB02-90A1-4B14-8590-3014C1BCF2ED}"/>
    </Anchor>
    <History>
      <Event time="2025-04-09T13:56:45.57" id="{46BE0288-F0FB-46CE-872E-BE6FDC95794A}">
        <Attribution userId="S::pmsnider@ksu.edu::8e0ebc2d-ac24-4893-a19a-1809f9ac35e3" userName="Paul Snider" userProvider="AD"/>
        <Anchor>
          <Comment id="{99B9BB02-90A1-4B14-8590-3014C1BCF2ED}"/>
        </Anchor>
        <Create/>
      </Event>
      <Event time="2025-04-09T13:56:45.57" id="{960AF919-531C-406B-9FE4-306879192333}">
        <Attribution userId="S::pmsnider@ksu.edu::8e0ebc2d-ac24-4893-a19a-1809f9ac35e3" userName="Paul Snider" userProvider="AD"/>
        <Anchor>
          <Comment id="{99B9BB02-90A1-4B14-8590-3014C1BCF2ED}"/>
        </Anchor>
        <Assign userId="S::walke1@ksu.edu::03abaabf-506d-405a-8901-d5aef3b1ba2f" userName="Bailey Walke" userProvider="AD"/>
      </Event>
      <Event time="2025-04-09T13:56:45.57" id="{57B4EBFE-EDA7-47CB-BAC3-383F883D7714}">
        <Attribution userId="S::pmsnider@ksu.edu::8e0ebc2d-ac24-4893-a19a-1809f9ac35e3" userName="Paul Snider" userProvider="AD"/>
        <Anchor>
          <Comment id="{99B9BB02-90A1-4B14-8590-3014C1BCF2ED}"/>
        </Anchor>
        <SetTitle title="@Bailey Walke Suggest changing this to Ground System Requirements. Consider a Level 2 requirements such as The Ground System shall consist of ground station, ground data, ground software and ground support equipment. (Flow each of those down to level 3…"/>
      </Event>
      <Event time="2025-04-09T14:13:56.18" id="{EE42E7D8-8C85-4834-A214-6C9725D52100}">
        <Attribution userId="S::walke1@ksu.edu::03abaabf-506d-405a-8901-d5aef3b1ba2f" userName="Bailey Walke" userProvider="AD"/>
        <Progress percentComplete="100"/>
      </Event>
    </History>
  </Task>
  <Task id="{BE218EB4-CE11-4869-A82D-E16E97D678B9}">
    <Anchor>
      <Comment id="{40A2E4DF-B9CE-4158-907B-47316BFE55EB}"/>
    </Anchor>
    <History>
      <Event time="2025-04-09T13:19:25.79" id="{C32B0484-9D0E-49C1-B0D9-D1F519A54241}">
        <Attribution userId="S::pmsnider@ksu.edu::8e0ebc2d-ac24-4893-a19a-1809f9ac35e3" userName="Paul Snider" userProvider="AD"/>
        <Anchor>
          <Comment id="{40A2E4DF-B9CE-4158-907B-47316BFE55EB}"/>
        </Anchor>
        <Create/>
      </Event>
      <Event time="2025-04-09T13:19:25.79" id="{3515B0D5-8A18-4D09-8569-85C1A366DD61}">
        <Attribution userId="S::pmsnider@ksu.edu::8e0ebc2d-ac24-4893-a19a-1809f9ac35e3" userName="Paul Snider" userProvider="AD"/>
        <Anchor>
          <Comment id="{40A2E4DF-B9CE-4158-907B-47316BFE55EB}"/>
        </Anchor>
        <Assign userId="S::djrephlo@ksu.edu::aa84b1ee-59d7-4ee1-9449-032966d7c8ea" userName="Derek Rephlo" userProvider="AD"/>
      </Event>
      <Event time="2025-04-09T13:19:25.79" id="{8583CC2B-9724-49A0-A8A5-4EDD972BE417}">
        <Attribution userId="S::pmsnider@ksu.edu::8e0ebc2d-ac24-4893-a19a-1809f9ac35e3" userName="Paul Snider" userProvider="AD"/>
        <Anchor>
          <Comment id="{40A2E4DF-B9CE-4158-907B-47316BFE55EB}"/>
        </Anchor>
        <SetTitle title="@Derek Rephlo Word thermal requirements as shall statements, not will and should statements to enforce verification of the requirements. Will and should statements are goals and not subject to verification."/>
      </Event>
      <Event time="2025-04-09T18:00:04.77" id="{B5674CF1-0E0B-482B-9A2C-0AFE5B508E6C}">
        <Attribution userId="S::djrephlo@ksu.edu::aa84b1ee-59d7-4ee1-9449-032966d7c8ea" userName="Derek Rephlo" userProvider="AD"/>
        <Progress percentComplete="100"/>
      </Event>
    </History>
  </Task>
  <Task id="{681202BF-5F87-4891-BF7C-865D1E3F69D2}">
    <Anchor>
      <Comment id="{434B5721-C819-4BA6-AE89-C1E4F7255AAF}"/>
    </Anchor>
    <History>
      <Event time="2025-04-09T13:56:45.57" id="{46BE0288-F0FB-46CE-872E-BE6FDC95794A}">
        <Attribution userId="S::pmsnider@ksu.edu::8e0ebc2d-ac24-4893-a19a-1809f9ac35e3" userName="Paul Snider" userProvider="AD"/>
        <Anchor>
          <Comment id="{434B5721-C819-4BA6-AE89-C1E4F7255AAF}"/>
        </Anchor>
        <Create/>
      </Event>
      <Event time="2025-04-09T13:56:45.57" id="{960AF919-531C-406B-9FE4-306879192333}">
        <Attribution userId="S::pmsnider@ksu.edu::8e0ebc2d-ac24-4893-a19a-1809f9ac35e3" userName="Paul Snider" userProvider="AD"/>
        <Anchor>
          <Comment id="{434B5721-C819-4BA6-AE89-C1E4F7255AAF}"/>
        </Anchor>
        <Assign userId="S::walke1@ksu.edu::03abaabf-506d-405a-8901-d5aef3b1ba2f" userName="Bailey Walke" userProvider="AD"/>
      </Event>
      <Event time="2025-04-09T13:56:45.57" id="{57B4EBFE-EDA7-47CB-BAC3-383F883D7714}">
        <Attribution userId="S::pmsnider@ksu.edu::8e0ebc2d-ac24-4893-a19a-1809f9ac35e3" userName="Paul Snider" userProvider="AD"/>
        <Anchor>
          <Comment id="{434B5721-C819-4BA6-AE89-C1E4F7255AAF}"/>
        </Anchor>
        <SetTitle title="@Bailey Walke Suggest changing this to Ground System Requirements. Consider a Level 2 requirements such as The Ground System shall consist of ground station, ground data, ground software and ground support equipment. (Flow each of those down to level 3…"/>
      </Event>
      <Event time="2025-04-09T14:13:56.18" id="{EE42E7D8-8C85-4834-A214-6C9725D52100}">
        <Attribution userId="S::walke1@ksu.edu::03abaabf-506d-405a-8901-d5aef3b1ba2f" userName="Bailey Walke" userProvider="AD"/>
        <Progress percentComplete="100"/>
      </Event>
    </History>
  </Task>
  <Task id="{55B704DB-E412-4F03-B396-70578DB1FC65}">
    <Anchor>
      <Comment id="{52A7198D-31A2-44DD-8E6C-0E87F2C1FBA0}"/>
    </Anchor>
    <History>
      <Event time="2025-04-09T14:13:38.28" id="{935249F5-AD78-4B4F-84BA-C41A86F2DE26}">
        <Attribution userId="S::pmsnider@ksu.edu::8e0ebc2d-ac24-4893-a19a-1809f9ac35e3" userName="Paul Snider" userProvider="AD"/>
        <Anchor>
          <Comment id="{52A7198D-31A2-44DD-8E6C-0E87F2C1FBA0}"/>
        </Anchor>
        <Create/>
      </Event>
      <Event time="2025-04-09T14:13:38.28" id="{038E85A0-0491-45AB-A3F0-8D0BC5D98C63}">
        <Attribution userId="S::pmsnider@ksu.edu::8e0ebc2d-ac24-4893-a19a-1809f9ac35e3" userName="Paul Snider" userProvider="AD"/>
        <Anchor>
          <Comment id="{52A7198D-31A2-44DD-8E6C-0E87F2C1FBA0}"/>
        </Anchor>
        <Assign userId="S::mikebennett106@ksu.edu::06fc2e7c-2387-4994-858d-46821002c1fd" userName="Michael Bennett" userProvider="AD"/>
      </Event>
      <Event time="2025-04-09T14:13:38.28" id="{73B07EC3-E5CF-4583-AED7-3553B5423375}">
        <Attribution userId="S::pmsnider@ksu.edu::8e0ebc2d-ac24-4893-a19a-1809f9ac35e3" userName="Paul Snider" userProvider="AD"/>
        <Anchor>
          <Comment id="{52A7198D-31A2-44DD-8E6C-0E87F2C1FBA0}"/>
        </Anchor>
        <SetTitle title="@Michael Bennett Need requirements for solar array power and area. Need requirements for separation sense to power on after deployment. Need requirements for battery and solar array arming/shorting plugs. Need requirements for install and remove before …"/>
      </Event>
    </History>
  </Task>
  <Task id="{8710CCE5-2897-4683-8A09-6BC867578C0B}">
    <Anchor>
      <Comment id="{255C73A3-EE54-47C0-AEF1-3D60E38F9857}"/>
    </Anchor>
    <History>
      <Event time="2025-04-09T13:21:01.32" id="{4D430D54-2153-4E17-BC7B-C16E9FAC78A1}">
        <Attribution userId="S::pmsnider@ksu.edu::8e0ebc2d-ac24-4893-a19a-1809f9ac35e3" userName="Paul Snider" userProvider="AD"/>
        <Anchor>
          <Comment id="{255C73A3-EE54-47C0-AEF1-3D60E38F9857}"/>
        </Anchor>
        <Create/>
      </Event>
      <Event time="2025-04-09T13:21:01.32" id="{F57B7289-6318-4D70-8C64-1F539368FCCB}">
        <Attribution userId="S::pmsnider@ksu.edu::8e0ebc2d-ac24-4893-a19a-1809f9ac35e3" userName="Paul Snider" userProvider="AD"/>
        <Anchor>
          <Comment id="{255C73A3-EE54-47C0-AEF1-3D60E38F9857}"/>
        </Anchor>
        <Assign userId="S::pakessinger@ksu.edu::2d93c848-6ffe-4812-8ec9-163a0ce1f508" userName="Paul Kessinger" userProvider="AD"/>
      </Event>
      <Event time="2025-04-09T13:21:01.32" id="{D2970408-D5ED-45EE-9DD6-F9C3D3442019}">
        <Attribution userId="S::pmsnider@ksu.edu::8e0ebc2d-ac24-4893-a19a-1809f9ac35e3" userName="Paul Snider" userProvider="AD"/>
        <Anchor>
          <Comment id="{255C73A3-EE54-47C0-AEF1-3D60E38F9857}"/>
        </Anchor>
        <SetTitle title="@Paul Kessinger Word structure requirements as shall statements, not will and should statements to enforce verification of the requirements. Will and should statements are goals and not subject to verification."/>
      </Event>
    </History>
  </Task>
</Tasks>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1062934</xdr:colOff>
      <xdr:row>396</xdr:row>
      <xdr:rowOff>165100</xdr:rowOff>
    </xdr:from>
    <xdr:to>
      <xdr:col>14</xdr:col>
      <xdr:colOff>186266</xdr:colOff>
      <xdr:row>411</xdr:row>
      <xdr:rowOff>114300</xdr:rowOff>
    </xdr:to>
    <xdr:graphicFrame macro="">
      <xdr:nvGraphicFramePr>
        <xdr:cNvPr id="2" name="Chart 6">
          <a:extLst>
            <a:ext uri="{FF2B5EF4-FFF2-40B4-BE49-F238E27FC236}">
              <a16:creationId xmlns:a16="http://schemas.microsoft.com/office/drawing/2014/main" id="{E21570A1-F827-04F1-8444-EA776078F1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1062934</xdr:colOff>
      <xdr:row>396</xdr:row>
      <xdr:rowOff>165100</xdr:rowOff>
    </xdr:from>
    <xdr:to>
      <xdr:col>14</xdr:col>
      <xdr:colOff>186266</xdr:colOff>
      <xdr:row>411</xdr:row>
      <xdr:rowOff>114300</xdr:rowOff>
    </xdr:to>
    <xdr:graphicFrame macro="">
      <xdr:nvGraphicFramePr>
        <xdr:cNvPr id="3" name="Chart 2">
          <a:extLst>
            <a:ext uri="{FF2B5EF4-FFF2-40B4-BE49-F238E27FC236}">
              <a16:creationId xmlns:a16="http://schemas.microsoft.com/office/drawing/2014/main" id="{84516EB4-D9D5-4238-B09A-24E12B0E7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375657</xdr:colOff>
      <xdr:row>401</xdr:row>
      <xdr:rowOff>179581</xdr:rowOff>
    </xdr:from>
    <xdr:to>
      <xdr:col>2</xdr:col>
      <xdr:colOff>3344204</xdr:colOff>
      <xdr:row>419</xdr:row>
      <xdr:rowOff>138693</xdr:rowOff>
    </xdr:to>
    <xdr:graphicFrame macro="">
      <xdr:nvGraphicFramePr>
        <xdr:cNvPr id="10" name="Chart 6">
          <a:extLst>
            <a:ext uri="{FF2B5EF4-FFF2-40B4-BE49-F238E27FC236}">
              <a16:creationId xmlns:a16="http://schemas.microsoft.com/office/drawing/2014/main" id="{71B45157-A27B-0305-492C-BFBBE2A62CEC}"/>
            </a:ext>
            <a:ext uri="{147F2762-F138-4A5C-976F-8EAC2B608ADB}">
              <a16:predDERef xmlns:a16="http://schemas.microsoft.com/office/drawing/2014/main" pred="{84516EB4-D9D5-4238-B09A-24E12B0E78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olby\Downloads\BACKUP-NuKat%20Requirements%20Verification%20Matrix.xlsx" TargetMode="External"/><Relationship Id="rId1" Type="http://schemas.openxmlformats.org/officeDocument/2006/relationships/externalLinkPath" Target="file:///C:\Users\colby\Downloads\BACKUP-NuKat%20Requirements%20Verification%20Matri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uKat Requirements"/>
      <sheetName val="SRR Handoffs &amp; Timing"/>
      <sheetName val="PDR Handoffs &amp; Timing"/>
    </sheetNames>
    <sheetDataSet>
      <sheetData sheetId="0">
        <row r="370">
          <cell r="M370" t="str">
            <v xml:space="preserve">Done = </v>
          </cell>
          <cell r="N370" t="str">
            <v xml:space="preserve">To go = </v>
          </cell>
        </row>
        <row r="371">
          <cell r="M371">
            <v>214</v>
          </cell>
          <cell r="N371">
            <v>9</v>
          </cell>
        </row>
      </sheetData>
      <sheetData sheetId="1"/>
      <sheetData sheetId="2"/>
    </sheetDataSet>
  </externalBook>
</externalLink>
</file>

<file path=xl/persons/person.xml><?xml version="1.0" encoding="utf-8"?>
<personList xmlns="http://schemas.microsoft.com/office/spreadsheetml/2018/threadedcomments" xmlns:x="http://schemas.openxmlformats.org/spreadsheetml/2006/main">
  <person displayName="Bailey Walke" id="{3CB956DB-0E25-4CDA-AA3C-69CE8D385889}" userId="walke1@ksu.edu" providerId="PeoplePicker"/>
  <person displayName="Logan Hayward" id="{B77C708E-07CF-4CAA-A511-5D540094C8FD}" userId="logkh22@ksu.edu" providerId="PeoplePicker"/>
  <person displayName="Phillip Shirkey" id="{0FFD3B4B-C53F-4BF6-AF2E-8C2DB447F712}" userId="shirkey@ksu.edu" providerId="PeoplePicker"/>
  <person displayName="Derek Rephlo" id="{7185D46E-A0BF-499C-8811-7E2ADEE49AB4}" userId="djrephlo@ksu.edu" providerId="PeoplePicker"/>
  <person displayName="Colby Johnston" id="{8C99F997-395D-4ED1-BA95-A3071DCC7C55}" userId="cjohnston@ksu.edu" providerId="PeoplePicker"/>
  <person displayName="Paul Kessinger" id="{9598651A-8D6F-4E12-9BED-553FD0DF9552}" userId="pakessinger@ksu.edu" providerId="PeoplePicker"/>
  <person displayName="Drew Sallman" id="{5185EB08-26B8-4C0E-A57E-083B7EA0A5C2}" userId="salamandersix@ksu.edu" providerId="PeoplePicker"/>
  <person displayName="Michael Bennett" id="{6F69540C-DFA3-4677-AC90-A4127F2C92C8}" userId="mikebennett106@ksu.edu" providerId="PeoplePicker"/>
  <person displayName="Bailey Walke" id="{DCAB3FC3-EF56-4F0B-95AC-EBDF0A3F5E79}" userId="S::walke1@ksu.edu::03abaabf-506d-405a-8901-d5aef3b1ba2f" providerId="AD"/>
  <person displayName="Paul Snider" id="{9B98F7AA-1D0A-4B87-B4A5-EF232FB7CC09}" userId="S::pmsnider@ksu.edu::8e0ebc2d-ac24-4893-a19a-1809f9ac35e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29EA6F-AEB5-4B4B-869B-C83E21B69E3A}" name="Table3" displayName="Table3" ref="A25:D42" totalsRowShown="0">
  <autoFilter ref="A25:D42" xr:uid="{1F29EA6F-AEB5-4B4B-869B-C83E21B69E3A}"/>
  <sortState xmlns:xlrd2="http://schemas.microsoft.com/office/spreadsheetml/2017/richdata2" ref="A26:D42">
    <sortCondition ref="C25:C42"/>
  </sortState>
  <tableColumns count="4">
    <tableColumn id="1" xr3:uid="{F4250355-A979-4268-BAEB-CB1E5EF2807A}" name="Topics" dataDxfId="1"/>
    <tableColumn id="2" xr3:uid="{25F8927C-E6E8-45FC-B3C6-79770F3A8F21}" name="Column1"/>
    <tableColumn id="3" xr3:uid="{DE8FDF45-9787-4D96-9980-63051F41A3AC}" name="Person"/>
    <tableColumn id="4" xr3:uid="{24ABA1CC-2918-4958-8EA0-0C4087F6E972}" name="Time alloted (min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4" dT="2025-09-22T19:12:32.20" personId="{DCAB3FC3-EF56-4F0B-95AC-EBDF0A3F5E79}" id="{E623A965-D228-4FB6-BE13-A5513C1C2CCD}">
    <text>NuKat needs to: Survive launch, enter orbit, turn on, transmit a signal, survive space environment
Students need to: design and test to a certain standard (NASA?)</text>
  </threadedComment>
  <threadedComment ref="C5" dT="2025-09-22T19:13:34.67" personId="{DCAB3FC3-EF56-4F0B-95AC-EBDF0A3F5E79}" id="{09E86DA1-20EF-4719-8AC8-47AE3EC30BED}">
    <text>Successfully count neutrons, operational for "x" time, survive independently of satellite. need more information on what "space qual" looks like</text>
  </threadedComment>
  <threadedComment ref="C7" dT="2025-09-22T19:16:37.52" personId="{DCAB3FC3-EF56-4F0B-95AC-EBDF0A3F5E79}" id="{D6B140FF-B04A-4163-B80B-72229167E0DE}">
    <text>requirements about succession plans for future students/longevity? documentation requirements</text>
  </threadedComment>
  <threadedComment ref="C11" dT="2025-09-22T19:10:15.62" personId="{DCAB3FC3-EF56-4F0B-95AC-EBDF0A3F5E79}" id="{0152F8A7-2E4E-4570-BF2B-E403E660A4FE}">
    <text>i feel like NU-1.01 and NU-1.02 could be combined</text>
  </threadedComment>
  <threadedComment ref="C12" dT="2025-09-22T19:09:34.23" personId="{DCAB3FC3-EF56-4F0B-95AC-EBDF0A3F5E79}" id="{03C5FFD8-066C-4D2B-BC6A-31E628C4088D}">
    <text>what is the bare bones of "flight heritage"? will drive level 2</text>
  </threadedComment>
  <threadedComment ref="A23" dT="2025-04-09T13:30:54.89" personId="{9B98F7AA-1D0A-4B87-B4A5-EF232FB7CC09}" id="{7B298502-03C5-4DD5-B23D-6981FF8B9A25}" done="1">
    <text>@Bailey Walke 
Need Satellite level SWAP requirements.</text>
    <mentions>
      <mention mentionpersonId="{3CB956DB-0E25-4CDA-AA3C-69CE8D385889}" mentionId="{F85A842C-D2F8-49C2-A425-FCA193B04CEE}" startIndex="0" length="13"/>
    </mentions>
  </threadedComment>
  <threadedComment ref="A23" dT="2025-04-09T14:45:43.70" personId="{9B98F7AA-1D0A-4B87-B4A5-EF232FB7CC09}" id="{02B7BD1F-AF1C-4CAD-8B38-BD40969CD248}" parentId="{7B298502-03C5-4DD5-B23D-6981FF8B9A25}">
    <text xml:space="preserve">@Bailey Walke 
Need requirements for contamination control and cleanliness. Below are some examples from UNP Mission Concept Ussr Guide.
The flight hardware shall be maintained in a class 100,000 level or better facility as defined in FED-STD-209E.
All flight hardware shall be maintained at the Visibly Clean (VC) level (free from manufacturing residue, dirt, oil, grease, processing debris, or other visible particulate when inspected with the unaided or corrected-vision eye).
</text>
    <mentions>
      <mention mentionpersonId="{3CB956DB-0E25-4CDA-AA3C-69CE8D385889}" mentionId="{9704395B-D319-4061-A24A-CCF6F33BCE68}" startIndex="0" length="13"/>
    </mentions>
  </threadedComment>
  <threadedComment ref="A53" dT="2025-04-09T13:41:03.44" personId="{9B98F7AA-1D0A-4B87-B4A5-EF232FB7CC09}" id="{7019ED8F-4B98-41BC-9265-21B76F8A6C08}" done="1">
    <text>@Phillip Shirkey 
Consider approaching level 2 for the payload as:
The Payload System shall consist of the primary imaging payload, the hosted neutron detector, and the hosted thermoelectric generator payload. (Level 3 will define the requirements for each of these individually).
The imaging payload shall interface to the bus mechanically, electrically and thermally.
The neutron detector shall interface to the bus mechanically, electrically and thermally.
The TEG shall interface to the solar array (I believe) mechanically, electrically and thermally.
(Level 3 will define the mechanical, electrical and thermal requirements for each of these individually).</text>
    <mentions>
      <mention mentionpersonId="{0FFD3B4B-C53F-4BF6-AF2E-8C2DB447F712}" mentionId="{E182D2FE-5F9F-444E-9C78-7B90792807E4}" startIndex="0" length="16"/>
    </mentions>
  </threadedComment>
  <threadedComment ref="A54" dT="2025-09-24T18:40:10.54" personId="{9B98F7AA-1D0A-4B87-B4A5-EF232FB7CC09}" id="{6459769E-7EBF-4053-8598-6D3C105DBA7D}" done="1">
    <text>@Colby Johnston Add Payload Size, Weight and Power, and Thermal Range requirements, similar to Bus Requirements.</text>
    <mentions>
      <mention mentionpersonId="{8C99F997-395D-4ED1-BA95-A3071DCC7C55}" mentionId="{A756055D-8D30-4FBB-821E-79643CC9E3F9}" startIndex="0" length="15"/>
    </mentions>
  </threadedComment>
  <threadedComment ref="A54" dT="2025-09-24T18:43:34.63" personId="{9B98F7AA-1D0A-4B87-B4A5-EF232FB7CC09}" id="{C22CBF15-0856-4004-A0F8-F4DDEA4671E5}" parentId="{6459769E-7EBF-4053-8598-6D3C105DBA7D}">
    <text>@Colby Johnston Seeing those requirements now in 3.2.</text>
    <mentions>
      <mention mentionpersonId="{8C99F997-395D-4ED1-BA95-A3071DCC7C55}" mentionId="{1C2EDDFE-83A6-494A-BF43-FA0DE4522175}" startIndex="0" length="15"/>
    </mentions>
  </threadedComment>
  <threadedComment ref="A62" dT="2025-04-09T13:34:31.31" personId="{9B98F7AA-1D0A-4B87-B4A5-EF232FB7CC09}" id="{88D0F01F-61DF-41CE-A28F-AB3863CDD314}" done="1">
    <text>@Colby Johnston 
Need Bus weight and power requirements.</text>
    <mentions>
      <mention mentionpersonId="{8C99F997-395D-4ED1-BA95-A3071DCC7C55}" mentionId="{F8799306-26BB-4DC8-94D3-79774E5664D0}" startIndex="0" length="15"/>
    </mentions>
  </threadedComment>
  <threadedComment ref="A85" dT="2025-04-09T13:56:46.03" personId="{9B98F7AA-1D0A-4B87-B4A5-EF232FB7CC09}" id="{DCDC21AD-609E-4027-90CA-54C3C1ADD4BD}" done="1">
    <text>@Bailey Walke 
Suggest changing this to Ground System Requirements.
Consider a Level 2 requirements such as
The Ground System shall consist of ground station, ground data, ground software and ground support equipment. (Flow each of those down to level 3).
The Ground System shall interface with PHAT-Sat during ground integration and test and on-orbit operations. (Flow down to level 3 to define ground support and mission operations requirements).
The Ground System shall interface with mission data users. (Flow down to level 3 for ground data to define data distribution).</text>
    <mentions>
      <mention mentionpersonId="{3CB956DB-0E25-4CDA-AA3C-69CE8D385889}" mentionId="{C61D86DF-7FD1-4BCE-A0BA-6A6D312455C6}" startIndex="0" length="13"/>
    </mentions>
  </threadedComment>
  <threadedComment ref="A89" dT="2025-04-09T13:56:46.03" personId="{9B98F7AA-1D0A-4B87-B4A5-EF232FB7CC09}" id="{29155691-060C-4380-8F17-C0261B2B3601}" done="1">
    <text>@Bailey Walke 
Suggest changing this to Ground System Requirements.
Consider a Level 2 requirements such as
The Ground System shall consist of ground station, ground data, ground software and ground support equipment. (Flow each of those down to level 3).
The Ground System shall interface with PHAT-Sat during ground integration and test and on-orbit operations. (Flow down to level 3 to define ground support and mission operations requirements).
The Ground System shall interface with mission data users. (Flow down to level 3 for ground data to define data distribution).</text>
    <mentions>
      <mention mentionpersonId="{3CB956DB-0E25-4CDA-AA3C-69CE8D385889}" mentionId="{903DC4A3-DB20-4B5B-83FB-6E0FFBB2C99C}" startIndex="0" length="13"/>
    </mentions>
  </threadedComment>
  <threadedComment ref="A115" dT="2025-04-09T13:33:36.22" personId="{9B98F7AA-1D0A-4B87-B4A5-EF232FB7CC09}" id="{1FEBDDAD-59A4-4EA0-87B2-574187DE5F14}" done="1">
    <text>@Phillip Shirkey , @Colby Johnston, @Derek Rephlo 
Need level 3 requirements for the neutron detector and TEG. A couple of these are in 2.2.</text>
    <mentions>
      <mention mentionpersonId="{0FFD3B4B-C53F-4BF6-AF2E-8C2DB447F712}" mentionId="{DE7A8FE7-CF88-451F-A1A3-8BB7C231DED8}" startIndex="0" length="16"/>
      <mention mentionpersonId="{8C99F997-395D-4ED1-BA95-A3071DCC7C55}" mentionId="{48C812B8-1C35-4BC7-A847-E457DC26D598}" startIndex="19" length="15"/>
      <mention mentionpersonId="{7185D46E-A0BF-499C-8811-7E2ADEE49AB4}" mentionId="{FA480E0B-654A-4871-889B-B16F446175FC}" startIndex="36" length="13"/>
    </mentions>
  </threadedComment>
  <threadedComment ref="A126" dT="2025-04-09T14:42:16.59" personId="{9B98F7AA-1D0A-4B87-B4A5-EF232FB7CC09}" id="{99B5C2ED-6CEE-4D52-B1E0-B3576251C794}" done="1">
    <text>@Phillip Shirkey @Drew Sallman @Bailey Walke 
Need requirements for geolocation.
Need requirements for Earth orientation (Nadir/Off-Nadir pointing)
Need requirements for Sun orientation (solar array pointing/sun avoidance).
The radiation and thermal requirements should be at level 2 for the satellite environment requirements, and flow down to levels 4 and 5, components and parts.</text>
    <mentions>
      <mention mentionpersonId="{0FFD3B4B-C53F-4BF6-AF2E-8C2DB447F712}" mentionId="{5E7C2BF2-625D-4AEC-9753-E67E4A31FBB2}" startIndex="0" length="16"/>
      <mention mentionpersonId="{5185EB08-26B8-4C0E-A57E-083B7EA0A5C2}" mentionId="{B6FF245D-0D57-4B06-8214-A9DE31081241}" startIndex="17" length="13"/>
      <mention mentionpersonId="{3CB956DB-0E25-4CDA-AA3C-69CE8D385889}" mentionId="{5D1F5CFC-D088-4768-8EAD-08AB02413FC0}" startIndex="31" length="13"/>
    </mentions>
  </threadedComment>
  <threadedComment ref="A151" dT="2025-04-09T14:04:39.05" personId="{9B98F7AA-1D0A-4B87-B4A5-EF232FB7CC09}" id="{7D4CC440-2527-48A2-B922-A72207F2B4C3}" done="1">
    <text>@Logan Hayward @Colby Johnston 
The interface requirements with the other subsystems should be in the Level 2 Bus Requirements.
Need requirement(s) for the communications bus(es) (how data from payloads and subsystems moves around the bus).
Need requirements for the uplink and downklink transmission data rates.</text>
    <mentions>
      <mention mentionpersonId="{B77C708E-07CF-4CAA-A511-5D540094C8FD}" mentionId="{9B8A922A-7BEC-4AFE-AFF6-2E2E26D78BF1}" startIndex="0" length="14"/>
      <mention mentionpersonId="{8C99F997-395D-4ED1-BA95-A3071DCC7C55}" mentionId="{0BB0FCB2-0D1F-4D84-87A6-5F9AA5275A44}" startIndex="15" length="15"/>
    </mentions>
  </threadedComment>
  <threadedComment ref="A163" dT="2025-04-09T14:13:38.68" personId="{9B98F7AA-1D0A-4B87-B4A5-EF232FB7CC09}" id="{BD66EE7C-96DE-4E70-B07C-4A7108F6BB4D}">
    <text>@Michael Bennett 
Need requirements for solar array power and area.
Need requirements for separation sense to power on after deployment.
Need requirements for battery and solar array arming/shorting plugs.
Need requirements for install and remove before flight electrical items.</text>
    <mentions>
      <mention mentionpersonId="{6F69540C-DFA3-4677-AC90-A4127F2C92C8}" mentionId="{BAA22E53-AB68-498C-A4DA-419002E25078}" startIndex="0" length="16"/>
    </mentions>
  </threadedComment>
  <threadedComment ref="A188" dT="2025-04-09T13:21:01.68" personId="{9B98F7AA-1D0A-4B87-B4A5-EF232FB7CC09}" id="{535766BE-1636-44EF-A519-CD58D39162F9}">
    <text>@Paul Kessinger 
Word structure requirements as shall statements, not will and should statements to enforce verification of the requirements. Will and should statements are goals and not subject to verification.</text>
    <mentions>
      <mention mentionpersonId="{9598651A-8D6F-4E12-9BED-553FD0DF9552}" mentionId="{71592242-FD37-440B-B811-B0E8CEAC5BBD}" startIndex="0" length="15"/>
    </mentions>
  </threadedComment>
  <threadedComment ref="A200" dT="2025-04-09T13:19:26.15" personId="{9B98F7AA-1D0A-4B87-B4A5-EF232FB7CC09}" id="{925F0CC0-90E6-467A-9A2C-9D959C9D3CFC}" done="1">
    <text>@Derek Rephlo 
Word thermal requirements as shall statements, not will and should statements to enforce verification of the requirements. Will and should statements are goals and not subject to verification.</text>
    <mentions>
      <mention mentionpersonId="{7185D46E-A0BF-499C-8811-7E2ADEE49AB4}" mentionId="{8342AAF7-7ED3-4B03-9B43-095A0C419A83}" startIndex="0" length="13"/>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C4" dT="2025-09-22T19:12:32.20" personId="{DCAB3FC3-EF56-4F0B-95AC-EBDF0A3F5E79}" id="{A3E2ED37-8B19-45C7-965B-343C01485EE5}">
    <text>NuKat needs to: Survive launch, enter orbit, turn on, transmit a signal, survive space environment
Students need to: design and test to a certain standard (NASA?)</text>
  </threadedComment>
  <threadedComment ref="C5" dT="2025-09-22T19:13:34.67" personId="{DCAB3FC3-EF56-4F0B-95AC-EBDF0A3F5E79}" id="{7AF956CB-A9FC-4860-83DF-B42A81BCD8CE}">
    <text>Successfully count neutrons, operational for "x" time, survive independently of satellite. need more information on what "space qual" looks like</text>
  </threadedComment>
  <threadedComment ref="C7" dT="2025-09-22T19:16:37.52" personId="{DCAB3FC3-EF56-4F0B-95AC-EBDF0A3F5E79}" id="{DB742D1D-FECE-4708-BA07-8FF182EF4A37}">
    <text>requirements about succession plans for future students/longevity? documentation requirements</text>
  </threadedComment>
  <threadedComment ref="C11" dT="2025-09-22T19:10:15.62" personId="{DCAB3FC3-EF56-4F0B-95AC-EBDF0A3F5E79}" id="{44A4C15A-91E7-4F42-8B83-9B4439670238}">
    <text>i feel like NU-1.01 and NU-1.02 could be combined</text>
  </threadedComment>
  <threadedComment ref="C12" dT="2025-09-22T19:09:34.23" personId="{DCAB3FC3-EF56-4F0B-95AC-EBDF0A3F5E79}" id="{4F521A8B-39D1-4121-B589-182D5E93DC79}">
    <text>what is the bare bones of "flight heritage"? will drive level 2</text>
  </threadedComment>
  <threadedComment ref="A23" dT="2025-04-09T13:30:54.89" personId="{9B98F7AA-1D0A-4B87-B4A5-EF232FB7CC09}" id="{EDE7EE6A-82C2-422C-936D-8B4AE795770C}" done="1">
    <text>@Bailey Walke 
Need Satellite level SWAP requirements.</text>
    <mentions>
      <mention mentionpersonId="{3CB956DB-0E25-4CDA-AA3C-69CE8D385889}" mentionId="{908596CA-C84E-4054-9732-E8176C4A932E}" startIndex="0" length="13"/>
    </mentions>
  </threadedComment>
  <threadedComment ref="A23" dT="2025-04-09T14:45:43.70" personId="{9B98F7AA-1D0A-4B87-B4A5-EF232FB7CC09}" id="{1902A5A4-70E6-4B73-A17F-5AECB3B53504}" parentId="{EDE7EE6A-82C2-422C-936D-8B4AE795770C}">
    <text xml:space="preserve">@Bailey Walke 
Need requirements for contamination control and cleanliness. Below are some examples from UNP Mission Concept Ussr Guide.
The flight hardware shall be maintained in a class 100,000 level or better facility as defined in FED-STD-209E.
All flight hardware shall be maintained at the Visibly Clean (VC) level (free from manufacturing residue, dirt, oil, grease, processing debris, or other visible particulate when inspected with the unaided or corrected-vision eye).
</text>
    <mentions>
      <mention mentionpersonId="{3CB956DB-0E25-4CDA-AA3C-69CE8D385889}" mentionId="{88226B6C-67EA-4790-8BC6-B88A02703BB6}" startIndex="0" length="13"/>
    </mentions>
  </threadedComment>
  <threadedComment ref="A53" dT="2025-04-09T13:41:03.44" personId="{9B98F7AA-1D0A-4B87-B4A5-EF232FB7CC09}" id="{D47FE628-4DD1-4542-B209-9BE7CD7747A9}" done="1">
    <text>@Phillip Shirkey 
Consider approaching level 2 for the payload as:
The Payload System shall consist of the primary imaging payload, the hosted neutron detector, and the hosted thermoelectric generator payload. (Level 3 will define the requirements for each of these individually).
The imaging payload shall interface to the bus mechanically, electrically and thermally.
The neutron detector shall interface to the bus mechanically, electrically and thermally.
The TEG shall interface to the solar array (I believe) mechanically, electrically and thermally.
(Level 3 will define the mechanical, electrical and thermal requirements for each of these individually).</text>
    <mentions>
      <mention mentionpersonId="{0FFD3B4B-C53F-4BF6-AF2E-8C2DB447F712}" mentionId="{087CCC20-44FE-4928-BDF9-E01129B1F7EF}" startIndex="0" length="16"/>
    </mentions>
  </threadedComment>
  <threadedComment ref="A54" dT="2025-09-24T18:40:10.54" personId="{9B98F7AA-1D0A-4B87-B4A5-EF232FB7CC09}" id="{58A2C7DC-51A8-4D2C-9937-79D186FB281D}" done="1">
    <text>@Colby Johnston Add Payload Size, Weight and Power, and Thermal Range requirements, similar to Bus Requirements.</text>
    <mentions>
      <mention mentionpersonId="{8C99F997-395D-4ED1-BA95-A3071DCC7C55}" mentionId="{B5BEBF5E-C182-470C-844C-18BA50DE67EB}" startIndex="0" length="15"/>
    </mentions>
  </threadedComment>
  <threadedComment ref="A54" dT="2025-09-24T18:43:34.63" personId="{9B98F7AA-1D0A-4B87-B4A5-EF232FB7CC09}" id="{D12B442B-0CAB-41DF-8895-82D31431FF6B}" parentId="{58A2C7DC-51A8-4D2C-9937-79D186FB281D}">
    <text>@Colby Johnston Seeing those requirements now in 3.2.</text>
    <mentions>
      <mention mentionpersonId="{8C99F997-395D-4ED1-BA95-A3071DCC7C55}" mentionId="{3FE5BA30-3049-4375-A162-70D4024342F7}" startIndex="0" length="15"/>
    </mentions>
  </threadedComment>
  <threadedComment ref="A62" dT="2025-04-09T13:34:31.31" personId="{9B98F7AA-1D0A-4B87-B4A5-EF232FB7CC09}" id="{6BE1D8E0-097B-47A6-8EB6-060F358B9143}" done="1">
    <text>@Colby Johnston 
Need Bus weight and power requirements.</text>
    <mentions>
      <mention mentionpersonId="{8C99F997-395D-4ED1-BA95-A3071DCC7C55}" mentionId="{597A43D8-C92A-43AD-BB73-3EBC165A287B}" startIndex="0" length="15"/>
    </mentions>
  </threadedComment>
  <threadedComment ref="A88" dT="2025-04-09T13:56:46.03" personId="{9B98F7AA-1D0A-4B87-B4A5-EF232FB7CC09}" id="{99B9BB02-90A1-4B14-8590-3014C1BCF2ED}" done="1">
    <text>@Bailey Walke 
Suggest changing this to Ground System Requirements.
Consider a Level 2 requirements such as
The Ground System shall consist of ground station, ground data, ground software and ground support equipment. (Flow each of those down to level 3).
The Ground System shall interface with PHAT-Sat during ground integration and test and on-orbit operations. (Flow down to level 3 to define ground support and mission operations requirements).
The Ground System shall interface with mission data users. (Flow down to level 3 for ground data to define data distribution).</text>
    <mentions>
      <mention mentionpersonId="{3CB956DB-0E25-4CDA-AA3C-69CE8D385889}" mentionId="{E663DED5-7F7B-483E-A4BC-A99A7EAB962D}" startIndex="0" length="13"/>
    </mentions>
  </threadedComment>
  <threadedComment ref="A92" dT="2025-04-09T13:56:46.03" personId="{9B98F7AA-1D0A-4B87-B4A5-EF232FB7CC09}" id="{434B5721-C819-4BA6-AE89-C1E4F7255AAF}" done="1">
    <text>@Bailey Walke 
Suggest changing this to Ground System Requirements.
Consider a Level 2 requirements such as
The Ground System shall consist of ground station, ground data, ground software and ground support equipment. (Flow each of those down to level 3).
The Ground System shall interface with PHAT-Sat during ground integration and test and on-orbit operations. (Flow down to level 3 to define ground support and mission operations requirements).
The Ground System shall interface with mission data users. (Flow down to level 3 for ground data to define data distribution).</text>
    <mentions>
      <mention mentionpersonId="{3CB956DB-0E25-4CDA-AA3C-69CE8D385889}" mentionId="{10E717B6-BA9E-4C7D-A4F9-9F1B8F44B7A5}" startIndex="0" length="13"/>
    </mentions>
  </threadedComment>
  <threadedComment ref="A116" dT="2025-04-09T13:33:36.22" personId="{9B98F7AA-1D0A-4B87-B4A5-EF232FB7CC09}" id="{22F80E20-6062-4866-9BD5-A59073297E61}">
    <text>@Phillip Shirkey , @Colby Johnston, @Derek Rephlo 
Need level 3 requirements for the neutron detector and TEG. A couple of these are in 2.2.</text>
    <mentions>
      <mention mentionpersonId="{0FFD3B4B-C53F-4BF6-AF2E-8C2DB447F712}" mentionId="{2AD7B211-EB95-4F87-A945-02E636205DCC}" startIndex="0" length="16"/>
      <mention mentionpersonId="{8C99F997-395D-4ED1-BA95-A3071DCC7C55}" mentionId="{F4E40375-22B4-4118-BFA1-801EE6D74348}" startIndex="19" length="15"/>
      <mention mentionpersonId="{7185D46E-A0BF-499C-8811-7E2ADEE49AB4}" mentionId="{564647D0-CEC9-4909-A619-A46FF7091119}" startIndex="36" length="13"/>
    </mentions>
  </threadedComment>
  <threadedComment ref="A127" dT="2025-04-09T14:42:16.59" personId="{9B98F7AA-1D0A-4B87-B4A5-EF232FB7CC09}" id="{17FD28B5-640C-487E-92E3-1D1127DC2009}">
    <text>@Phillip Shirkey @Drew Sallman @Bailey Walke 
Need requirements for geolocation.
Need requirements for Earth orientation (Nadir/Off-Nadir pointing)
Need requirements for Sun orientation (solar array pointing/sun avoidance).
The radiation and thermal requirements should be at level 2 for the satellite environment requirements, and flow down to levels 4 and 5, components and parts.</text>
    <mentions>
      <mention mentionpersonId="{0FFD3B4B-C53F-4BF6-AF2E-8C2DB447F712}" mentionId="{73377E16-BA80-4D7D-8DE9-BBDE31D6F49E}" startIndex="0" length="16"/>
      <mention mentionpersonId="{5185EB08-26B8-4C0E-A57E-083B7EA0A5C2}" mentionId="{3FE9B2C7-955B-4747-8B12-1B8A9A26C598}" startIndex="17" length="13"/>
      <mention mentionpersonId="{3CB956DB-0E25-4CDA-AA3C-69CE8D385889}" mentionId="{29FBDBE0-36CC-4360-93DD-9975F98B87B8}" startIndex="31" length="13"/>
    </mentions>
  </threadedComment>
  <threadedComment ref="A165" dT="2025-04-09T14:13:38.68" personId="{9B98F7AA-1D0A-4B87-B4A5-EF232FB7CC09}" id="{52A7198D-31A2-44DD-8E6C-0E87F2C1FBA0}">
    <text>@Michael Bennett 
Need requirements for solar array power and area.
Need requirements for separation sense to power on after deployment.
Need requirements for battery and solar array arming/shorting plugs.
Need requirements for install and remove before flight electrical items.</text>
    <mentions>
      <mention mentionpersonId="{6F69540C-DFA3-4677-AC90-A4127F2C92C8}" mentionId="{7AF38E49-19B4-41D6-901F-E8979107700E}" startIndex="0" length="16"/>
    </mentions>
  </threadedComment>
  <threadedComment ref="A190" dT="2025-04-09T13:21:01.68" personId="{9B98F7AA-1D0A-4B87-B4A5-EF232FB7CC09}" id="{255C73A3-EE54-47C0-AEF1-3D60E38F9857}">
    <text>@Paul Kessinger 
Word structure requirements as shall statements, not will and should statements to enforce verification of the requirements. Will and should statements are goals and not subject to verification.</text>
    <mentions>
      <mention mentionpersonId="{9598651A-8D6F-4E12-9BED-553FD0DF9552}" mentionId="{103F5EDC-3751-4CD4-80CC-DE7CAAE2B4BD}" startIndex="0" length="15"/>
    </mentions>
  </threadedComment>
  <threadedComment ref="A202" dT="2025-04-09T13:19:26.15" personId="{9B98F7AA-1D0A-4B87-B4A5-EF232FB7CC09}" id="{40A2E4DF-B9CE-4158-907B-47316BFE55EB}" done="1">
    <text>@Derek Rephlo 
Word thermal requirements as shall statements, not will and should statements to enforce verification of the requirements. Will and should statements are goals and not subject to verification.</text>
    <mentions>
      <mention mentionpersonId="{7185D46E-A0BF-499C-8811-7E2ADEE49AB4}" mentionId="{D481199A-1F85-405E-B557-59B96CC47A29}" startIndex="0" length="13"/>
    </mentions>
  </threadedComment>
</ThreadedComments>
</file>

<file path=xl/worksheets/_rels/sheet1.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hyperlink" Target="https://support.ksu.edu/TDClient/30/Portal/Requests/ServiceDet?ID=39" TargetMode="External"/><Relationship Id="rId7" Type="http://schemas.openxmlformats.org/officeDocument/2006/relationships/comments" Target="../comments1.xml"/><Relationship Id="rId2" Type="http://schemas.openxmlformats.org/officeDocument/2006/relationships/hyperlink" Target="https://docs.openc3.com/docs" TargetMode="External"/><Relationship Id="rId1" Type="http://schemas.openxmlformats.org/officeDocument/2006/relationships/hyperlink" Target="https://www.rubydoc.info/gems/mail?utm_source=chatgpt.com"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 Id="rId9" Type="http://schemas.microsoft.com/office/2019/04/relationships/documenttask" Target="../documenttasks/documenttask1.xml"/></Relationships>
</file>

<file path=xl/worksheets/_rels/sheet2.xml.rels><?xml version="1.0" encoding="UTF-8" standalone="yes"?>
<Relationships xmlns="http://schemas.openxmlformats.org/package/2006/relationships"><Relationship Id="rId8" Type="http://schemas.microsoft.com/office/2019/04/relationships/documenttask" Target="../documenttasks/documenttask2.xml"/><Relationship Id="rId3" Type="http://schemas.openxmlformats.org/officeDocument/2006/relationships/hyperlink" Target="https://www.rubydoc.info/gems/mail?utm_source=chatgpt.com" TargetMode="External"/><Relationship Id="rId7" Type="http://schemas.microsoft.com/office/2017/10/relationships/threadedComment" Target="../threadedComments/threadedComment2.xml"/><Relationship Id="rId2" Type="http://schemas.openxmlformats.org/officeDocument/2006/relationships/hyperlink" Target="https://docs.openc3.com/docs" TargetMode="External"/><Relationship Id="rId1" Type="http://schemas.openxmlformats.org/officeDocument/2006/relationships/hyperlink" Target="https://support.ksu.edu/TDClient/30/Portal/Requests/ServiceDet?ID=39"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868FF-9885-4449-8EFF-3F6E291CEF97}">
  <dimension ref="A1:AL747"/>
  <sheetViews>
    <sheetView tabSelected="1" topLeftCell="E1" zoomScaleNormal="100" workbookViewId="0">
      <pane ySplit="2" topLeftCell="A336" activePane="bottomLeft" state="frozen"/>
      <selection pane="bottomLeft" activeCell="C24" sqref="C24"/>
    </sheetView>
  </sheetViews>
  <sheetFormatPr defaultColWidth="8.42578125" defaultRowHeight="15" customHeight="1"/>
  <cols>
    <col min="1" max="1" width="12.42578125" customWidth="1"/>
    <col min="2" max="2" width="36.42578125" customWidth="1"/>
    <col min="3" max="3" width="79.42578125" customWidth="1"/>
    <col min="4" max="4" width="47.42578125" customWidth="1"/>
    <col min="5" max="5" width="20.42578125" customWidth="1"/>
    <col min="6" max="6" width="12.42578125" style="26" customWidth="1"/>
    <col min="7" max="7" width="11.140625" style="26" customWidth="1"/>
    <col min="8" max="8" width="12" style="26" customWidth="1"/>
    <col min="9" max="9" width="11.140625" style="26" customWidth="1"/>
    <col min="10" max="10" width="16.42578125" customWidth="1"/>
    <col min="11" max="11" width="20.140625" customWidth="1"/>
    <col min="12" max="12" width="16.42578125" customWidth="1"/>
    <col min="13" max="13" width="11.42578125" customWidth="1"/>
    <col min="14" max="14" width="70.42578125" customWidth="1"/>
    <col min="15" max="15" width="17.42578125" customWidth="1"/>
    <col min="16" max="17" width="11.42578125" customWidth="1"/>
  </cols>
  <sheetData>
    <row r="1" spans="1:38" ht="23.45">
      <c r="A1" s="165" t="s">
        <v>0</v>
      </c>
      <c r="B1" s="165"/>
      <c r="C1" s="165"/>
      <c r="D1" s="165"/>
      <c r="E1" s="165"/>
      <c r="F1" s="165"/>
      <c r="G1" s="165"/>
      <c r="H1" s="165"/>
      <c r="I1" s="165"/>
      <c r="J1" s="165"/>
      <c r="K1" s="165"/>
      <c r="L1" s="165"/>
      <c r="M1" s="165"/>
      <c r="N1" s="165"/>
      <c r="O1" s="165"/>
      <c r="P1" s="165"/>
      <c r="Q1" s="165"/>
    </row>
    <row r="2" spans="1:38" s="1" customFormat="1" ht="28.9">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c r="S2"/>
      <c r="T2"/>
      <c r="U2"/>
      <c r="V2"/>
      <c r="W2"/>
      <c r="X2"/>
      <c r="Y2"/>
      <c r="Z2"/>
      <c r="AA2"/>
      <c r="AB2"/>
      <c r="AC2"/>
      <c r="AD2"/>
      <c r="AE2"/>
      <c r="AF2"/>
      <c r="AG2"/>
      <c r="AH2"/>
      <c r="AI2"/>
      <c r="AJ2"/>
      <c r="AK2"/>
      <c r="AL2"/>
    </row>
    <row r="3" spans="1:38" s="3" customFormat="1" ht="29.1" customHeight="1">
      <c r="A3" s="163" t="s">
        <v>18</v>
      </c>
      <c r="B3" s="163"/>
      <c r="C3" s="163"/>
      <c r="D3" s="163"/>
      <c r="E3" s="163"/>
      <c r="F3" s="163"/>
      <c r="G3" s="163"/>
      <c r="H3" s="163"/>
      <c r="I3" s="163"/>
      <c r="J3" s="163"/>
      <c r="K3" s="163"/>
      <c r="L3" s="163"/>
      <c r="M3" s="163"/>
      <c r="N3" s="163"/>
      <c r="O3" s="163"/>
      <c r="P3" s="163"/>
      <c r="Q3" s="163"/>
      <c r="R3"/>
      <c r="S3"/>
      <c r="T3"/>
      <c r="U3"/>
      <c r="V3"/>
      <c r="W3"/>
      <c r="X3"/>
      <c r="Y3"/>
      <c r="Z3"/>
      <c r="AA3"/>
      <c r="AB3"/>
      <c r="AC3"/>
      <c r="AD3"/>
      <c r="AE3"/>
      <c r="AF3"/>
      <c r="AG3"/>
      <c r="AH3"/>
      <c r="AI3"/>
      <c r="AJ3"/>
      <c r="AK3"/>
      <c r="AL3"/>
    </row>
    <row r="4" spans="1:38" s="3" customFormat="1" ht="72">
      <c r="A4" s="4" t="s">
        <v>19</v>
      </c>
      <c r="B4" s="4" t="s">
        <v>20</v>
      </c>
      <c r="C4" s="4" t="s">
        <v>21</v>
      </c>
      <c r="D4" s="4" t="s">
        <v>22</v>
      </c>
      <c r="E4" s="4" t="s">
        <v>23</v>
      </c>
      <c r="F4" s="33"/>
      <c r="G4" s="33"/>
      <c r="H4" s="33"/>
      <c r="I4" s="33"/>
      <c r="J4" s="4"/>
      <c r="K4" s="4"/>
      <c r="L4" s="8" t="s">
        <v>24</v>
      </c>
      <c r="M4" s="34" t="s">
        <v>25</v>
      </c>
      <c r="N4" s="4" t="s">
        <v>26</v>
      </c>
      <c r="O4" s="4"/>
      <c r="P4" s="4"/>
      <c r="Q4" s="4"/>
      <c r="R4"/>
      <c r="S4"/>
      <c r="T4"/>
      <c r="U4"/>
      <c r="V4"/>
      <c r="W4"/>
      <c r="X4"/>
      <c r="Y4"/>
      <c r="Z4"/>
      <c r="AA4"/>
      <c r="AB4"/>
      <c r="AC4"/>
      <c r="AD4"/>
      <c r="AE4"/>
      <c r="AF4"/>
      <c r="AG4"/>
      <c r="AH4"/>
      <c r="AI4"/>
      <c r="AJ4"/>
      <c r="AK4"/>
      <c r="AL4"/>
    </row>
    <row r="5" spans="1:38" s="3" customFormat="1" ht="43.15">
      <c r="A5" s="4" t="s">
        <v>27</v>
      </c>
      <c r="B5" s="4" t="s">
        <v>28</v>
      </c>
      <c r="C5" s="4" t="s">
        <v>29</v>
      </c>
      <c r="D5" s="4" t="s">
        <v>30</v>
      </c>
      <c r="E5" s="4" t="s">
        <v>31</v>
      </c>
      <c r="F5" s="33"/>
      <c r="G5" s="33"/>
      <c r="H5" s="33"/>
      <c r="I5" s="33"/>
      <c r="J5" s="4"/>
      <c r="K5" s="4"/>
      <c r="L5" s="8" t="s">
        <v>24</v>
      </c>
      <c r="M5" s="35" t="s">
        <v>25</v>
      </c>
      <c r="N5" s="4" t="s">
        <v>32</v>
      </c>
      <c r="O5" s="4"/>
      <c r="P5" s="4"/>
      <c r="Q5" s="4"/>
      <c r="R5"/>
      <c r="S5"/>
      <c r="T5"/>
      <c r="U5"/>
      <c r="V5"/>
      <c r="W5"/>
      <c r="X5"/>
      <c r="Y5"/>
      <c r="Z5"/>
      <c r="AA5"/>
      <c r="AB5"/>
      <c r="AC5"/>
      <c r="AD5"/>
      <c r="AE5"/>
      <c r="AF5"/>
      <c r="AG5"/>
      <c r="AH5"/>
      <c r="AI5"/>
      <c r="AJ5"/>
      <c r="AK5"/>
      <c r="AL5"/>
    </row>
    <row r="6" spans="1:38" s="3" customFormat="1" ht="43.15">
      <c r="A6" s="4" t="s">
        <v>33</v>
      </c>
      <c r="B6" s="4" t="s">
        <v>34</v>
      </c>
      <c r="C6" s="4" t="s">
        <v>35</v>
      </c>
      <c r="D6" s="4" t="s">
        <v>36</v>
      </c>
      <c r="E6" s="4" t="s">
        <v>37</v>
      </c>
      <c r="F6" s="33"/>
      <c r="G6" s="33"/>
      <c r="H6" s="33"/>
      <c r="I6" s="33"/>
      <c r="J6" s="4"/>
      <c r="K6" s="4"/>
      <c r="L6" s="8"/>
      <c r="M6" s="9" t="s">
        <v>25</v>
      </c>
      <c r="N6" s="4" t="s">
        <v>38</v>
      </c>
      <c r="O6" s="4"/>
      <c r="P6" s="4"/>
      <c r="Q6" s="4"/>
      <c r="R6"/>
      <c r="S6"/>
      <c r="T6"/>
      <c r="U6"/>
      <c r="V6"/>
      <c r="W6"/>
      <c r="X6"/>
      <c r="Y6"/>
      <c r="Z6"/>
      <c r="AA6"/>
      <c r="AB6"/>
      <c r="AC6"/>
      <c r="AD6"/>
      <c r="AE6"/>
      <c r="AF6"/>
      <c r="AG6"/>
      <c r="AH6"/>
      <c r="AI6"/>
      <c r="AJ6"/>
      <c r="AK6"/>
      <c r="AL6"/>
    </row>
    <row r="7" spans="1:38" s="3" customFormat="1" ht="72">
      <c r="A7" s="4" t="s">
        <v>39</v>
      </c>
      <c r="B7" s="4" t="s">
        <v>40</v>
      </c>
      <c r="C7" s="4" t="s">
        <v>41</v>
      </c>
      <c r="D7" s="4" t="s">
        <v>42</v>
      </c>
      <c r="E7" s="4" t="s">
        <v>43</v>
      </c>
      <c r="F7" s="33"/>
      <c r="G7" s="33"/>
      <c r="H7" s="33"/>
      <c r="I7" s="33"/>
      <c r="J7" s="4"/>
      <c r="K7" s="4"/>
      <c r="L7" s="8" t="s">
        <v>24</v>
      </c>
      <c r="M7" s="9" t="s">
        <v>25</v>
      </c>
      <c r="N7" s="4" t="s">
        <v>44</v>
      </c>
      <c r="O7" s="4"/>
      <c r="P7" s="4"/>
      <c r="Q7" s="4"/>
      <c r="R7"/>
      <c r="S7"/>
      <c r="T7"/>
      <c r="U7"/>
      <c r="V7"/>
      <c r="W7"/>
      <c r="X7"/>
      <c r="Y7"/>
      <c r="Z7"/>
      <c r="AA7"/>
      <c r="AB7"/>
      <c r="AC7"/>
      <c r="AD7"/>
      <c r="AE7"/>
      <c r="AF7"/>
      <c r="AG7"/>
      <c r="AH7"/>
      <c r="AI7"/>
      <c r="AJ7"/>
      <c r="AK7"/>
      <c r="AL7"/>
    </row>
    <row r="8" spans="1:38" s="3" customFormat="1" ht="72">
      <c r="A8" s="4" t="s">
        <v>45</v>
      </c>
      <c r="B8" s="4" t="s">
        <v>46</v>
      </c>
      <c r="C8" s="4" t="s">
        <v>47</v>
      </c>
      <c r="D8" s="4" t="s">
        <v>48</v>
      </c>
      <c r="E8" s="4" t="s">
        <v>49</v>
      </c>
      <c r="F8" s="9"/>
      <c r="G8" s="9"/>
      <c r="H8" s="9"/>
      <c r="I8" s="9"/>
      <c r="J8" s="4"/>
      <c r="K8" s="4"/>
      <c r="L8" s="8"/>
      <c r="M8" s="36" t="s">
        <v>50</v>
      </c>
      <c r="N8" s="4" t="s">
        <v>51</v>
      </c>
      <c r="O8" s="4"/>
      <c r="P8" s="4"/>
      <c r="Q8" s="4"/>
      <c r="R8"/>
      <c r="S8"/>
      <c r="T8"/>
      <c r="U8"/>
      <c r="V8"/>
      <c r="W8"/>
      <c r="X8"/>
      <c r="Y8"/>
      <c r="Z8"/>
      <c r="AA8"/>
      <c r="AB8"/>
      <c r="AC8"/>
      <c r="AD8"/>
      <c r="AE8"/>
      <c r="AF8"/>
      <c r="AG8"/>
      <c r="AH8"/>
      <c r="AI8"/>
      <c r="AJ8"/>
      <c r="AK8"/>
      <c r="AL8"/>
    </row>
    <row r="9" spans="1:38" s="3" customFormat="1" ht="14.45">
      <c r="A9" s="164"/>
      <c r="B9" s="164"/>
      <c r="C9" s="164"/>
      <c r="D9" s="164"/>
      <c r="E9" s="164"/>
      <c r="F9" s="164"/>
      <c r="G9" s="164"/>
      <c r="H9" s="164"/>
      <c r="I9" s="164"/>
      <c r="J9" s="164"/>
      <c r="K9" s="164"/>
      <c r="L9" s="164"/>
      <c r="M9" s="164"/>
      <c r="N9" s="164"/>
      <c r="O9" s="164"/>
      <c r="P9" s="164"/>
      <c r="Q9" s="164"/>
      <c r="R9"/>
      <c r="S9"/>
      <c r="T9"/>
      <c r="U9"/>
      <c r="V9"/>
      <c r="W9"/>
      <c r="X9"/>
      <c r="Y9"/>
      <c r="Z9"/>
      <c r="AA9"/>
      <c r="AB9"/>
      <c r="AC9"/>
      <c r="AD9"/>
      <c r="AE9"/>
      <c r="AF9"/>
      <c r="AG9"/>
      <c r="AH9"/>
      <c r="AI9"/>
      <c r="AJ9"/>
      <c r="AK9"/>
      <c r="AL9"/>
    </row>
    <row r="10" spans="1:38" s="3" customFormat="1" ht="29.1" customHeight="1">
      <c r="A10" s="163" t="s">
        <v>52</v>
      </c>
      <c r="B10" s="163"/>
      <c r="C10" s="163"/>
      <c r="D10" s="163"/>
      <c r="E10" s="163"/>
      <c r="F10" s="163"/>
      <c r="G10" s="163"/>
      <c r="H10" s="163"/>
      <c r="I10" s="163"/>
      <c r="J10" s="163"/>
      <c r="K10" s="163"/>
      <c r="L10" s="163"/>
      <c r="M10" s="163"/>
      <c r="N10" s="163"/>
      <c r="O10" s="163"/>
      <c r="P10" s="163"/>
      <c r="Q10" s="163"/>
      <c r="R10"/>
      <c r="S10"/>
      <c r="T10"/>
      <c r="U10"/>
      <c r="V10"/>
      <c r="W10"/>
      <c r="X10"/>
      <c r="Y10"/>
      <c r="Z10"/>
      <c r="AA10"/>
      <c r="AB10"/>
      <c r="AC10"/>
      <c r="AD10"/>
      <c r="AE10"/>
      <c r="AF10"/>
      <c r="AG10"/>
      <c r="AH10"/>
      <c r="AI10"/>
      <c r="AJ10"/>
      <c r="AK10"/>
      <c r="AL10"/>
    </row>
    <row r="11" spans="1:38" s="3" customFormat="1" ht="43.15">
      <c r="A11" s="4" t="s">
        <v>53</v>
      </c>
      <c r="B11" s="4" t="s">
        <v>54</v>
      </c>
      <c r="C11" s="4" t="s">
        <v>55</v>
      </c>
      <c r="D11" s="4" t="s">
        <v>56</v>
      </c>
      <c r="E11" s="4" t="s">
        <v>57</v>
      </c>
      <c r="F11" s="9">
        <v>3</v>
      </c>
      <c r="G11" s="9">
        <v>3</v>
      </c>
      <c r="H11" s="9">
        <f>F11*G11</f>
        <v>9</v>
      </c>
      <c r="I11" s="9" t="s">
        <v>58</v>
      </c>
      <c r="J11" s="4" t="s">
        <v>59</v>
      </c>
      <c r="K11" s="4" t="s">
        <v>59</v>
      </c>
      <c r="L11" s="8" t="s">
        <v>24</v>
      </c>
      <c r="M11" s="9" t="s">
        <v>60</v>
      </c>
      <c r="N11" s="4" t="s">
        <v>61</v>
      </c>
      <c r="O11" s="4"/>
      <c r="P11" s="4"/>
      <c r="Q11" s="4"/>
      <c r="R11"/>
      <c r="S11"/>
      <c r="T11"/>
      <c r="U11"/>
      <c r="V11"/>
      <c r="W11"/>
      <c r="X11"/>
      <c r="Y11"/>
      <c r="Z11"/>
      <c r="AA11"/>
      <c r="AB11"/>
      <c r="AC11"/>
      <c r="AD11"/>
      <c r="AE11"/>
      <c r="AF11"/>
      <c r="AG11"/>
      <c r="AH11"/>
      <c r="AI11"/>
      <c r="AJ11"/>
      <c r="AK11"/>
      <c r="AL11"/>
    </row>
    <row r="12" spans="1:38" s="3" customFormat="1" ht="43.15">
      <c r="A12" s="4" t="s">
        <v>62</v>
      </c>
      <c r="B12" s="4" t="s">
        <v>63</v>
      </c>
      <c r="C12" s="4" t="s">
        <v>64</v>
      </c>
      <c r="D12" s="4" t="s">
        <v>65</v>
      </c>
      <c r="E12" s="4" t="s">
        <v>27</v>
      </c>
      <c r="F12" s="9">
        <v>5</v>
      </c>
      <c r="G12" s="9">
        <v>2</v>
      </c>
      <c r="H12" s="9">
        <f>F12*G12</f>
        <v>10</v>
      </c>
      <c r="I12" s="9" t="s">
        <v>58</v>
      </c>
      <c r="J12" s="4" t="s">
        <v>59</v>
      </c>
      <c r="K12" s="4" t="s">
        <v>59</v>
      </c>
      <c r="L12" s="8" t="s">
        <v>24</v>
      </c>
      <c r="M12" s="9" t="s">
        <v>25</v>
      </c>
      <c r="N12" s="4" t="s">
        <v>66</v>
      </c>
      <c r="O12" s="4"/>
      <c r="P12" s="4"/>
      <c r="Q12" s="4"/>
      <c r="R12"/>
      <c r="S12"/>
      <c r="T12"/>
      <c r="U12"/>
      <c r="V12"/>
      <c r="W12"/>
      <c r="X12"/>
      <c r="Y12"/>
      <c r="Z12"/>
      <c r="AA12"/>
      <c r="AB12"/>
      <c r="AC12"/>
      <c r="AD12"/>
      <c r="AE12"/>
      <c r="AF12"/>
      <c r="AG12"/>
      <c r="AH12"/>
      <c r="AI12"/>
      <c r="AJ12"/>
      <c r="AK12"/>
      <c r="AL12"/>
    </row>
    <row r="13" spans="1:38" s="3" customFormat="1" ht="43.15">
      <c r="A13" s="4" t="s">
        <v>67</v>
      </c>
      <c r="B13" s="4" t="s">
        <v>68</v>
      </c>
      <c r="C13" s="4" t="s">
        <v>69</v>
      </c>
      <c r="D13" s="4" t="s">
        <v>70</v>
      </c>
      <c r="E13" s="4" t="s">
        <v>71</v>
      </c>
      <c r="F13" s="9">
        <v>5</v>
      </c>
      <c r="G13" s="9">
        <v>4</v>
      </c>
      <c r="H13" s="9">
        <f>F13*G13</f>
        <v>20</v>
      </c>
      <c r="I13" s="9" t="s">
        <v>72</v>
      </c>
      <c r="J13" s="4" t="s">
        <v>59</v>
      </c>
      <c r="K13" s="4" t="s">
        <v>59</v>
      </c>
      <c r="L13" s="8" t="s">
        <v>73</v>
      </c>
      <c r="M13" s="9" t="s">
        <v>25</v>
      </c>
      <c r="N13" s="4" t="s">
        <v>74</v>
      </c>
      <c r="O13" s="4"/>
      <c r="P13" s="4"/>
      <c r="Q13" s="4"/>
      <c r="R13"/>
      <c r="S13"/>
      <c r="T13"/>
      <c r="U13"/>
      <c r="V13"/>
      <c r="W13"/>
      <c r="X13"/>
      <c r="Y13"/>
      <c r="Z13"/>
      <c r="AA13"/>
      <c r="AB13"/>
      <c r="AC13"/>
      <c r="AD13"/>
      <c r="AE13"/>
      <c r="AF13"/>
      <c r="AG13"/>
      <c r="AH13"/>
      <c r="AI13"/>
      <c r="AJ13"/>
      <c r="AK13"/>
      <c r="AL13"/>
    </row>
    <row r="14" spans="1:38" s="3" customFormat="1" ht="43.15">
      <c r="A14" s="4" t="s">
        <v>75</v>
      </c>
      <c r="B14" s="4" t="s">
        <v>76</v>
      </c>
      <c r="C14" s="4" t="s">
        <v>77</v>
      </c>
      <c r="D14" s="4" t="s">
        <v>78</v>
      </c>
      <c r="E14" s="4" t="s">
        <v>79</v>
      </c>
      <c r="F14" s="9">
        <v>3</v>
      </c>
      <c r="G14" s="9">
        <v>2</v>
      </c>
      <c r="H14" s="9">
        <f t="shared" ref="H14:H19" si="0">F14*G14</f>
        <v>6</v>
      </c>
      <c r="I14" s="9" t="s">
        <v>72</v>
      </c>
      <c r="J14" s="4" t="s">
        <v>59</v>
      </c>
      <c r="K14" s="4" t="s">
        <v>59</v>
      </c>
      <c r="L14" s="8" t="s">
        <v>80</v>
      </c>
      <c r="M14" s="9" t="s">
        <v>60</v>
      </c>
      <c r="N14" s="4" t="s">
        <v>81</v>
      </c>
      <c r="O14" s="4"/>
      <c r="P14" s="4"/>
      <c r="Q14" s="4"/>
      <c r="R14"/>
      <c r="S14"/>
      <c r="T14"/>
      <c r="U14"/>
      <c r="V14"/>
      <c r="W14"/>
      <c r="X14"/>
      <c r="Y14"/>
      <c r="Z14"/>
      <c r="AA14"/>
      <c r="AB14"/>
      <c r="AC14"/>
      <c r="AD14"/>
      <c r="AE14"/>
      <c r="AF14"/>
      <c r="AG14"/>
      <c r="AH14"/>
      <c r="AI14"/>
      <c r="AJ14"/>
      <c r="AK14"/>
      <c r="AL14"/>
    </row>
    <row r="15" spans="1:38" s="3" customFormat="1" ht="43.15">
      <c r="A15" s="4" t="s">
        <v>82</v>
      </c>
      <c r="B15" s="4" t="s">
        <v>83</v>
      </c>
      <c r="C15" s="4" t="s">
        <v>84</v>
      </c>
      <c r="D15" s="4" t="s">
        <v>85</v>
      </c>
      <c r="E15" s="4" t="s">
        <v>79</v>
      </c>
      <c r="F15" s="9">
        <v>3</v>
      </c>
      <c r="G15" s="9">
        <v>3</v>
      </c>
      <c r="H15" s="9">
        <f t="shared" si="0"/>
        <v>9</v>
      </c>
      <c r="I15" s="9" t="s">
        <v>72</v>
      </c>
      <c r="J15" s="4" t="s">
        <v>59</v>
      </c>
      <c r="K15" s="4" t="s">
        <v>59</v>
      </c>
      <c r="L15" s="8" t="s">
        <v>86</v>
      </c>
      <c r="M15" s="9" t="s">
        <v>87</v>
      </c>
      <c r="N15" s="4" t="s">
        <v>88</v>
      </c>
      <c r="O15" s="4"/>
      <c r="P15" s="4"/>
      <c r="Q15" s="4"/>
      <c r="R15"/>
      <c r="S15"/>
      <c r="T15"/>
      <c r="U15"/>
      <c r="V15"/>
      <c r="W15"/>
      <c r="X15"/>
      <c r="Y15"/>
      <c r="Z15"/>
      <c r="AA15"/>
      <c r="AB15"/>
      <c r="AC15"/>
      <c r="AD15"/>
      <c r="AE15"/>
      <c r="AF15"/>
      <c r="AG15"/>
      <c r="AH15"/>
      <c r="AI15"/>
      <c r="AJ15"/>
      <c r="AK15"/>
      <c r="AL15"/>
    </row>
    <row r="16" spans="1:38" s="6" customFormat="1" ht="43.15">
      <c r="A16" s="37" t="s">
        <v>89</v>
      </c>
      <c r="B16" s="37" t="s">
        <v>90</v>
      </c>
      <c r="C16" s="37" t="s">
        <v>91</v>
      </c>
      <c r="D16" s="37" t="s">
        <v>92</v>
      </c>
      <c r="E16" s="37" t="s">
        <v>93</v>
      </c>
      <c r="F16" s="9">
        <v>5</v>
      </c>
      <c r="G16" s="9">
        <v>2</v>
      </c>
      <c r="H16" s="9">
        <f t="shared" si="0"/>
        <v>10</v>
      </c>
      <c r="I16" s="9" t="s">
        <v>72</v>
      </c>
      <c r="J16" s="4" t="s">
        <v>59</v>
      </c>
      <c r="K16" s="4" t="s">
        <v>59</v>
      </c>
      <c r="L16" s="8" t="s">
        <v>80</v>
      </c>
      <c r="M16" s="39" t="s">
        <v>60</v>
      </c>
      <c r="N16" s="37" t="s">
        <v>94</v>
      </c>
      <c r="O16" s="37"/>
      <c r="P16" s="37"/>
      <c r="Q16" s="37"/>
      <c r="S16" s="7"/>
      <c r="T16" s="7"/>
      <c r="U16" s="7"/>
      <c r="V16" s="7"/>
      <c r="W16" s="7"/>
      <c r="X16" s="7"/>
      <c r="Y16" s="7"/>
      <c r="Z16" s="7"/>
      <c r="AA16" s="7"/>
      <c r="AB16" s="7"/>
      <c r="AC16" s="7"/>
      <c r="AD16" s="7"/>
      <c r="AE16" s="7"/>
      <c r="AF16" s="7"/>
      <c r="AG16" s="7"/>
      <c r="AH16" s="7"/>
      <c r="AI16" s="7"/>
      <c r="AJ16" s="7"/>
      <c r="AK16" s="7"/>
      <c r="AL16" s="7"/>
    </row>
    <row r="17" spans="1:38" s="6" customFormat="1" ht="43.15">
      <c r="A17" s="37" t="s">
        <v>95</v>
      </c>
      <c r="B17" s="37" t="s">
        <v>96</v>
      </c>
      <c r="C17" s="37" t="s">
        <v>97</v>
      </c>
      <c r="D17" s="37" t="s">
        <v>98</v>
      </c>
      <c r="E17" s="37" t="s">
        <v>99</v>
      </c>
      <c r="F17" s="9">
        <v>5</v>
      </c>
      <c r="G17" s="9">
        <v>3</v>
      </c>
      <c r="H17" s="9">
        <f t="shared" si="0"/>
        <v>15</v>
      </c>
      <c r="I17" s="9" t="s">
        <v>72</v>
      </c>
      <c r="J17" s="4" t="s">
        <v>59</v>
      </c>
      <c r="K17" s="4" t="s">
        <v>59</v>
      </c>
      <c r="L17" s="8" t="s">
        <v>86</v>
      </c>
      <c r="M17" s="39" t="s">
        <v>100</v>
      </c>
      <c r="N17" s="37" t="s">
        <v>101</v>
      </c>
      <c r="O17" s="37"/>
      <c r="P17" s="37"/>
      <c r="Q17" s="37"/>
      <c r="R17" s="7"/>
      <c r="S17" s="7"/>
      <c r="T17" s="7"/>
      <c r="U17" s="7"/>
      <c r="V17" s="7"/>
      <c r="W17" s="7"/>
      <c r="X17" s="7"/>
      <c r="Y17" s="7"/>
      <c r="Z17" s="7"/>
      <c r="AA17" s="7"/>
      <c r="AB17" s="7"/>
      <c r="AC17" s="7"/>
      <c r="AD17" s="7"/>
      <c r="AE17" s="7"/>
      <c r="AF17" s="7"/>
      <c r="AG17" s="7"/>
      <c r="AH17" s="7"/>
      <c r="AI17" s="7"/>
      <c r="AJ17" s="7"/>
      <c r="AK17" s="7"/>
      <c r="AL17" s="7"/>
    </row>
    <row r="18" spans="1:38" s="3" customFormat="1" ht="43.15">
      <c r="A18" s="4" t="s">
        <v>102</v>
      </c>
      <c r="B18" s="4" t="s">
        <v>103</v>
      </c>
      <c r="C18" s="4" t="s">
        <v>104</v>
      </c>
      <c r="D18" s="4" t="s">
        <v>105</v>
      </c>
      <c r="E18" s="4" t="s">
        <v>19</v>
      </c>
      <c r="F18" s="9">
        <v>5</v>
      </c>
      <c r="G18" s="9">
        <v>2</v>
      </c>
      <c r="H18" s="9">
        <f t="shared" si="0"/>
        <v>10</v>
      </c>
      <c r="I18" s="9" t="s">
        <v>72</v>
      </c>
      <c r="J18" s="4" t="s">
        <v>59</v>
      </c>
      <c r="K18" s="4" t="s">
        <v>59</v>
      </c>
      <c r="L18" s="8" t="s">
        <v>86</v>
      </c>
      <c r="M18" s="9" t="s">
        <v>25</v>
      </c>
      <c r="N18" s="4" t="s">
        <v>106</v>
      </c>
      <c r="O18" s="4"/>
      <c r="P18" s="4"/>
      <c r="Q18" s="4"/>
      <c r="R18"/>
      <c r="S18"/>
      <c r="T18"/>
      <c r="U18"/>
      <c r="V18"/>
      <c r="W18"/>
      <c r="X18"/>
      <c r="Y18"/>
      <c r="Z18"/>
      <c r="AA18"/>
      <c r="AB18"/>
      <c r="AC18"/>
      <c r="AD18"/>
      <c r="AE18"/>
      <c r="AF18"/>
      <c r="AG18"/>
      <c r="AH18"/>
      <c r="AI18"/>
      <c r="AJ18"/>
      <c r="AK18"/>
      <c r="AL18"/>
    </row>
    <row r="19" spans="1:38" s="3" customFormat="1" ht="43.15">
      <c r="A19" s="4" t="s">
        <v>107</v>
      </c>
      <c r="B19" s="4" t="s">
        <v>108</v>
      </c>
      <c r="C19" s="4" t="s">
        <v>109</v>
      </c>
      <c r="D19" s="4" t="s">
        <v>110</v>
      </c>
      <c r="E19" s="4" t="s">
        <v>19</v>
      </c>
      <c r="F19" s="9">
        <v>4</v>
      </c>
      <c r="G19" s="9">
        <v>1</v>
      </c>
      <c r="H19" s="9">
        <f t="shared" si="0"/>
        <v>4</v>
      </c>
      <c r="I19" s="9" t="s">
        <v>58</v>
      </c>
      <c r="J19" s="4" t="s">
        <v>59</v>
      </c>
      <c r="K19" s="4" t="s">
        <v>59</v>
      </c>
      <c r="L19" s="8" t="s">
        <v>80</v>
      </c>
      <c r="M19" s="9" t="s">
        <v>25</v>
      </c>
      <c r="N19" s="4" t="s">
        <v>111</v>
      </c>
      <c r="O19" s="4"/>
      <c r="P19" s="4"/>
      <c r="Q19" s="4"/>
      <c r="R19"/>
      <c r="S19"/>
      <c r="T19"/>
      <c r="U19"/>
      <c r="V19"/>
      <c r="W19"/>
      <c r="X19"/>
      <c r="Y19"/>
      <c r="Z19"/>
      <c r="AA19"/>
      <c r="AB19"/>
      <c r="AC19"/>
      <c r="AD19"/>
      <c r="AE19"/>
      <c r="AF19"/>
      <c r="AG19"/>
      <c r="AH19"/>
      <c r="AI19"/>
      <c r="AJ19"/>
      <c r="AK19"/>
      <c r="AL19"/>
    </row>
    <row r="20" spans="1:38" s="3" customFormat="1" ht="57.6">
      <c r="A20" s="4" t="s">
        <v>112</v>
      </c>
      <c r="B20" s="4" t="s">
        <v>113</v>
      </c>
      <c r="C20" s="4" t="s">
        <v>114</v>
      </c>
      <c r="D20" s="4" t="s">
        <v>115</v>
      </c>
      <c r="E20" s="4" t="s">
        <v>19</v>
      </c>
      <c r="F20" s="9">
        <v>4</v>
      </c>
      <c r="G20" s="9">
        <v>1</v>
      </c>
      <c r="H20" s="9">
        <f>F20*G20</f>
        <v>4</v>
      </c>
      <c r="I20" s="9" t="s">
        <v>58</v>
      </c>
      <c r="J20" s="4" t="s">
        <v>59</v>
      </c>
      <c r="K20" s="4" t="s">
        <v>59</v>
      </c>
      <c r="L20" s="8" t="s">
        <v>86</v>
      </c>
      <c r="M20" s="9" t="s">
        <v>116</v>
      </c>
      <c r="N20" s="4" t="s">
        <v>117</v>
      </c>
      <c r="O20" s="4"/>
      <c r="P20" s="4"/>
      <c r="Q20" s="4"/>
      <c r="R20"/>
      <c r="S20"/>
      <c r="T20"/>
      <c r="U20"/>
      <c r="V20"/>
      <c r="W20"/>
      <c r="X20"/>
      <c r="Y20"/>
      <c r="Z20"/>
      <c r="AA20"/>
      <c r="AB20"/>
      <c r="AC20"/>
      <c r="AD20"/>
      <c r="AE20"/>
      <c r="AF20"/>
      <c r="AG20"/>
      <c r="AH20"/>
      <c r="AI20"/>
      <c r="AJ20"/>
      <c r="AK20"/>
      <c r="AL20"/>
    </row>
    <row r="21" spans="1:38" s="3" customFormat="1" ht="14.45">
      <c r="A21" s="4"/>
      <c r="B21" s="4"/>
      <c r="C21" s="4"/>
      <c r="D21" s="4"/>
      <c r="E21" s="4"/>
      <c r="F21" s="9"/>
      <c r="G21" s="9"/>
      <c r="H21" s="9"/>
      <c r="I21" s="9"/>
      <c r="J21" s="4"/>
      <c r="K21" s="4"/>
      <c r="L21" s="8"/>
      <c r="M21" s="4"/>
      <c r="N21" s="4"/>
      <c r="O21" s="4"/>
      <c r="P21" s="4"/>
      <c r="Q21" s="4"/>
      <c r="R21"/>
      <c r="S21"/>
      <c r="T21"/>
      <c r="U21"/>
      <c r="V21"/>
      <c r="W21"/>
      <c r="X21"/>
      <c r="Y21"/>
      <c r="Z21"/>
      <c r="AA21"/>
      <c r="AB21"/>
      <c r="AC21"/>
      <c r="AD21"/>
      <c r="AE21"/>
      <c r="AF21"/>
      <c r="AG21"/>
      <c r="AH21"/>
      <c r="AI21"/>
      <c r="AJ21"/>
      <c r="AK21"/>
      <c r="AL21"/>
    </row>
    <row r="22" spans="1:38" s="3" customFormat="1" ht="29.1" customHeight="1">
      <c r="A22" s="163" t="s">
        <v>118</v>
      </c>
      <c r="B22" s="163"/>
      <c r="C22" s="163"/>
      <c r="D22" s="163"/>
      <c r="E22" s="163"/>
      <c r="F22" s="163"/>
      <c r="G22" s="163"/>
      <c r="H22" s="163"/>
      <c r="I22" s="163"/>
      <c r="J22" s="163"/>
      <c r="K22" s="163"/>
      <c r="L22" s="163"/>
      <c r="M22" s="163"/>
      <c r="N22" s="163"/>
      <c r="O22" s="163"/>
      <c r="P22" s="163"/>
      <c r="Q22" s="163"/>
      <c r="R22"/>
      <c r="S22"/>
      <c r="T22"/>
      <c r="U22"/>
      <c r="V22"/>
      <c r="W22"/>
      <c r="X22"/>
      <c r="Y22"/>
      <c r="Z22"/>
      <c r="AA22"/>
      <c r="AB22"/>
      <c r="AC22"/>
      <c r="AD22"/>
      <c r="AE22"/>
      <c r="AF22"/>
      <c r="AG22"/>
      <c r="AH22"/>
      <c r="AI22"/>
      <c r="AJ22"/>
      <c r="AK22"/>
      <c r="AL22"/>
    </row>
    <row r="23" spans="1:38" s="5" customFormat="1" ht="15.6">
      <c r="A23" s="161" t="s">
        <v>119</v>
      </c>
      <c r="B23" s="161"/>
      <c r="C23" s="161"/>
      <c r="D23" s="161"/>
      <c r="E23" s="161"/>
      <c r="F23" s="161"/>
      <c r="G23" s="161"/>
      <c r="H23" s="161"/>
      <c r="I23" s="161"/>
      <c r="J23" s="161"/>
      <c r="K23" s="161"/>
      <c r="L23" s="161"/>
      <c r="M23" s="161"/>
      <c r="N23" s="161"/>
      <c r="O23" s="161"/>
      <c r="P23" s="161"/>
      <c r="Q23" s="161"/>
      <c r="R23"/>
      <c r="S23"/>
      <c r="T23"/>
      <c r="U23"/>
      <c r="V23"/>
      <c r="W23"/>
      <c r="X23"/>
      <c r="Y23"/>
      <c r="Z23"/>
      <c r="AA23"/>
      <c r="AB23"/>
      <c r="AC23"/>
      <c r="AD23"/>
      <c r="AE23"/>
      <c r="AF23"/>
      <c r="AG23"/>
      <c r="AH23"/>
      <c r="AI23"/>
      <c r="AJ23"/>
      <c r="AK23"/>
      <c r="AL23"/>
    </row>
    <row r="24" spans="1:38" s="3" customFormat="1" ht="43.15">
      <c r="A24" s="40" t="s">
        <v>120</v>
      </c>
      <c r="B24" s="40" t="s">
        <v>121</v>
      </c>
      <c r="C24" s="40" t="s">
        <v>122</v>
      </c>
      <c r="D24" s="40" t="s">
        <v>123</v>
      </c>
      <c r="E24" s="40" t="s">
        <v>124</v>
      </c>
      <c r="F24" s="9">
        <v>2</v>
      </c>
      <c r="G24" s="9">
        <v>2</v>
      </c>
      <c r="H24" s="9">
        <f t="shared" ref="H24:H51" si="1">F24*G24</f>
        <v>4</v>
      </c>
      <c r="I24" s="9"/>
      <c r="J24" s="40" t="s">
        <v>125</v>
      </c>
      <c r="K24" s="40" t="s">
        <v>125</v>
      </c>
      <c r="L24" s="8" t="s">
        <v>24</v>
      </c>
      <c r="M24" s="41" t="s">
        <v>25</v>
      </c>
      <c r="N24" s="40" t="s">
        <v>126</v>
      </c>
      <c r="O24" s="40" t="s">
        <v>125</v>
      </c>
      <c r="P24" s="40" t="s">
        <v>125</v>
      </c>
      <c r="Q24" s="40" t="s">
        <v>125</v>
      </c>
      <c r="R24" s="24"/>
      <c r="S24" s="24"/>
      <c r="T24" s="24"/>
      <c r="U24" s="24"/>
      <c r="V24" s="24"/>
      <c r="W24" s="24"/>
      <c r="X24" s="24"/>
      <c r="Y24" s="24"/>
      <c r="Z24" s="24"/>
      <c r="AA24" s="24"/>
      <c r="AB24" s="24"/>
      <c r="AC24" s="24"/>
      <c r="AD24" s="24"/>
      <c r="AE24" s="24"/>
      <c r="AF24" s="24"/>
      <c r="AG24" s="24"/>
      <c r="AH24" s="24"/>
      <c r="AI24" s="24"/>
      <c r="AJ24" s="24"/>
      <c r="AK24" s="24"/>
      <c r="AL24" s="24"/>
    </row>
    <row r="25" spans="1:38" s="3" customFormat="1" ht="28.9">
      <c r="A25" s="40" t="s">
        <v>127</v>
      </c>
      <c r="B25" s="40" t="s">
        <v>128</v>
      </c>
      <c r="C25" s="40" t="s">
        <v>129</v>
      </c>
      <c r="D25" s="40" t="s">
        <v>130</v>
      </c>
      <c r="E25" s="40" t="s">
        <v>102</v>
      </c>
      <c r="F25" s="9">
        <v>3</v>
      </c>
      <c r="G25" s="9">
        <v>1</v>
      </c>
      <c r="H25" s="9">
        <f t="shared" si="1"/>
        <v>3</v>
      </c>
      <c r="I25" s="9"/>
      <c r="J25" s="40"/>
      <c r="K25" s="40"/>
      <c r="L25" s="8"/>
      <c r="M25" s="42" t="s">
        <v>87</v>
      </c>
      <c r="N25" s="40" t="s">
        <v>131</v>
      </c>
      <c r="O25" s="40"/>
      <c r="P25" s="40"/>
      <c r="Q25" s="40"/>
      <c r="R25" s="24"/>
      <c r="S25" s="24"/>
      <c r="T25" s="24"/>
      <c r="U25" s="24"/>
      <c r="V25" s="24"/>
      <c r="W25" s="24"/>
      <c r="X25" s="24"/>
      <c r="Y25" s="24"/>
      <c r="Z25" s="24"/>
      <c r="AA25" s="24"/>
      <c r="AB25" s="24"/>
      <c r="AC25" s="24"/>
      <c r="AD25" s="24"/>
      <c r="AE25" s="24"/>
      <c r="AF25" s="24"/>
      <c r="AG25" s="24"/>
      <c r="AH25" s="24"/>
      <c r="AI25" s="24"/>
      <c r="AJ25" s="24"/>
      <c r="AK25" s="24"/>
      <c r="AL25" s="24"/>
    </row>
    <row r="26" spans="1:38" s="3" customFormat="1" ht="28.9">
      <c r="A26" s="40" t="s">
        <v>132</v>
      </c>
      <c r="B26" s="40" t="s">
        <v>133</v>
      </c>
      <c r="C26" s="40" t="s">
        <v>134</v>
      </c>
      <c r="D26" s="40" t="s">
        <v>135</v>
      </c>
      <c r="E26" s="40" t="s">
        <v>62</v>
      </c>
      <c r="F26" s="9">
        <v>3</v>
      </c>
      <c r="G26" s="9">
        <v>1</v>
      </c>
      <c r="H26" s="9">
        <f t="shared" si="1"/>
        <v>3</v>
      </c>
      <c r="I26" s="9"/>
      <c r="J26" s="40" t="s">
        <v>125</v>
      </c>
      <c r="K26" s="40" t="s">
        <v>125</v>
      </c>
      <c r="L26" s="8" t="s">
        <v>24</v>
      </c>
      <c r="M26" s="41" t="s">
        <v>136</v>
      </c>
      <c r="N26" s="40" t="s">
        <v>137</v>
      </c>
      <c r="O26" s="40" t="s">
        <v>125</v>
      </c>
      <c r="P26" s="40" t="s">
        <v>125</v>
      </c>
      <c r="Q26" s="40" t="s">
        <v>125</v>
      </c>
      <c r="R26" s="24"/>
      <c r="S26" s="24"/>
      <c r="T26" s="24"/>
      <c r="U26" s="24"/>
      <c r="V26" s="24"/>
      <c r="W26" s="24"/>
      <c r="X26" s="24"/>
      <c r="Y26" s="24"/>
      <c r="Z26" s="24"/>
      <c r="AA26" s="24"/>
      <c r="AB26" s="24"/>
      <c r="AC26" s="24"/>
      <c r="AD26" s="24"/>
      <c r="AE26" s="24"/>
      <c r="AF26" s="24"/>
      <c r="AG26" s="24"/>
      <c r="AH26" s="24"/>
      <c r="AI26" s="24"/>
      <c r="AJ26" s="24"/>
      <c r="AK26" s="24"/>
      <c r="AL26" s="24"/>
    </row>
    <row r="27" spans="1:38" s="3" customFormat="1" ht="29.25">
      <c r="A27" s="40" t="s">
        <v>138</v>
      </c>
      <c r="B27" s="40" t="s">
        <v>139</v>
      </c>
      <c r="C27" s="40" t="s">
        <v>140</v>
      </c>
      <c r="D27" s="40"/>
      <c r="E27" s="40" t="s">
        <v>95</v>
      </c>
      <c r="F27" s="9">
        <v>5</v>
      </c>
      <c r="G27" s="9">
        <v>4</v>
      </c>
      <c r="H27" s="9">
        <f t="shared" si="1"/>
        <v>20</v>
      </c>
      <c r="I27" s="9"/>
      <c r="J27" s="40"/>
      <c r="K27" s="40"/>
      <c r="L27" s="8"/>
      <c r="M27" s="41" t="s">
        <v>87</v>
      </c>
      <c r="N27" s="40" t="s">
        <v>141</v>
      </c>
      <c r="O27" s="40"/>
      <c r="P27" s="40"/>
      <c r="Q27" s="40"/>
      <c r="R27" s="24"/>
      <c r="S27" s="24"/>
      <c r="T27" s="24"/>
      <c r="U27" s="24"/>
      <c r="V27" s="24"/>
      <c r="W27" s="24"/>
      <c r="X27" s="24"/>
      <c r="Y27" s="24"/>
      <c r="Z27" s="24"/>
      <c r="AA27" s="24"/>
      <c r="AB27" s="24"/>
      <c r="AC27" s="24"/>
      <c r="AD27" s="24"/>
      <c r="AE27" s="24"/>
      <c r="AF27" s="24"/>
      <c r="AG27" s="24"/>
      <c r="AH27" s="24"/>
      <c r="AI27" s="24"/>
      <c r="AJ27" s="24"/>
      <c r="AK27" s="24"/>
      <c r="AL27" s="24"/>
    </row>
    <row r="28" spans="1:38" s="3" customFormat="1" ht="29.25">
      <c r="A28" s="40" t="s">
        <v>142</v>
      </c>
      <c r="B28" s="40" t="s">
        <v>143</v>
      </c>
      <c r="C28" s="40" t="s">
        <v>144</v>
      </c>
      <c r="D28" s="40"/>
      <c r="E28" s="40" t="s">
        <v>95</v>
      </c>
      <c r="F28" s="9">
        <v>5</v>
      </c>
      <c r="G28" s="9">
        <v>4</v>
      </c>
      <c r="H28" s="9">
        <f t="shared" si="1"/>
        <v>20</v>
      </c>
      <c r="I28" s="9"/>
      <c r="J28" s="40"/>
      <c r="K28" s="40"/>
      <c r="L28" s="8"/>
      <c r="M28" s="41" t="s">
        <v>87</v>
      </c>
      <c r="N28" s="40" t="s">
        <v>145</v>
      </c>
      <c r="O28" s="40"/>
      <c r="P28" s="40"/>
      <c r="Q28" s="40"/>
      <c r="R28" s="24"/>
      <c r="S28" s="24"/>
      <c r="T28" s="24"/>
      <c r="U28" s="24"/>
      <c r="V28" s="24"/>
      <c r="W28" s="24"/>
      <c r="X28" s="24"/>
      <c r="Y28" s="24"/>
      <c r="Z28" s="24"/>
      <c r="AA28" s="24"/>
      <c r="AB28" s="24"/>
      <c r="AC28" s="24"/>
      <c r="AD28" s="24"/>
      <c r="AE28" s="24"/>
      <c r="AF28" s="24"/>
      <c r="AG28" s="24"/>
      <c r="AH28" s="24"/>
      <c r="AI28" s="24"/>
      <c r="AJ28" s="24"/>
      <c r="AK28" s="24"/>
      <c r="AL28" s="24"/>
    </row>
    <row r="29" spans="1:38" s="3" customFormat="1" ht="28.9">
      <c r="A29" s="40" t="s">
        <v>146</v>
      </c>
      <c r="B29" s="40" t="s">
        <v>147</v>
      </c>
      <c r="C29" s="40" t="s">
        <v>148</v>
      </c>
      <c r="D29" s="40" t="s">
        <v>149</v>
      </c>
      <c r="E29" s="40" t="s">
        <v>62</v>
      </c>
      <c r="F29" s="9">
        <v>4</v>
      </c>
      <c r="G29" s="9">
        <v>1</v>
      </c>
      <c r="H29" s="9">
        <f t="shared" si="1"/>
        <v>4</v>
      </c>
      <c r="I29" s="9"/>
      <c r="J29" s="40" t="s">
        <v>125</v>
      </c>
      <c r="K29" s="40" t="s">
        <v>125</v>
      </c>
      <c r="L29" s="8" t="s">
        <v>24</v>
      </c>
      <c r="M29" s="41" t="s">
        <v>60</v>
      </c>
      <c r="N29" s="40" t="s">
        <v>150</v>
      </c>
      <c r="O29" s="40" t="s">
        <v>125</v>
      </c>
      <c r="P29" s="40" t="s">
        <v>125</v>
      </c>
      <c r="Q29" s="40" t="s">
        <v>125</v>
      </c>
      <c r="R29" s="24"/>
      <c r="S29" s="24"/>
      <c r="T29" s="24"/>
      <c r="U29" s="24"/>
      <c r="V29" s="24"/>
      <c r="W29" s="24"/>
      <c r="X29" s="24"/>
      <c r="Y29" s="24"/>
      <c r="Z29" s="24"/>
      <c r="AA29" s="24"/>
      <c r="AB29" s="24"/>
      <c r="AC29" s="24"/>
      <c r="AD29" s="24"/>
      <c r="AE29" s="24"/>
      <c r="AF29" s="24"/>
      <c r="AG29" s="24"/>
      <c r="AH29" s="24"/>
      <c r="AI29" s="24"/>
      <c r="AJ29" s="24"/>
      <c r="AK29" s="24"/>
      <c r="AL29" s="24"/>
    </row>
    <row r="30" spans="1:38" s="3" customFormat="1" ht="14.45">
      <c r="A30" s="40" t="s">
        <v>151</v>
      </c>
      <c r="B30" s="40" t="s">
        <v>152</v>
      </c>
      <c r="C30" s="40" t="s">
        <v>153</v>
      </c>
      <c r="D30" s="43" t="s">
        <v>149</v>
      </c>
      <c r="E30" s="40" t="s">
        <v>62</v>
      </c>
      <c r="F30" s="9">
        <v>4</v>
      </c>
      <c r="G30" s="9">
        <v>2</v>
      </c>
      <c r="H30" s="9">
        <f t="shared" si="1"/>
        <v>8</v>
      </c>
      <c r="I30" s="9"/>
      <c r="J30" s="40" t="s">
        <v>125</v>
      </c>
      <c r="K30" s="40" t="s">
        <v>125</v>
      </c>
      <c r="L30" s="8" t="s">
        <v>24</v>
      </c>
      <c r="M30" s="41" t="s">
        <v>154</v>
      </c>
      <c r="N30" s="40" t="s">
        <v>155</v>
      </c>
      <c r="O30" s="40" t="s">
        <v>125</v>
      </c>
      <c r="P30" s="40" t="s">
        <v>125</v>
      </c>
      <c r="Q30" s="40" t="s">
        <v>125</v>
      </c>
      <c r="R30" s="24"/>
      <c r="S30" s="24"/>
      <c r="T30" s="24"/>
      <c r="U30" s="24"/>
      <c r="V30" s="24"/>
      <c r="W30" s="24"/>
      <c r="X30" s="24"/>
      <c r="Y30" s="24"/>
      <c r="Z30" s="24"/>
      <c r="AA30" s="24"/>
      <c r="AB30" s="24"/>
      <c r="AC30" s="24"/>
      <c r="AD30" s="24"/>
      <c r="AE30" s="24"/>
      <c r="AF30" s="24"/>
      <c r="AG30" s="24"/>
      <c r="AH30" s="24"/>
      <c r="AI30" s="24"/>
      <c r="AJ30" s="24"/>
      <c r="AK30" s="24"/>
      <c r="AL30" s="24"/>
    </row>
    <row r="31" spans="1:38" s="3" customFormat="1" ht="14.45">
      <c r="A31" s="40" t="s">
        <v>156</v>
      </c>
      <c r="B31" s="40" t="s">
        <v>157</v>
      </c>
      <c r="C31" s="40" t="s">
        <v>158</v>
      </c>
      <c r="D31" s="43" t="s">
        <v>149</v>
      </c>
      <c r="E31" s="40" t="s">
        <v>62</v>
      </c>
      <c r="F31" s="9">
        <v>4</v>
      </c>
      <c r="G31" s="9">
        <v>1</v>
      </c>
      <c r="H31" s="9">
        <f t="shared" si="1"/>
        <v>4</v>
      </c>
      <c r="I31" s="9"/>
      <c r="J31" s="40" t="s">
        <v>59</v>
      </c>
      <c r="K31" s="40" t="s">
        <v>59</v>
      </c>
      <c r="L31" s="8" t="s">
        <v>24</v>
      </c>
      <c r="M31" s="41" t="s">
        <v>154</v>
      </c>
      <c r="N31" s="40" t="s">
        <v>159</v>
      </c>
      <c r="O31" s="40" t="s">
        <v>125</v>
      </c>
      <c r="P31" s="40" t="s">
        <v>125</v>
      </c>
      <c r="Q31" s="40" t="s">
        <v>125</v>
      </c>
      <c r="R31" s="24"/>
      <c r="S31" s="24"/>
      <c r="T31" s="24"/>
      <c r="U31" s="24"/>
      <c r="V31" s="24"/>
      <c r="W31" s="24"/>
      <c r="X31" s="24"/>
      <c r="Y31" s="24"/>
      <c r="Z31" s="24"/>
      <c r="AA31" s="24"/>
      <c r="AB31" s="24"/>
      <c r="AC31" s="24"/>
      <c r="AD31" s="24"/>
      <c r="AE31" s="24"/>
      <c r="AF31" s="24"/>
      <c r="AG31" s="24"/>
      <c r="AH31" s="24"/>
      <c r="AI31" s="24"/>
      <c r="AJ31" s="24"/>
      <c r="AK31" s="24"/>
      <c r="AL31" s="24"/>
    </row>
    <row r="32" spans="1:38" s="3" customFormat="1" ht="28.9">
      <c r="A32" s="40" t="s">
        <v>160</v>
      </c>
      <c r="B32" s="40" t="s">
        <v>161</v>
      </c>
      <c r="C32" s="44" t="s">
        <v>162</v>
      </c>
      <c r="D32" s="40" t="s">
        <v>163</v>
      </c>
      <c r="E32" s="40" t="s">
        <v>62</v>
      </c>
      <c r="F32" s="9">
        <v>4</v>
      </c>
      <c r="G32" s="9">
        <v>3</v>
      </c>
      <c r="H32" s="9">
        <f t="shared" si="1"/>
        <v>12</v>
      </c>
      <c r="I32" s="9"/>
      <c r="J32" s="40" t="s">
        <v>125</v>
      </c>
      <c r="K32" s="40" t="s">
        <v>125</v>
      </c>
      <c r="L32" s="8" t="s">
        <v>24</v>
      </c>
      <c r="M32" s="41" t="s">
        <v>164</v>
      </c>
      <c r="N32" s="40" t="s">
        <v>165</v>
      </c>
      <c r="O32" s="40" t="s">
        <v>125</v>
      </c>
      <c r="P32" s="40" t="s">
        <v>125</v>
      </c>
      <c r="Q32" s="40" t="s">
        <v>125</v>
      </c>
      <c r="R32" s="24"/>
      <c r="S32" s="24"/>
      <c r="T32" s="24"/>
      <c r="U32" s="24"/>
      <c r="V32" s="24"/>
      <c r="W32" s="24"/>
      <c r="X32" s="24"/>
      <c r="Y32" s="24"/>
      <c r="Z32" s="24"/>
      <c r="AA32" s="24"/>
      <c r="AB32" s="24"/>
      <c r="AC32" s="24"/>
      <c r="AD32" s="24"/>
      <c r="AE32" s="24"/>
      <c r="AF32" s="24"/>
      <c r="AG32" s="24"/>
      <c r="AH32" s="24"/>
      <c r="AI32" s="24"/>
      <c r="AJ32" s="24"/>
      <c r="AK32" s="24"/>
      <c r="AL32" s="24"/>
    </row>
    <row r="33" spans="1:38" s="3" customFormat="1" ht="43.15">
      <c r="A33" s="40" t="s">
        <v>166</v>
      </c>
      <c r="B33" s="40" t="s">
        <v>167</v>
      </c>
      <c r="C33" s="40" t="s">
        <v>168</v>
      </c>
      <c r="D33" s="40" t="s">
        <v>169</v>
      </c>
      <c r="E33" s="40" t="s">
        <v>170</v>
      </c>
      <c r="F33" s="9">
        <v>2</v>
      </c>
      <c r="G33" s="9">
        <v>2</v>
      </c>
      <c r="H33" s="9">
        <f t="shared" si="1"/>
        <v>4</v>
      </c>
      <c r="I33" s="9"/>
      <c r="J33" s="40" t="s">
        <v>59</v>
      </c>
      <c r="K33" s="40" t="s">
        <v>59</v>
      </c>
      <c r="L33" s="8" t="s">
        <v>24</v>
      </c>
      <c r="M33" s="41" t="s">
        <v>60</v>
      </c>
      <c r="N33" s="40" t="s">
        <v>171</v>
      </c>
      <c r="O33" s="40" t="s">
        <v>125</v>
      </c>
      <c r="P33" s="40" t="s">
        <v>125</v>
      </c>
      <c r="Q33" s="40" t="s">
        <v>125</v>
      </c>
      <c r="R33" s="24"/>
      <c r="S33" s="24"/>
      <c r="T33" s="24"/>
      <c r="U33" s="24"/>
      <c r="V33" s="24"/>
      <c r="W33" s="24"/>
      <c r="X33" s="24"/>
      <c r="Y33" s="24"/>
      <c r="Z33" s="24"/>
      <c r="AA33" s="24"/>
      <c r="AB33" s="24"/>
      <c r="AC33" s="24"/>
      <c r="AD33" s="24"/>
      <c r="AE33" s="24"/>
      <c r="AF33" s="24"/>
      <c r="AG33" s="24"/>
      <c r="AH33" s="24"/>
      <c r="AI33" s="24"/>
      <c r="AJ33" s="24"/>
      <c r="AK33" s="24"/>
      <c r="AL33" s="24"/>
    </row>
    <row r="34" spans="1:38" s="3" customFormat="1" ht="43.15">
      <c r="A34" s="40" t="s">
        <v>172</v>
      </c>
      <c r="B34" s="40" t="s">
        <v>173</v>
      </c>
      <c r="C34" s="40" t="s">
        <v>174</v>
      </c>
      <c r="D34" s="40" t="s">
        <v>175</v>
      </c>
      <c r="E34" s="43" t="s">
        <v>107</v>
      </c>
      <c r="F34" s="9">
        <v>2</v>
      </c>
      <c r="G34" s="9">
        <v>2</v>
      </c>
      <c r="H34" s="9">
        <f t="shared" si="1"/>
        <v>4</v>
      </c>
      <c r="I34" s="9"/>
      <c r="J34" s="45" t="s">
        <v>176</v>
      </c>
      <c r="K34" s="40" t="s">
        <v>177</v>
      </c>
      <c r="L34" s="8" t="s">
        <v>24</v>
      </c>
      <c r="M34" s="41" t="s">
        <v>136</v>
      </c>
      <c r="N34" s="40" t="s">
        <v>178</v>
      </c>
      <c r="O34" s="40" t="s">
        <v>125</v>
      </c>
      <c r="P34" s="40" t="s">
        <v>125</v>
      </c>
      <c r="Q34" s="40" t="s">
        <v>125</v>
      </c>
      <c r="R34" s="24"/>
      <c r="S34" s="24"/>
      <c r="T34" s="24"/>
      <c r="U34" s="24"/>
      <c r="V34" s="24"/>
      <c r="W34" s="24"/>
      <c r="X34" s="24"/>
      <c r="Y34" s="24"/>
      <c r="Z34" s="24"/>
      <c r="AA34" s="24"/>
      <c r="AB34" s="24"/>
      <c r="AC34" s="24"/>
      <c r="AD34" s="24"/>
      <c r="AE34" s="24"/>
      <c r="AF34" s="24"/>
      <c r="AG34" s="24"/>
      <c r="AH34" s="24"/>
      <c r="AI34" s="24"/>
      <c r="AJ34" s="24"/>
      <c r="AK34" s="24"/>
      <c r="AL34" s="24"/>
    </row>
    <row r="35" spans="1:38" s="3" customFormat="1" ht="43.15">
      <c r="A35" s="40" t="s">
        <v>179</v>
      </c>
      <c r="B35" s="40" t="s">
        <v>180</v>
      </c>
      <c r="C35" s="40" t="s">
        <v>181</v>
      </c>
      <c r="D35" s="40" t="s">
        <v>182</v>
      </c>
      <c r="E35" s="43" t="s">
        <v>107</v>
      </c>
      <c r="F35" s="9">
        <v>2</v>
      </c>
      <c r="G35" s="9">
        <v>2</v>
      </c>
      <c r="H35" s="9">
        <f t="shared" si="1"/>
        <v>4</v>
      </c>
      <c r="I35" s="9"/>
      <c r="J35" s="40" t="s">
        <v>59</v>
      </c>
      <c r="K35" s="40" t="s">
        <v>59</v>
      </c>
      <c r="L35" s="8" t="s">
        <v>24</v>
      </c>
      <c r="M35" s="41" t="s">
        <v>183</v>
      </c>
      <c r="N35" s="40" t="s">
        <v>184</v>
      </c>
      <c r="O35" s="40" t="s">
        <v>125</v>
      </c>
      <c r="P35" s="40" t="s">
        <v>125</v>
      </c>
      <c r="Q35" s="40" t="s">
        <v>125</v>
      </c>
      <c r="R35" s="24"/>
      <c r="S35" s="24"/>
      <c r="T35" s="24"/>
      <c r="U35" s="24"/>
      <c r="V35" s="24"/>
      <c r="W35" s="24"/>
      <c r="X35" s="24"/>
      <c r="Y35" s="24"/>
      <c r="Z35" s="24"/>
      <c r="AA35" s="24"/>
      <c r="AB35" s="24"/>
      <c r="AC35" s="24"/>
      <c r="AD35" s="24"/>
      <c r="AE35" s="24"/>
      <c r="AF35" s="24"/>
      <c r="AG35" s="24"/>
      <c r="AH35" s="24"/>
      <c r="AI35" s="24"/>
      <c r="AJ35" s="24"/>
      <c r="AK35" s="24"/>
      <c r="AL35" s="24"/>
    </row>
    <row r="36" spans="1:38" s="3" customFormat="1" ht="28.9">
      <c r="A36" s="40" t="s">
        <v>185</v>
      </c>
      <c r="B36" s="40" t="s">
        <v>186</v>
      </c>
      <c r="C36" s="40" t="s">
        <v>187</v>
      </c>
      <c r="D36" s="40" t="s">
        <v>188</v>
      </c>
      <c r="E36" s="40" t="s">
        <v>189</v>
      </c>
      <c r="F36" s="9">
        <v>5</v>
      </c>
      <c r="G36" s="9">
        <v>2</v>
      </c>
      <c r="H36" s="9">
        <f t="shared" si="1"/>
        <v>10</v>
      </c>
      <c r="I36" s="9"/>
      <c r="J36" s="40" t="s">
        <v>59</v>
      </c>
      <c r="K36" s="40" t="s">
        <v>59</v>
      </c>
      <c r="L36" s="8" t="s">
        <v>24</v>
      </c>
      <c r="M36" s="41" t="s">
        <v>136</v>
      </c>
      <c r="N36" s="40" t="s">
        <v>190</v>
      </c>
      <c r="O36" s="40" t="s">
        <v>125</v>
      </c>
      <c r="P36" s="40" t="s">
        <v>125</v>
      </c>
      <c r="Q36" s="40" t="s">
        <v>125</v>
      </c>
      <c r="R36" s="24"/>
      <c r="S36" s="24"/>
      <c r="T36" s="24"/>
      <c r="U36" s="24"/>
      <c r="V36" s="24"/>
      <c r="W36" s="24"/>
      <c r="X36" s="24"/>
      <c r="Y36" s="24"/>
      <c r="Z36" s="24"/>
      <c r="AA36" s="24"/>
      <c r="AB36" s="24"/>
      <c r="AC36" s="24"/>
      <c r="AD36" s="24"/>
      <c r="AE36" s="24"/>
      <c r="AF36" s="24"/>
      <c r="AG36" s="24"/>
      <c r="AH36" s="24"/>
      <c r="AI36" s="24"/>
      <c r="AJ36" s="24"/>
      <c r="AK36" s="24"/>
      <c r="AL36" s="24"/>
    </row>
    <row r="37" spans="1:38" s="3" customFormat="1" ht="28.9">
      <c r="A37" s="40" t="s">
        <v>191</v>
      </c>
      <c r="B37" s="40" t="s">
        <v>192</v>
      </c>
      <c r="C37" s="46" t="s">
        <v>193</v>
      </c>
      <c r="D37" s="40" t="s">
        <v>194</v>
      </c>
      <c r="E37" s="40" t="s">
        <v>195</v>
      </c>
      <c r="F37" s="9">
        <v>4</v>
      </c>
      <c r="G37" s="9">
        <v>1</v>
      </c>
      <c r="H37" s="9">
        <f t="shared" si="1"/>
        <v>4</v>
      </c>
      <c r="I37" s="9"/>
      <c r="J37" s="47" t="s">
        <v>196</v>
      </c>
      <c r="K37" s="47" t="s">
        <v>197</v>
      </c>
      <c r="L37" s="8" t="s">
        <v>24</v>
      </c>
      <c r="M37" s="41" t="s">
        <v>198</v>
      </c>
      <c r="N37" s="40" t="s">
        <v>199</v>
      </c>
      <c r="O37" s="40" t="s">
        <v>125</v>
      </c>
      <c r="P37" s="40" t="s">
        <v>125</v>
      </c>
      <c r="Q37" s="40" t="s">
        <v>125</v>
      </c>
      <c r="R37" s="24"/>
      <c r="S37" s="24"/>
      <c r="T37" s="24"/>
      <c r="U37" s="24"/>
      <c r="V37" s="24"/>
      <c r="W37" s="24"/>
      <c r="X37" s="24"/>
      <c r="Y37" s="24"/>
      <c r="Z37" s="24"/>
      <c r="AA37" s="24"/>
      <c r="AB37" s="24"/>
      <c r="AC37" s="24"/>
      <c r="AD37" s="24"/>
      <c r="AE37" s="24"/>
      <c r="AF37" s="24"/>
      <c r="AG37" s="24"/>
      <c r="AH37" s="24"/>
      <c r="AI37" s="24"/>
      <c r="AJ37" s="24"/>
      <c r="AK37" s="24"/>
      <c r="AL37" s="24"/>
    </row>
    <row r="38" spans="1:38" s="3" customFormat="1" ht="28.9">
      <c r="A38" s="40" t="s">
        <v>200</v>
      </c>
      <c r="B38" s="40" t="s">
        <v>201</v>
      </c>
      <c r="C38" s="40" t="s">
        <v>202</v>
      </c>
      <c r="D38" s="40" t="s">
        <v>203</v>
      </c>
      <c r="E38" s="43" t="s">
        <v>107</v>
      </c>
      <c r="F38" s="9">
        <v>2</v>
      </c>
      <c r="G38" s="9">
        <v>1</v>
      </c>
      <c r="H38" s="9">
        <f t="shared" si="1"/>
        <v>2</v>
      </c>
      <c r="I38" s="9"/>
      <c r="J38" s="40" t="s">
        <v>59</v>
      </c>
      <c r="K38" s="40" t="s">
        <v>59</v>
      </c>
      <c r="L38" s="8" t="s">
        <v>24</v>
      </c>
      <c r="M38" s="41" t="s">
        <v>204</v>
      </c>
      <c r="N38" s="40" t="s">
        <v>205</v>
      </c>
      <c r="O38" s="40" t="s">
        <v>125</v>
      </c>
      <c r="P38" s="40" t="s">
        <v>125</v>
      </c>
      <c r="Q38" s="40" t="s">
        <v>125</v>
      </c>
      <c r="R38" s="24"/>
      <c r="S38" s="24"/>
      <c r="T38" s="24"/>
      <c r="U38" s="24"/>
      <c r="V38" s="24"/>
      <c r="W38" s="24"/>
      <c r="X38" s="24"/>
      <c r="Y38" s="24"/>
      <c r="Z38" s="24"/>
      <c r="AA38" s="24"/>
      <c r="AB38" s="24"/>
      <c r="AC38" s="24"/>
      <c r="AD38" s="24"/>
      <c r="AE38" s="24"/>
      <c r="AF38" s="24"/>
      <c r="AG38" s="24"/>
      <c r="AH38" s="24"/>
      <c r="AI38" s="24"/>
      <c r="AJ38" s="24"/>
      <c r="AK38" s="24"/>
      <c r="AL38" s="24"/>
    </row>
    <row r="39" spans="1:38" s="3" customFormat="1" ht="43.15">
      <c r="A39" s="40" t="s">
        <v>206</v>
      </c>
      <c r="B39" s="40" t="s">
        <v>207</v>
      </c>
      <c r="C39" s="40" t="s">
        <v>208</v>
      </c>
      <c r="D39" s="40" t="s">
        <v>209</v>
      </c>
      <c r="E39" s="40" t="s">
        <v>210</v>
      </c>
      <c r="F39" s="9">
        <v>3</v>
      </c>
      <c r="G39" s="9">
        <v>1</v>
      </c>
      <c r="H39" s="9">
        <f t="shared" si="1"/>
        <v>3</v>
      </c>
      <c r="I39" s="9"/>
      <c r="J39" s="40" t="s">
        <v>59</v>
      </c>
      <c r="K39" s="40" t="s">
        <v>59</v>
      </c>
      <c r="L39" s="8" t="s">
        <v>24</v>
      </c>
      <c r="M39" s="41" t="s">
        <v>198</v>
      </c>
      <c r="N39" s="40" t="s">
        <v>211</v>
      </c>
      <c r="O39" s="40" t="s">
        <v>125</v>
      </c>
      <c r="P39" s="40" t="s">
        <v>125</v>
      </c>
      <c r="Q39" s="40" t="s">
        <v>125</v>
      </c>
      <c r="R39" s="24"/>
      <c r="S39" s="24"/>
      <c r="T39" s="24"/>
      <c r="U39" s="24"/>
      <c r="V39" s="24"/>
      <c r="W39" s="24"/>
      <c r="X39" s="24"/>
      <c r="Y39" s="24"/>
      <c r="Z39" s="24"/>
      <c r="AA39" s="24"/>
      <c r="AB39" s="24"/>
      <c r="AC39" s="24"/>
      <c r="AD39" s="24"/>
      <c r="AE39" s="24"/>
      <c r="AF39" s="24"/>
      <c r="AG39" s="24"/>
      <c r="AH39" s="24"/>
      <c r="AI39" s="24"/>
      <c r="AJ39" s="24"/>
      <c r="AK39" s="24"/>
      <c r="AL39" s="24"/>
    </row>
    <row r="40" spans="1:38" s="3" customFormat="1" ht="28.9">
      <c r="A40" s="40" t="s">
        <v>212</v>
      </c>
      <c r="B40" s="40" t="s">
        <v>213</v>
      </c>
      <c r="C40" s="40" t="s">
        <v>214</v>
      </c>
      <c r="D40" s="40" t="s">
        <v>215</v>
      </c>
      <c r="E40" s="40" t="s">
        <v>210</v>
      </c>
      <c r="F40" s="9">
        <v>3</v>
      </c>
      <c r="G40" s="9">
        <v>1</v>
      </c>
      <c r="H40" s="9">
        <f t="shared" si="1"/>
        <v>3</v>
      </c>
      <c r="I40" s="9"/>
      <c r="J40" s="40" t="s">
        <v>59</v>
      </c>
      <c r="K40" s="40" t="s">
        <v>59</v>
      </c>
      <c r="L40" s="8" t="s">
        <v>24</v>
      </c>
      <c r="M40" s="41" t="s">
        <v>198</v>
      </c>
      <c r="N40" s="40" t="s">
        <v>216</v>
      </c>
      <c r="O40" s="40" t="s">
        <v>125</v>
      </c>
      <c r="P40" s="40" t="s">
        <v>125</v>
      </c>
      <c r="Q40" s="40" t="s">
        <v>125</v>
      </c>
      <c r="R40" s="24"/>
      <c r="S40" s="24"/>
      <c r="T40" s="24"/>
      <c r="U40" s="24"/>
      <c r="V40" s="24"/>
      <c r="W40" s="24"/>
      <c r="X40" s="24"/>
      <c r="Y40" s="24"/>
      <c r="Z40" s="24"/>
      <c r="AA40" s="24"/>
      <c r="AB40" s="24"/>
      <c r="AC40" s="24"/>
      <c r="AD40" s="24"/>
      <c r="AE40" s="24"/>
      <c r="AF40" s="24"/>
      <c r="AG40" s="24"/>
      <c r="AH40" s="24"/>
      <c r="AI40" s="24"/>
      <c r="AJ40" s="24"/>
      <c r="AK40" s="24"/>
      <c r="AL40" s="24"/>
    </row>
    <row r="41" spans="1:38" s="3" customFormat="1" ht="28.9">
      <c r="A41" s="40" t="s">
        <v>217</v>
      </c>
      <c r="B41" s="40" t="s">
        <v>218</v>
      </c>
      <c r="C41" s="40" t="s">
        <v>219</v>
      </c>
      <c r="D41" s="40" t="s">
        <v>220</v>
      </c>
      <c r="E41" s="40" t="s">
        <v>82</v>
      </c>
      <c r="F41" s="9">
        <v>3</v>
      </c>
      <c r="G41" s="9">
        <v>3</v>
      </c>
      <c r="H41" s="9">
        <f t="shared" si="1"/>
        <v>9</v>
      </c>
      <c r="I41" s="9"/>
      <c r="J41" s="47" t="s">
        <v>221</v>
      </c>
      <c r="K41" s="47" t="s">
        <v>222</v>
      </c>
      <c r="L41" s="8" t="s">
        <v>24</v>
      </c>
      <c r="M41" s="41" t="s">
        <v>25</v>
      </c>
      <c r="N41" s="40" t="s">
        <v>223</v>
      </c>
      <c r="O41" s="40" t="s">
        <v>125</v>
      </c>
      <c r="P41" s="40" t="s">
        <v>125</v>
      </c>
      <c r="Q41" s="40" t="s">
        <v>125</v>
      </c>
      <c r="R41" s="24"/>
      <c r="S41" s="24"/>
      <c r="T41" s="24"/>
      <c r="U41" s="24"/>
      <c r="V41" s="24"/>
      <c r="W41" s="24"/>
      <c r="X41" s="24"/>
      <c r="Y41" s="24"/>
      <c r="Z41" s="24"/>
      <c r="AA41" s="24"/>
      <c r="AB41" s="24"/>
      <c r="AC41" s="24"/>
      <c r="AD41" s="24"/>
      <c r="AE41" s="24"/>
      <c r="AF41" s="24"/>
      <c r="AG41" s="24"/>
      <c r="AH41" s="24"/>
      <c r="AI41" s="24"/>
      <c r="AJ41" s="24"/>
      <c r="AK41" s="24"/>
      <c r="AL41" s="24"/>
    </row>
    <row r="42" spans="1:38" s="3" customFormat="1" ht="43.15">
      <c r="A42" s="40" t="s">
        <v>224</v>
      </c>
      <c r="B42" s="40" t="s">
        <v>225</v>
      </c>
      <c r="C42" s="40" t="s">
        <v>226</v>
      </c>
      <c r="D42" s="40" t="s">
        <v>227</v>
      </c>
      <c r="E42" s="40" t="s">
        <v>228</v>
      </c>
      <c r="F42" s="9">
        <v>4</v>
      </c>
      <c r="G42" s="9">
        <v>3</v>
      </c>
      <c r="H42" s="9">
        <f t="shared" si="1"/>
        <v>12</v>
      </c>
      <c r="I42" s="9"/>
      <c r="J42" s="40" t="s">
        <v>229</v>
      </c>
      <c r="K42" s="40" t="s">
        <v>230</v>
      </c>
      <c r="L42" s="8" t="s">
        <v>24</v>
      </c>
      <c r="M42" s="41" t="s">
        <v>231</v>
      </c>
      <c r="N42" s="40" t="s">
        <v>232</v>
      </c>
      <c r="O42" s="40" t="s">
        <v>125</v>
      </c>
      <c r="P42" s="40" t="s">
        <v>125</v>
      </c>
      <c r="Q42" s="40" t="s">
        <v>125</v>
      </c>
      <c r="R42" s="24"/>
      <c r="S42" s="24"/>
      <c r="T42" s="24"/>
      <c r="U42" s="24"/>
      <c r="V42" s="24"/>
      <c r="W42" s="24"/>
      <c r="X42" s="24"/>
      <c r="Y42" s="24"/>
      <c r="Z42" s="24"/>
      <c r="AA42" s="24"/>
      <c r="AB42" s="24"/>
      <c r="AC42" s="24"/>
      <c r="AD42" s="24"/>
      <c r="AE42" s="24"/>
      <c r="AF42" s="24"/>
      <c r="AG42" s="24"/>
      <c r="AH42" s="24"/>
      <c r="AI42" s="24"/>
      <c r="AJ42" s="24"/>
      <c r="AK42" s="24"/>
      <c r="AL42" s="24"/>
    </row>
    <row r="43" spans="1:38" s="6" customFormat="1" ht="43.15">
      <c r="A43" s="48" t="s">
        <v>233</v>
      </c>
      <c r="B43" s="48" t="s">
        <v>234</v>
      </c>
      <c r="C43" s="48" t="s">
        <v>235</v>
      </c>
      <c r="D43" s="48" t="s">
        <v>236</v>
      </c>
      <c r="E43" s="48" t="s">
        <v>237</v>
      </c>
      <c r="F43" s="9">
        <v>5</v>
      </c>
      <c r="G43" s="9">
        <v>3</v>
      </c>
      <c r="H43" s="9">
        <f t="shared" si="1"/>
        <v>15</v>
      </c>
      <c r="I43" s="9"/>
      <c r="J43" s="40" t="s">
        <v>59</v>
      </c>
      <c r="K43" s="40" t="s">
        <v>59</v>
      </c>
      <c r="L43" s="8" t="s">
        <v>24</v>
      </c>
      <c r="M43" s="49" t="s">
        <v>238</v>
      </c>
      <c r="N43" s="48" t="s">
        <v>239</v>
      </c>
      <c r="O43" s="48" t="s">
        <v>125</v>
      </c>
      <c r="P43" s="48" t="s">
        <v>125</v>
      </c>
      <c r="Q43" s="48" t="s">
        <v>125</v>
      </c>
      <c r="R43" s="25" t="s">
        <v>125</v>
      </c>
      <c r="S43" s="25" t="s">
        <v>125</v>
      </c>
      <c r="T43" s="25" t="s">
        <v>125</v>
      </c>
      <c r="U43" s="25" t="s">
        <v>125</v>
      </c>
      <c r="V43" s="25" t="s">
        <v>125</v>
      </c>
      <c r="W43" s="25" t="s">
        <v>125</v>
      </c>
      <c r="X43" s="25" t="s">
        <v>125</v>
      </c>
      <c r="Y43" s="25" t="s">
        <v>125</v>
      </c>
      <c r="Z43" s="25" t="s">
        <v>125</v>
      </c>
      <c r="AA43" s="25" t="s">
        <v>125</v>
      </c>
      <c r="AB43" s="25" t="s">
        <v>125</v>
      </c>
      <c r="AC43" s="25" t="s">
        <v>125</v>
      </c>
      <c r="AD43" s="25" t="s">
        <v>125</v>
      </c>
      <c r="AE43" s="25" t="s">
        <v>125</v>
      </c>
      <c r="AF43" s="25" t="s">
        <v>125</v>
      </c>
      <c r="AG43" s="25" t="s">
        <v>125</v>
      </c>
      <c r="AH43" s="25" t="s">
        <v>125</v>
      </c>
      <c r="AI43" s="25" t="s">
        <v>125</v>
      </c>
      <c r="AJ43" s="25" t="s">
        <v>125</v>
      </c>
      <c r="AK43" s="25" t="s">
        <v>125</v>
      </c>
      <c r="AL43" s="25" t="s">
        <v>125</v>
      </c>
    </row>
    <row r="44" spans="1:38" s="3" customFormat="1" ht="28.9">
      <c r="A44" s="40" t="s">
        <v>240</v>
      </c>
      <c r="B44" s="40" t="s">
        <v>241</v>
      </c>
      <c r="C44" s="40" t="s">
        <v>242</v>
      </c>
      <c r="D44" s="40" t="s">
        <v>243</v>
      </c>
      <c r="E44" s="40" t="s">
        <v>53</v>
      </c>
      <c r="F44" s="9">
        <v>4</v>
      </c>
      <c r="G44" s="9">
        <v>3</v>
      </c>
      <c r="H44" s="9">
        <f t="shared" si="1"/>
        <v>12</v>
      </c>
      <c r="I44" s="9"/>
      <c r="J44" s="40" t="s">
        <v>59</v>
      </c>
      <c r="K44" s="40" t="s">
        <v>59</v>
      </c>
      <c r="L44" s="8" t="s">
        <v>24</v>
      </c>
      <c r="M44" s="41" t="s">
        <v>136</v>
      </c>
      <c r="N44" s="40" t="s">
        <v>244</v>
      </c>
      <c r="O44" s="40" t="s">
        <v>125</v>
      </c>
      <c r="P44" s="40" t="s">
        <v>125</v>
      </c>
      <c r="Q44" s="40" t="s">
        <v>125</v>
      </c>
      <c r="R44" s="24"/>
      <c r="S44" s="24"/>
      <c r="T44" s="24"/>
      <c r="U44" s="24"/>
      <c r="V44" s="24"/>
      <c r="W44" s="24"/>
      <c r="X44" s="24"/>
      <c r="Y44" s="24"/>
      <c r="Z44" s="24"/>
      <c r="AA44" s="24"/>
      <c r="AB44" s="24"/>
      <c r="AC44" s="24"/>
      <c r="AD44" s="24"/>
      <c r="AE44" s="24"/>
      <c r="AF44" s="24"/>
      <c r="AG44" s="24"/>
      <c r="AH44" s="24"/>
      <c r="AI44" s="24"/>
      <c r="AJ44" s="24"/>
      <c r="AK44" s="24"/>
      <c r="AL44" s="24"/>
    </row>
    <row r="45" spans="1:38" s="3" customFormat="1" ht="43.15">
      <c r="A45" s="40" t="s">
        <v>245</v>
      </c>
      <c r="B45" s="40" t="s">
        <v>246</v>
      </c>
      <c r="C45" s="40" t="s">
        <v>247</v>
      </c>
      <c r="D45" s="40" t="s">
        <v>248</v>
      </c>
      <c r="E45" s="40" t="s">
        <v>53</v>
      </c>
      <c r="F45" s="9">
        <v>3</v>
      </c>
      <c r="G45" s="9">
        <v>2</v>
      </c>
      <c r="H45" s="9">
        <f t="shared" si="1"/>
        <v>6</v>
      </c>
      <c r="I45" s="9"/>
      <c r="J45" s="47" t="s">
        <v>249</v>
      </c>
      <c r="K45" s="47" t="s">
        <v>250</v>
      </c>
      <c r="L45" s="8" t="s">
        <v>24</v>
      </c>
      <c r="M45" s="41" t="s">
        <v>25</v>
      </c>
      <c r="N45" s="40" t="s">
        <v>251</v>
      </c>
      <c r="O45" s="40" t="s">
        <v>125</v>
      </c>
      <c r="P45" s="40" t="s">
        <v>125</v>
      </c>
      <c r="Q45" s="40" t="s">
        <v>125</v>
      </c>
      <c r="R45" s="24"/>
      <c r="S45" s="24"/>
      <c r="T45" s="24"/>
      <c r="U45" s="24"/>
      <c r="V45" s="24"/>
      <c r="W45" s="24"/>
      <c r="X45" s="24"/>
      <c r="Y45" s="24"/>
      <c r="Z45" s="24"/>
      <c r="AA45" s="24"/>
      <c r="AB45" s="24"/>
      <c r="AC45" s="24"/>
      <c r="AD45" s="24"/>
      <c r="AE45" s="24"/>
      <c r="AF45" s="24"/>
      <c r="AG45" s="24"/>
      <c r="AH45" s="24"/>
      <c r="AI45" s="24"/>
      <c r="AJ45" s="24"/>
      <c r="AK45" s="24"/>
      <c r="AL45" s="24"/>
    </row>
    <row r="46" spans="1:38" s="3" customFormat="1" ht="28.9">
      <c r="A46" s="40" t="s">
        <v>252</v>
      </c>
      <c r="B46" s="40" t="s">
        <v>253</v>
      </c>
      <c r="C46" s="40" t="s">
        <v>254</v>
      </c>
      <c r="D46" s="40" t="s">
        <v>255</v>
      </c>
      <c r="E46" s="43" t="s">
        <v>107</v>
      </c>
      <c r="F46" s="9">
        <v>2</v>
      </c>
      <c r="G46" s="9">
        <v>1</v>
      </c>
      <c r="H46" s="9">
        <f t="shared" si="1"/>
        <v>2</v>
      </c>
      <c r="I46" s="9"/>
      <c r="J46" s="40" t="s">
        <v>59</v>
      </c>
      <c r="K46" s="40" t="s">
        <v>59</v>
      </c>
      <c r="L46" s="8" t="s">
        <v>24</v>
      </c>
      <c r="M46" s="41" t="s">
        <v>87</v>
      </c>
      <c r="N46" s="40" t="s">
        <v>256</v>
      </c>
      <c r="O46" s="40" t="s">
        <v>125</v>
      </c>
      <c r="P46" s="40" t="s">
        <v>125</v>
      </c>
      <c r="Q46" s="40" t="s">
        <v>125</v>
      </c>
      <c r="R46" s="24"/>
      <c r="S46" s="24"/>
      <c r="T46" s="24"/>
      <c r="U46" s="24"/>
      <c r="V46" s="24"/>
      <c r="W46" s="24"/>
      <c r="X46" s="24"/>
      <c r="Y46" s="24"/>
      <c r="Z46" s="24"/>
      <c r="AA46" s="24"/>
      <c r="AB46" s="24"/>
      <c r="AC46" s="24"/>
      <c r="AD46" s="24"/>
      <c r="AE46" s="24"/>
      <c r="AF46" s="24"/>
      <c r="AG46" s="24"/>
      <c r="AH46" s="24"/>
      <c r="AI46" s="24"/>
      <c r="AJ46" s="24"/>
      <c r="AK46" s="24"/>
      <c r="AL46" s="24"/>
    </row>
    <row r="47" spans="1:38" s="3" customFormat="1" ht="43.15">
      <c r="A47" s="40" t="s">
        <v>257</v>
      </c>
      <c r="B47" s="40" t="s">
        <v>258</v>
      </c>
      <c r="C47" s="40" t="s">
        <v>259</v>
      </c>
      <c r="D47" s="40" t="s">
        <v>260</v>
      </c>
      <c r="E47" s="43" t="s">
        <v>261</v>
      </c>
      <c r="F47" s="9">
        <v>4</v>
      </c>
      <c r="G47" s="9">
        <v>2</v>
      </c>
      <c r="H47" s="9">
        <f t="shared" si="1"/>
        <v>8</v>
      </c>
      <c r="I47" s="9"/>
      <c r="J47" s="40" t="s">
        <v>59</v>
      </c>
      <c r="K47" s="40" t="s">
        <v>59</v>
      </c>
      <c r="L47" s="8" t="s">
        <v>24</v>
      </c>
      <c r="M47" s="41" t="s">
        <v>100</v>
      </c>
      <c r="N47" s="40" t="s">
        <v>262</v>
      </c>
      <c r="O47" s="40" t="s">
        <v>125</v>
      </c>
      <c r="P47" s="40" t="s">
        <v>125</v>
      </c>
      <c r="Q47" s="40" t="s">
        <v>125</v>
      </c>
      <c r="R47" s="24"/>
      <c r="S47" s="24"/>
      <c r="T47" s="24"/>
      <c r="U47" s="24"/>
      <c r="V47" s="24"/>
      <c r="W47" s="24"/>
      <c r="X47" s="24"/>
      <c r="Y47" s="24"/>
      <c r="Z47" s="24"/>
      <c r="AA47" s="24"/>
      <c r="AB47" s="24"/>
      <c r="AC47" s="24"/>
      <c r="AD47" s="24"/>
      <c r="AE47" s="24"/>
      <c r="AF47" s="24"/>
      <c r="AG47" s="24"/>
      <c r="AH47" s="24"/>
      <c r="AI47" s="24"/>
      <c r="AJ47" s="24"/>
      <c r="AK47" s="24"/>
      <c r="AL47" s="24"/>
    </row>
    <row r="48" spans="1:38" s="3" customFormat="1" ht="14.45">
      <c r="A48" s="40" t="s">
        <v>263</v>
      </c>
      <c r="B48" s="40" t="s">
        <v>264</v>
      </c>
      <c r="C48" s="43" t="s">
        <v>265</v>
      </c>
      <c r="D48" s="40" t="s">
        <v>266</v>
      </c>
      <c r="E48" s="43" t="s">
        <v>107</v>
      </c>
      <c r="F48" s="9">
        <v>3</v>
      </c>
      <c r="G48" s="9">
        <v>2</v>
      </c>
      <c r="H48" s="9">
        <f t="shared" si="1"/>
        <v>6</v>
      </c>
      <c r="I48" s="9"/>
      <c r="J48" s="47" t="s">
        <v>267</v>
      </c>
      <c r="K48" s="47" t="s">
        <v>268</v>
      </c>
      <c r="L48" s="8" t="s">
        <v>24</v>
      </c>
      <c r="M48" s="41" t="s">
        <v>204</v>
      </c>
      <c r="N48" s="40" t="s">
        <v>269</v>
      </c>
      <c r="O48" s="40" t="s">
        <v>125</v>
      </c>
      <c r="P48" s="40" t="s">
        <v>125</v>
      </c>
      <c r="Q48" s="40" t="s">
        <v>125</v>
      </c>
      <c r="R48" s="24"/>
      <c r="S48" s="24"/>
      <c r="T48" s="24"/>
      <c r="U48" s="24"/>
      <c r="V48" s="24"/>
      <c r="W48" s="24"/>
      <c r="X48" s="24"/>
      <c r="Y48" s="24"/>
      <c r="Z48" s="24"/>
      <c r="AA48" s="24"/>
      <c r="AB48" s="24"/>
      <c r="AC48" s="24"/>
      <c r="AD48" s="24"/>
      <c r="AE48" s="24"/>
      <c r="AF48" s="24"/>
      <c r="AG48" s="24"/>
      <c r="AH48" s="24"/>
      <c r="AI48" s="24"/>
      <c r="AJ48" s="24"/>
      <c r="AK48" s="24"/>
      <c r="AL48" s="24"/>
    </row>
    <row r="49" spans="1:38" s="3" customFormat="1" ht="28.9">
      <c r="A49" s="40" t="s">
        <v>270</v>
      </c>
      <c r="B49" s="40" t="s">
        <v>271</v>
      </c>
      <c r="C49" s="40" t="s">
        <v>272</v>
      </c>
      <c r="D49" s="40" t="s">
        <v>273</v>
      </c>
      <c r="E49" s="43" t="s">
        <v>210</v>
      </c>
      <c r="F49" s="9">
        <v>2</v>
      </c>
      <c r="G49" s="9">
        <v>1</v>
      </c>
      <c r="H49" s="9">
        <f t="shared" si="1"/>
        <v>2</v>
      </c>
      <c r="I49" s="9"/>
      <c r="J49" s="40" t="s">
        <v>59</v>
      </c>
      <c r="K49" s="40" t="s">
        <v>59</v>
      </c>
      <c r="L49" s="8" t="s">
        <v>24</v>
      </c>
      <c r="M49" s="41" t="s">
        <v>25</v>
      </c>
      <c r="N49" s="40" t="s">
        <v>274</v>
      </c>
      <c r="O49" s="40" t="s">
        <v>125</v>
      </c>
      <c r="P49" s="40" t="s">
        <v>125</v>
      </c>
      <c r="Q49" s="40" t="s">
        <v>125</v>
      </c>
      <c r="R49" s="24"/>
      <c r="S49" s="24"/>
      <c r="T49" s="24"/>
      <c r="U49" s="24"/>
      <c r="V49" s="24"/>
      <c r="W49" s="24"/>
      <c r="X49" s="24"/>
      <c r="Y49" s="24"/>
      <c r="Z49" s="24"/>
      <c r="AA49" s="24"/>
      <c r="AB49" s="24"/>
      <c r="AC49" s="24"/>
      <c r="AD49" s="24"/>
      <c r="AE49" s="24"/>
      <c r="AF49" s="24"/>
      <c r="AG49" s="24"/>
      <c r="AH49" s="24"/>
      <c r="AI49" s="24"/>
      <c r="AJ49" s="24"/>
      <c r="AK49" s="24"/>
      <c r="AL49" s="24"/>
    </row>
    <row r="50" spans="1:38" s="3" customFormat="1" ht="43.15">
      <c r="A50" s="40" t="s">
        <v>275</v>
      </c>
      <c r="B50" s="40" t="s">
        <v>276</v>
      </c>
      <c r="C50" s="40" t="s">
        <v>277</v>
      </c>
      <c r="D50" s="40" t="s">
        <v>278</v>
      </c>
      <c r="E50" s="43" t="s">
        <v>107</v>
      </c>
      <c r="F50" s="9">
        <v>2</v>
      </c>
      <c r="G50" s="9">
        <v>1</v>
      </c>
      <c r="H50" s="9">
        <f t="shared" si="1"/>
        <v>2</v>
      </c>
      <c r="I50" s="9"/>
      <c r="J50" s="40" t="s">
        <v>59</v>
      </c>
      <c r="K50" s="40" t="s">
        <v>59</v>
      </c>
      <c r="L50" s="8" t="s">
        <v>24</v>
      </c>
      <c r="M50" s="41" t="s">
        <v>136</v>
      </c>
      <c r="N50" s="40" t="s">
        <v>279</v>
      </c>
      <c r="O50" s="40" t="s">
        <v>125</v>
      </c>
      <c r="P50" s="40" t="s">
        <v>125</v>
      </c>
      <c r="Q50" s="40" t="s">
        <v>125</v>
      </c>
      <c r="R50" s="24"/>
      <c r="S50" s="24"/>
      <c r="T50" s="24"/>
      <c r="U50" s="24"/>
      <c r="V50" s="24"/>
      <c r="W50" s="24"/>
      <c r="X50" s="24"/>
      <c r="Y50" s="24"/>
      <c r="Z50" s="24"/>
      <c r="AA50" s="24"/>
      <c r="AB50" s="24"/>
      <c r="AC50" s="24"/>
      <c r="AD50" s="24"/>
      <c r="AE50" s="24"/>
      <c r="AF50" s="24"/>
      <c r="AG50" s="24"/>
      <c r="AH50" s="24"/>
      <c r="AI50" s="24"/>
      <c r="AJ50" s="24"/>
      <c r="AK50" s="24"/>
      <c r="AL50" s="24"/>
    </row>
    <row r="51" spans="1:38" s="3" customFormat="1" ht="28.9">
      <c r="A51" s="4" t="s">
        <v>280</v>
      </c>
      <c r="B51" s="40" t="s">
        <v>281</v>
      </c>
      <c r="C51" s="40" t="s">
        <v>282</v>
      </c>
      <c r="D51" s="40"/>
      <c r="E51" s="4" t="s">
        <v>210</v>
      </c>
      <c r="F51" s="9">
        <v>5</v>
      </c>
      <c r="G51" s="9">
        <v>1</v>
      </c>
      <c r="H51" s="9">
        <f t="shared" si="1"/>
        <v>5</v>
      </c>
      <c r="I51" s="9"/>
      <c r="J51" s="4"/>
      <c r="K51" s="4"/>
      <c r="L51" s="8"/>
      <c r="M51" s="42" t="s">
        <v>25</v>
      </c>
      <c r="N51" s="40" t="s">
        <v>283</v>
      </c>
      <c r="O51" s="4"/>
      <c r="P51" s="4"/>
      <c r="Q51" s="4"/>
      <c r="R51" s="24"/>
      <c r="S51" s="24"/>
      <c r="T51" s="24"/>
      <c r="U51" s="24"/>
      <c r="V51" s="24"/>
      <c r="W51" s="24"/>
      <c r="X51" s="24"/>
      <c r="Y51" s="24"/>
      <c r="Z51" s="24"/>
      <c r="AA51" s="24"/>
      <c r="AB51" s="24"/>
      <c r="AC51" s="24"/>
      <c r="AD51" s="24"/>
      <c r="AE51" s="24"/>
      <c r="AF51" s="24"/>
      <c r="AG51" s="24"/>
      <c r="AH51" s="24"/>
      <c r="AI51" s="24"/>
      <c r="AJ51" s="24"/>
      <c r="AK51" s="24"/>
      <c r="AL51" s="24"/>
    </row>
    <row r="52" spans="1:38" s="3" customFormat="1" ht="14.45">
      <c r="A52" s="40"/>
      <c r="B52" s="40"/>
      <c r="C52" s="40"/>
      <c r="D52" s="40"/>
      <c r="E52" s="43"/>
      <c r="F52" s="9"/>
      <c r="G52" s="9"/>
      <c r="H52" s="9"/>
      <c r="I52" s="9"/>
      <c r="J52" s="40"/>
      <c r="K52" s="40"/>
      <c r="L52" s="8"/>
      <c r="M52" s="41"/>
      <c r="N52" s="40"/>
      <c r="O52" s="40"/>
      <c r="P52" s="40"/>
      <c r="Q52" s="40"/>
      <c r="R52" s="24"/>
      <c r="S52" s="24"/>
      <c r="T52" s="24"/>
      <c r="U52" s="24"/>
      <c r="V52" s="24"/>
      <c r="W52" s="24"/>
      <c r="X52" s="24"/>
      <c r="Y52" s="24"/>
      <c r="Z52" s="24"/>
      <c r="AA52" s="24"/>
      <c r="AB52" s="24"/>
      <c r="AC52" s="24"/>
      <c r="AD52" s="24"/>
      <c r="AE52" s="24"/>
      <c r="AF52" s="24"/>
      <c r="AG52" s="24"/>
      <c r="AH52" s="24"/>
      <c r="AI52" s="24"/>
      <c r="AJ52" s="24"/>
      <c r="AK52" s="24"/>
      <c r="AL52" s="24"/>
    </row>
    <row r="53" spans="1:38" s="5" customFormat="1" ht="15.6">
      <c r="A53" s="161" t="s">
        <v>284</v>
      </c>
      <c r="B53" s="161"/>
      <c r="C53" s="161"/>
      <c r="D53" s="161"/>
      <c r="E53" s="161"/>
      <c r="F53" s="161"/>
      <c r="G53" s="161"/>
      <c r="H53" s="161"/>
      <c r="I53" s="161"/>
      <c r="J53" s="161"/>
      <c r="K53" s="161"/>
      <c r="L53" s="161"/>
      <c r="M53" s="161"/>
      <c r="N53" s="161"/>
      <c r="O53" s="161"/>
      <c r="P53" s="161"/>
      <c r="Q53" s="161"/>
      <c r="R53"/>
      <c r="S53"/>
      <c r="T53"/>
      <c r="U53"/>
      <c r="V53"/>
      <c r="W53"/>
      <c r="X53"/>
      <c r="Y53"/>
      <c r="Z53"/>
      <c r="AA53"/>
      <c r="AB53"/>
      <c r="AC53"/>
      <c r="AD53"/>
      <c r="AE53"/>
      <c r="AF53"/>
      <c r="AG53"/>
      <c r="AH53"/>
      <c r="AI53"/>
      <c r="AJ53"/>
      <c r="AK53"/>
      <c r="AL53"/>
    </row>
    <row r="54" spans="1:38" s="3" customFormat="1" ht="28.9">
      <c r="A54" s="4" t="s">
        <v>285</v>
      </c>
      <c r="B54" s="4" t="s">
        <v>286</v>
      </c>
      <c r="C54" s="4" t="s">
        <v>287</v>
      </c>
      <c r="D54" s="4" t="s">
        <v>288</v>
      </c>
      <c r="E54" s="4" t="s">
        <v>289</v>
      </c>
      <c r="F54" s="9">
        <v>3</v>
      </c>
      <c r="G54" s="9">
        <v>1</v>
      </c>
      <c r="H54" s="9">
        <f>F54*G54</f>
        <v>3</v>
      </c>
      <c r="I54" s="9" t="s">
        <v>58</v>
      </c>
      <c r="J54" s="4" t="s">
        <v>290</v>
      </c>
      <c r="K54" s="4" t="s">
        <v>59</v>
      </c>
      <c r="L54" s="8" t="s">
        <v>86</v>
      </c>
      <c r="M54" s="9" t="s">
        <v>25</v>
      </c>
      <c r="N54" s="4" t="s">
        <v>291</v>
      </c>
      <c r="O54" s="4"/>
      <c r="P54" s="4"/>
      <c r="Q54" s="4"/>
      <c r="R54"/>
      <c r="S54"/>
      <c r="T54"/>
      <c r="U54"/>
      <c r="V54"/>
      <c r="W54"/>
      <c r="X54"/>
      <c r="Y54"/>
      <c r="Z54"/>
      <c r="AA54"/>
      <c r="AB54"/>
      <c r="AC54"/>
      <c r="AD54"/>
      <c r="AE54"/>
      <c r="AF54"/>
      <c r="AG54"/>
      <c r="AH54"/>
      <c r="AI54"/>
      <c r="AJ54"/>
      <c r="AK54"/>
      <c r="AL54"/>
    </row>
    <row r="55" spans="1:38" s="3" customFormat="1" ht="28.9">
      <c r="A55" s="4" t="s">
        <v>292</v>
      </c>
      <c r="B55" s="4" t="s">
        <v>293</v>
      </c>
      <c r="C55" s="4" t="s">
        <v>294</v>
      </c>
      <c r="D55" s="4" t="s">
        <v>295</v>
      </c>
      <c r="E55" s="4" t="s">
        <v>67</v>
      </c>
      <c r="F55" s="9">
        <v>5</v>
      </c>
      <c r="G55" s="9">
        <v>2</v>
      </c>
      <c r="H55" s="9">
        <f>F55*G55</f>
        <v>10</v>
      </c>
      <c r="I55" s="9" t="s">
        <v>72</v>
      </c>
      <c r="J55" s="4" t="s">
        <v>290</v>
      </c>
      <c r="K55" s="4" t="s">
        <v>59</v>
      </c>
      <c r="L55" s="8" t="s">
        <v>86</v>
      </c>
      <c r="M55" s="9" t="s">
        <v>25</v>
      </c>
      <c r="N55" s="4" t="s">
        <v>296</v>
      </c>
      <c r="O55" s="4"/>
      <c r="P55" s="4"/>
      <c r="Q55" s="4"/>
      <c r="R55"/>
      <c r="S55"/>
      <c r="T55"/>
      <c r="U55"/>
      <c r="V55"/>
      <c r="W55"/>
      <c r="X55"/>
      <c r="Y55"/>
      <c r="Z55"/>
      <c r="AA55"/>
      <c r="AB55"/>
      <c r="AC55"/>
      <c r="AD55"/>
      <c r="AE55"/>
      <c r="AF55"/>
      <c r="AG55"/>
      <c r="AH55"/>
      <c r="AI55"/>
      <c r="AJ55"/>
      <c r="AK55"/>
      <c r="AL55"/>
    </row>
    <row r="56" spans="1:38" s="3" customFormat="1" ht="43.15">
      <c r="A56" s="4" t="s">
        <v>297</v>
      </c>
      <c r="B56" s="4" t="s">
        <v>298</v>
      </c>
      <c r="C56" s="4" t="s">
        <v>299</v>
      </c>
      <c r="D56" s="4" t="s">
        <v>300</v>
      </c>
      <c r="E56" s="4" t="s">
        <v>301</v>
      </c>
      <c r="F56" s="9">
        <v>2</v>
      </c>
      <c r="G56" s="9">
        <v>1</v>
      </c>
      <c r="H56" s="9">
        <f>F56*G56</f>
        <v>2</v>
      </c>
      <c r="I56" s="9" t="s">
        <v>58</v>
      </c>
      <c r="J56" s="4" t="s">
        <v>290</v>
      </c>
      <c r="K56" s="4" t="s">
        <v>59</v>
      </c>
      <c r="L56" s="8" t="s">
        <v>86</v>
      </c>
      <c r="M56" s="9" t="s">
        <v>25</v>
      </c>
      <c r="N56" s="4" t="s">
        <v>302</v>
      </c>
      <c r="O56" s="4"/>
      <c r="P56" s="4"/>
      <c r="Q56" s="4"/>
      <c r="R56"/>
      <c r="S56"/>
      <c r="T56"/>
      <c r="U56"/>
      <c r="V56"/>
      <c r="W56"/>
      <c r="X56"/>
      <c r="Y56"/>
      <c r="Z56"/>
      <c r="AA56"/>
      <c r="AB56"/>
      <c r="AC56"/>
      <c r="AD56"/>
      <c r="AE56"/>
      <c r="AF56"/>
      <c r="AG56"/>
      <c r="AH56"/>
      <c r="AI56"/>
      <c r="AJ56"/>
      <c r="AK56"/>
      <c r="AL56"/>
    </row>
    <row r="57" spans="1:38" s="3" customFormat="1" ht="72">
      <c r="A57" s="4" t="s">
        <v>303</v>
      </c>
      <c r="B57" s="4" t="s">
        <v>304</v>
      </c>
      <c r="C57" s="4" t="s">
        <v>305</v>
      </c>
      <c r="D57" s="4" t="s">
        <v>306</v>
      </c>
      <c r="E57" s="4" t="s">
        <v>307</v>
      </c>
      <c r="F57" s="9">
        <v>3</v>
      </c>
      <c r="G57" s="9">
        <v>1</v>
      </c>
      <c r="H57" s="9">
        <f t="shared" ref="H57:H58" si="2">F57*G57</f>
        <v>3</v>
      </c>
      <c r="I57" s="9" t="s">
        <v>58</v>
      </c>
      <c r="J57" s="4" t="s">
        <v>290</v>
      </c>
      <c r="K57" s="4" t="s">
        <v>59</v>
      </c>
      <c r="L57" s="8" t="s">
        <v>86</v>
      </c>
      <c r="M57" s="9" t="s">
        <v>60</v>
      </c>
      <c r="N57" s="4" t="s">
        <v>308</v>
      </c>
      <c r="O57" s="4"/>
      <c r="P57" s="4"/>
      <c r="Q57" s="4"/>
      <c r="R57"/>
      <c r="S57"/>
      <c r="T57"/>
      <c r="U57"/>
      <c r="V57"/>
      <c r="W57"/>
      <c r="X57"/>
      <c r="Y57"/>
      <c r="Z57"/>
      <c r="AA57"/>
      <c r="AB57"/>
      <c r="AC57"/>
      <c r="AD57"/>
      <c r="AE57"/>
      <c r="AF57"/>
      <c r="AG57"/>
      <c r="AH57"/>
      <c r="AI57"/>
      <c r="AJ57"/>
      <c r="AK57"/>
      <c r="AL57"/>
    </row>
    <row r="58" spans="1:38" s="3" customFormat="1" ht="43.15">
      <c r="A58" s="4" t="s">
        <v>309</v>
      </c>
      <c r="B58" s="4" t="s">
        <v>310</v>
      </c>
      <c r="C58" s="4" t="s">
        <v>311</v>
      </c>
      <c r="D58" s="4" t="s">
        <v>312</v>
      </c>
      <c r="E58" s="4" t="s">
        <v>313</v>
      </c>
      <c r="F58" s="9">
        <v>3</v>
      </c>
      <c r="G58" s="9">
        <v>2</v>
      </c>
      <c r="H58" s="9">
        <f t="shared" si="2"/>
        <v>6</v>
      </c>
      <c r="I58" s="9" t="s">
        <v>72</v>
      </c>
      <c r="J58" s="4" t="s">
        <v>314</v>
      </c>
      <c r="K58" s="4" t="s">
        <v>314</v>
      </c>
      <c r="L58" s="8" t="s">
        <v>86</v>
      </c>
      <c r="M58" s="9" t="s">
        <v>87</v>
      </c>
      <c r="N58" s="4" t="s">
        <v>315</v>
      </c>
      <c r="O58" s="4"/>
      <c r="P58" s="4"/>
      <c r="Q58" s="4"/>
      <c r="R58"/>
      <c r="S58"/>
      <c r="T58"/>
      <c r="U58"/>
      <c r="V58"/>
      <c r="W58"/>
      <c r="X58"/>
      <c r="Y58"/>
      <c r="Z58"/>
      <c r="AA58"/>
      <c r="AB58"/>
      <c r="AC58"/>
      <c r="AD58"/>
      <c r="AE58"/>
      <c r="AF58"/>
      <c r="AG58"/>
      <c r="AH58"/>
      <c r="AI58"/>
      <c r="AJ58"/>
      <c r="AK58"/>
      <c r="AL58"/>
    </row>
    <row r="59" spans="1:38" s="3" customFormat="1" ht="43.15">
      <c r="A59" s="4" t="s">
        <v>316</v>
      </c>
      <c r="B59" s="4" t="s">
        <v>317</v>
      </c>
      <c r="C59" s="4" t="s">
        <v>318</v>
      </c>
      <c r="D59" s="4" t="s">
        <v>319</v>
      </c>
      <c r="E59" s="4" t="s">
        <v>67</v>
      </c>
      <c r="F59" s="9">
        <v>3</v>
      </c>
      <c r="G59" s="9">
        <v>2</v>
      </c>
      <c r="H59" s="9">
        <f>F59*G59</f>
        <v>6</v>
      </c>
      <c r="I59" s="9" t="s">
        <v>72</v>
      </c>
      <c r="J59" s="4" t="s">
        <v>320</v>
      </c>
      <c r="K59" s="4" t="s">
        <v>320</v>
      </c>
      <c r="L59" s="8" t="s">
        <v>80</v>
      </c>
      <c r="M59" s="9" t="s">
        <v>198</v>
      </c>
      <c r="N59" s="4" t="s">
        <v>321</v>
      </c>
      <c r="O59" s="4"/>
      <c r="P59" s="4"/>
      <c r="Q59" s="4"/>
      <c r="R59"/>
      <c r="S59"/>
      <c r="T59"/>
      <c r="U59"/>
      <c r="V59"/>
      <c r="W59"/>
      <c r="X59"/>
      <c r="Y59"/>
      <c r="Z59"/>
      <c r="AA59"/>
      <c r="AB59"/>
      <c r="AC59"/>
      <c r="AD59"/>
      <c r="AE59"/>
      <c r="AF59"/>
      <c r="AG59"/>
      <c r="AH59"/>
      <c r="AI59"/>
      <c r="AJ59"/>
      <c r="AK59"/>
      <c r="AL59"/>
    </row>
    <row r="60" spans="1:38" s="3" customFormat="1" ht="28.9">
      <c r="A60" s="4" t="s">
        <v>322</v>
      </c>
      <c r="B60" s="4" t="s">
        <v>225</v>
      </c>
      <c r="C60" s="4" t="s">
        <v>323</v>
      </c>
      <c r="D60" s="4" t="s">
        <v>324</v>
      </c>
      <c r="E60" s="4" t="s">
        <v>313</v>
      </c>
      <c r="F60" s="9">
        <v>3</v>
      </c>
      <c r="G60" s="9">
        <v>3</v>
      </c>
      <c r="H60" s="9">
        <f t="shared" ref="H60:H61" si="3">F60*G60</f>
        <v>9</v>
      </c>
      <c r="I60" s="9" t="s">
        <v>72</v>
      </c>
      <c r="J60" s="119" t="s">
        <v>325</v>
      </c>
      <c r="K60" s="4" t="s">
        <v>326</v>
      </c>
      <c r="L60" s="8" t="s">
        <v>24</v>
      </c>
      <c r="M60" s="9" t="s">
        <v>87</v>
      </c>
      <c r="N60" s="4" t="s">
        <v>327</v>
      </c>
      <c r="O60" s="4"/>
      <c r="P60" s="4"/>
      <c r="Q60" s="4"/>
      <c r="R60"/>
      <c r="S60"/>
      <c r="T60"/>
      <c r="U60"/>
      <c r="V60"/>
      <c r="W60"/>
      <c r="X60"/>
      <c r="Y60"/>
      <c r="Z60"/>
      <c r="AA60"/>
      <c r="AB60"/>
      <c r="AC60"/>
      <c r="AD60"/>
      <c r="AE60"/>
      <c r="AF60"/>
      <c r="AG60"/>
      <c r="AH60"/>
      <c r="AI60"/>
      <c r="AJ60"/>
      <c r="AK60"/>
      <c r="AL60"/>
    </row>
    <row r="61" spans="1:38" s="3" customFormat="1" ht="28.9">
      <c r="A61" s="4" t="s">
        <v>328</v>
      </c>
      <c r="B61" s="4" t="s">
        <v>329</v>
      </c>
      <c r="C61" s="4" t="s">
        <v>330</v>
      </c>
      <c r="D61" s="4" t="s">
        <v>331</v>
      </c>
      <c r="E61" s="4" t="s">
        <v>332</v>
      </c>
      <c r="F61" s="9">
        <v>3</v>
      </c>
      <c r="G61" s="9">
        <v>1</v>
      </c>
      <c r="H61" s="9">
        <f t="shared" si="3"/>
        <v>3</v>
      </c>
      <c r="I61" s="9" t="s">
        <v>58</v>
      </c>
      <c r="J61" s="4"/>
      <c r="K61" s="4"/>
      <c r="L61" s="8" t="s">
        <v>86</v>
      </c>
      <c r="M61" s="9" t="s">
        <v>25</v>
      </c>
      <c r="N61" s="4" t="s">
        <v>333</v>
      </c>
      <c r="O61" s="4"/>
      <c r="P61" s="4"/>
      <c r="Q61" s="4"/>
      <c r="R61"/>
      <c r="S61"/>
      <c r="T61"/>
      <c r="U61"/>
      <c r="V61"/>
      <c r="W61"/>
      <c r="X61"/>
      <c r="Y61"/>
      <c r="Z61"/>
      <c r="AA61"/>
      <c r="AB61"/>
      <c r="AC61"/>
      <c r="AD61"/>
      <c r="AE61"/>
      <c r="AF61"/>
      <c r="AG61"/>
      <c r="AH61"/>
      <c r="AI61"/>
      <c r="AJ61"/>
      <c r="AK61"/>
      <c r="AL61"/>
    </row>
    <row r="62" spans="1:38" s="5" customFormat="1" ht="15.6">
      <c r="A62" s="161" t="s">
        <v>334</v>
      </c>
      <c r="B62" s="161"/>
      <c r="C62" s="161"/>
      <c r="D62" s="161"/>
      <c r="E62" s="161"/>
      <c r="F62" s="161"/>
      <c r="G62" s="161"/>
      <c r="H62" s="161"/>
      <c r="I62" s="161"/>
      <c r="J62" s="161"/>
      <c r="K62" s="161"/>
      <c r="L62" s="161"/>
      <c r="M62" s="161"/>
      <c r="N62" s="161"/>
      <c r="O62" s="161"/>
      <c r="P62" s="161"/>
      <c r="Q62" s="161"/>
      <c r="R62"/>
      <c r="S62"/>
      <c r="T62"/>
      <c r="U62"/>
      <c r="V62"/>
      <c r="W62"/>
      <c r="X62"/>
      <c r="Y62"/>
      <c r="Z62"/>
      <c r="AA62"/>
      <c r="AB62"/>
      <c r="AC62"/>
      <c r="AD62"/>
      <c r="AE62"/>
      <c r="AF62"/>
      <c r="AG62"/>
      <c r="AH62"/>
      <c r="AI62"/>
      <c r="AJ62"/>
      <c r="AK62"/>
      <c r="AL62"/>
    </row>
    <row r="63" spans="1:38" ht="43.15">
      <c r="A63" s="40" t="s">
        <v>335</v>
      </c>
      <c r="B63" s="40" t="s">
        <v>336</v>
      </c>
      <c r="C63" s="40" t="s">
        <v>337</v>
      </c>
      <c r="D63" s="40" t="s">
        <v>338</v>
      </c>
      <c r="E63" s="40" t="s">
        <v>339</v>
      </c>
      <c r="F63" s="9">
        <v>5</v>
      </c>
      <c r="G63" s="9">
        <v>1</v>
      </c>
      <c r="H63" s="9">
        <f t="shared" ref="H63:H82" si="4">F63*G63</f>
        <v>5</v>
      </c>
      <c r="I63" s="9"/>
      <c r="J63" s="40" t="s">
        <v>59</v>
      </c>
      <c r="K63" s="40" t="s">
        <v>59</v>
      </c>
      <c r="L63" s="8" t="s">
        <v>24</v>
      </c>
      <c r="M63" s="41" t="s">
        <v>25</v>
      </c>
      <c r="N63" s="40" t="s">
        <v>340</v>
      </c>
      <c r="O63" s="40" t="s">
        <v>125</v>
      </c>
      <c r="P63" s="40" t="s">
        <v>125</v>
      </c>
      <c r="Q63" s="40" t="s">
        <v>125</v>
      </c>
      <c r="R63" s="24"/>
      <c r="S63" s="24"/>
      <c r="T63" s="24"/>
      <c r="U63" s="24"/>
      <c r="V63" s="24"/>
      <c r="W63" s="24"/>
      <c r="X63" s="24"/>
      <c r="Y63" s="24"/>
      <c r="Z63" s="24"/>
      <c r="AA63" s="24"/>
      <c r="AB63" s="24"/>
      <c r="AC63" s="24"/>
      <c r="AD63" s="24"/>
      <c r="AE63" s="24"/>
      <c r="AF63" s="24"/>
      <c r="AG63" s="24"/>
      <c r="AH63" s="24"/>
      <c r="AI63" s="24"/>
      <c r="AJ63" s="24"/>
      <c r="AK63" s="24"/>
      <c r="AL63" s="24"/>
    </row>
    <row r="64" spans="1:38" s="3" customFormat="1" ht="28.9">
      <c r="A64" s="40" t="s">
        <v>341</v>
      </c>
      <c r="B64" s="40" t="s">
        <v>342</v>
      </c>
      <c r="C64" s="40" t="s">
        <v>343</v>
      </c>
      <c r="D64" s="40" t="s">
        <v>344</v>
      </c>
      <c r="E64" s="40" t="s">
        <v>191</v>
      </c>
      <c r="F64" s="9">
        <v>4</v>
      </c>
      <c r="G64" s="9">
        <v>3</v>
      </c>
      <c r="H64" s="9">
        <f t="shared" si="4"/>
        <v>12</v>
      </c>
      <c r="I64" s="9"/>
      <c r="J64" s="47" t="s">
        <v>345</v>
      </c>
      <c r="K64" s="47" t="s">
        <v>346</v>
      </c>
      <c r="L64" s="8" t="s">
        <v>24</v>
      </c>
      <c r="M64" s="41" t="s">
        <v>198</v>
      </c>
      <c r="N64" s="40" t="s">
        <v>347</v>
      </c>
      <c r="O64" s="40" t="s">
        <v>125</v>
      </c>
      <c r="P64" s="40" t="s">
        <v>125</v>
      </c>
      <c r="Q64" s="40" t="s">
        <v>125</v>
      </c>
      <c r="R64" s="24"/>
      <c r="S64" s="24"/>
      <c r="T64" s="24"/>
      <c r="U64" s="24"/>
      <c r="V64" s="24"/>
      <c r="W64" s="24"/>
      <c r="X64" s="24"/>
      <c r="Y64" s="24"/>
      <c r="Z64" s="24"/>
      <c r="AA64" s="24"/>
      <c r="AB64" s="24"/>
      <c r="AC64" s="24"/>
      <c r="AD64" s="24"/>
      <c r="AE64" s="24"/>
      <c r="AF64" s="24"/>
      <c r="AG64" s="24"/>
      <c r="AH64" s="24"/>
      <c r="AI64" s="24"/>
      <c r="AJ64" s="24"/>
      <c r="AK64" s="24"/>
      <c r="AL64" s="24"/>
    </row>
    <row r="65" spans="1:38" s="3" customFormat="1" ht="14.45">
      <c r="A65" s="40" t="s">
        <v>348</v>
      </c>
      <c r="B65" s="40" t="s">
        <v>349</v>
      </c>
      <c r="C65" s="40" t="s">
        <v>350</v>
      </c>
      <c r="D65" s="40" t="s">
        <v>344</v>
      </c>
      <c r="E65" s="40" t="s">
        <v>191</v>
      </c>
      <c r="F65" s="9">
        <v>2</v>
      </c>
      <c r="G65" s="9">
        <v>2</v>
      </c>
      <c r="H65" s="9">
        <f t="shared" si="4"/>
        <v>4</v>
      </c>
      <c r="I65" s="9"/>
      <c r="J65" s="47" t="s">
        <v>351</v>
      </c>
      <c r="K65" s="47" t="s">
        <v>352</v>
      </c>
      <c r="L65" s="8" t="s">
        <v>24</v>
      </c>
      <c r="M65" s="41" t="s">
        <v>198</v>
      </c>
      <c r="N65" s="40" t="s">
        <v>353</v>
      </c>
      <c r="O65" s="40" t="s">
        <v>125</v>
      </c>
      <c r="P65" s="40" t="s">
        <v>125</v>
      </c>
      <c r="Q65" s="40" t="s">
        <v>125</v>
      </c>
      <c r="R65" s="24"/>
      <c r="S65" s="24"/>
      <c r="T65" s="24"/>
      <c r="U65" s="24"/>
      <c r="V65" s="24"/>
      <c r="W65" s="24"/>
      <c r="X65" s="24"/>
      <c r="Y65" s="24"/>
      <c r="Z65" s="24"/>
      <c r="AA65" s="24"/>
      <c r="AB65" s="24"/>
      <c r="AC65" s="24"/>
      <c r="AD65" s="24"/>
      <c r="AE65" s="24"/>
      <c r="AF65" s="24"/>
      <c r="AG65" s="24"/>
      <c r="AH65" s="24"/>
      <c r="AI65" s="24"/>
      <c r="AJ65" s="24"/>
      <c r="AK65" s="24"/>
      <c r="AL65" s="24"/>
    </row>
    <row r="66" spans="1:38" s="3" customFormat="1" ht="28.9">
      <c r="A66" s="40" t="s">
        <v>354</v>
      </c>
      <c r="B66" s="40" t="s">
        <v>355</v>
      </c>
      <c r="C66" s="40" t="s">
        <v>356</v>
      </c>
      <c r="D66" s="40" t="s">
        <v>344</v>
      </c>
      <c r="E66" s="40" t="s">
        <v>191</v>
      </c>
      <c r="F66" s="9">
        <v>4</v>
      </c>
      <c r="G66" s="9">
        <v>2</v>
      </c>
      <c r="H66" s="9">
        <f t="shared" si="4"/>
        <v>8</v>
      </c>
      <c r="I66" s="9"/>
      <c r="J66" s="47" t="s">
        <v>357</v>
      </c>
      <c r="K66" s="47" t="s">
        <v>358</v>
      </c>
      <c r="L66" s="8" t="s">
        <v>24</v>
      </c>
      <c r="M66" s="41" t="s">
        <v>100</v>
      </c>
      <c r="N66" s="40" t="s">
        <v>359</v>
      </c>
      <c r="O66" s="40" t="s">
        <v>125</v>
      </c>
      <c r="P66" s="40" t="s">
        <v>125</v>
      </c>
      <c r="Q66" s="40" t="s">
        <v>125</v>
      </c>
      <c r="R66" s="24"/>
      <c r="S66" s="24"/>
      <c r="T66" s="24"/>
      <c r="U66" s="24"/>
      <c r="V66" s="24"/>
      <c r="W66" s="24"/>
      <c r="X66" s="24"/>
      <c r="Y66" s="24"/>
      <c r="Z66" s="24"/>
      <c r="AA66" s="24"/>
      <c r="AB66" s="24"/>
      <c r="AC66" s="24"/>
      <c r="AD66" s="24"/>
      <c r="AE66" s="24"/>
      <c r="AF66" s="24"/>
      <c r="AG66" s="24"/>
      <c r="AH66" s="24"/>
      <c r="AI66" s="24"/>
      <c r="AJ66" s="24"/>
      <c r="AK66" s="24"/>
      <c r="AL66" s="24"/>
    </row>
    <row r="67" spans="1:38" s="3" customFormat="1" ht="28.9">
      <c r="A67" s="40" t="s">
        <v>360</v>
      </c>
      <c r="B67" s="40" t="s">
        <v>361</v>
      </c>
      <c r="C67" s="40" t="s">
        <v>362</v>
      </c>
      <c r="D67" s="40" t="s">
        <v>363</v>
      </c>
      <c r="E67" s="40" t="s">
        <v>125</v>
      </c>
      <c r="F67" s="9">
        <v>4</v>
      </c>
      <c r="G67" s="9">
        <v>2</v>
      </c>
      <c r="H67" s="9">
        <f t="shared" si="4"/>
        <v>8</v>
      </c>
      <c r="I67" s="9"/>
      <c r="J67" s="40" t="s">
        <v>125</v>
      </c>
      <c r="K67" s="40" t="s">
        <v>125</v>
      </c>
      <c r="L67" s="8" t="s">
        <v>24</v>
      </c>
      <c r="M67" s="41" t="s">
        <v>238</v>
      </c>
      <c r="N67" s="40" t="s">
        <v>364</v>
      </c>
      <c r="O67" s="40" t="s">
        <v>125</v>
      </c>
      <c r="P67" s="40" t="s">
        <v>125</v>
      </c>
      <c r="Q67" s="40" t="s">
        <v>125</v>
      </c>
      <c r="R67" s="24"/>
      <c r="S67" s="24"/>
      <c r="T67" s="24"/>
      <c r="U67" s="24"/>
      <c r="V67" s="24"/>
      <c r="W67" s="24"/>
      <c r="X67" s="24"/>
      <c r="Y67" s="24"/>
      <c r="Z67" s="24"/>
      <c r="AA67" s="24"/>
      <c r="AB67" s="24"/>
      <c r="AC67" s="24"/>
      <c r="AD67" s="24"/>
      <c r="AE67" s="24"/>
      <c r="AF67" s="24"/>
      <c r="AG67" s="24"/>
      <c r="AH67" s="24"/>
      <c r="AI67" s="24"/>
      <c r="AJ67" s="24"/>
      <c r="AK67" s="24"/>
      <c r="AL67" s="24"/>
    </row>
    <row r="68" spans="1:38" s="3" customFormat="1" ht="28.9">
      <c r="A68" s="40" t="s">
        <v>365</v>
      </c>
      <c r="B68" s="40" t="s">
        <v>366</v>
      </c>
      <c r="C68" s="40" t="s">
        <v>367</v>
      </c>
      <c r="D68" s="40" t="s">
        <v>368</v>
      </c>
      <c r="E68" s="40" t="s">
        <v>369</v>
      </c>
      <c r="F68" s="9">
        <v>5</v>
      </c>
      <c r="G68" s="9">
        <v>3</v>
      </c>
      <c r="H68" s="9">
        <f t="shared" si="4"/>
        <v>15</v>
      </c>
      <c r="I68" s="9"/>
      <c r="J68" s="40" t="s">
        <v>59</v>
      </c>
      <c r="K68" s="40" t="s">
        <v>59</v>
      </c>
      <c r="L68" s="8" t="s">
        <v>24</v>
      </c>
      <c r="M68" s="42" t="s">
        <v>87</v>
      </c>
      <c r="N68" s="40" t="s">
        <v>370</v>
      </c>
      <c r="O68" s="40" t="s">
        <v>125</v>
      </c>
      <c r="P68" s="40" t="s">
        <v>125</v>
      </c>
      <c r="Q68" s="40" t="s">
        <v>125</v>
      </c>
      <c r="R68" s="24"/>
      <c r="S68" s="24"/>
      <c r="T68" s="24"/>
      <c r="U68" s="24"/>
      <c r="V68" s="24"/>
      <c r="W68" s="24"/>
      <c r="X68" s="24"/>
      <c r="Y68" s="24"/>
      <c r="Z68" s="24"/>
      <c r="AA68" s="24"/>
      <c r="AB68" s="24"/>
      <c r="AC68" s="24"/>
      <c r="AD68" s="24"/>
      <c r="AE68" s="24"/>
      <c r="AF68" s="24"/>
      <c r="AG68" s="24"/>
      <c r="AH68" s="24"/>
      <c r="AI68" s="24"/>
      <c r="AJ68" s="24"/>
      <c r="AK68" s="24"/>
      <c r="AL68" s="24"/>
    </row>
    <row r="69" spans="1:38" s="3" customFormat="1" ht="43.15">
      <c r="A69" s="40" t="s">
        <v>371</v>
      </c>
      <c r="B69" s="40" t="s">
        <v>372</v>
      </c>
      <c r="C69" s="40" t="s">
        <v>373</v>
      </c>
      <c r="D69" s="40" t="s">
        <v>374</v>
      </c>
      <c r="E69" s="40" t="s">
        <v>67</v>
      </c>
      <c r="F69" s="9">
        <v>5</v>
      </c>
      <c r="G69" s="9">
        <v>1</v>
      </c>
      <c r="H69" s="9">
        <f t="shared" si="4"/>
        <v>5</v>
      </c>
      <c r="I69" s="9"/>
      <c r="J69" s="40" t="s">
        <v>59</v>
      </c>
      <c r="K69" s="40" t="s">
        <v>59</v>
      </c>
      <c r="L69" s="8" t="s">
        <v>24</v>
      </c>
      <c r="M69" s="41" t="s">
        <v>204</v>
      </c>
      <c r="N69" s="40" t="s">
        <v>375</v>
      </c>
      <c r="O69" s="40" t="s">
        <v>125</v>
      </c>
      <c r="P69" s="40" t="s">
        <v>125</v>
      </c>
      <c r="Q69" s="40" t="s">
        <v>125</v>
      </c>
      <c r="R69" s="24"/>
      <c r="S69" s="24"/>
      <c r="T69" s="24"/>
      <c r="U69" s="24"/>
      <c r="V69" s="24"/>
      <c r="W69" s="24"/>
      <c r="X69" s="24"/>
      <c r="Y69" s="24"/>
      <c r="Z69" s="24"/>
      <c r="AA69" s="24"/>
      <c r="AB69" s="24"/>
      <c r="AC69" s="24"/>
      <c r="AD69" s="24"/>
      <c r="AE69" s="24"/>
      <c r="AF69" s="24"/>
      <c r="AG69" s="24"/>
      <c r="AH69" s="24"/>
      <c r="AI69" s="24"/>
      <c r="AJ69" s="24"/>
      <c r="AK69" s="24"/>
      <c r="AL69" s="24"/>
    </row>
    <row r="70" spans="1:38" s="3" customFormat="1" ht="43.15">
      <c r="A70" s="40" t="s">
        <v>376</v>
      </c>
      <c r="B70" s="40" t="s">
        <v>377</v>
      </c>
      <c r="C70" s="40" t="s">
        <v>378</v>
      </c>
      <c r="D70" s="40" t="s">
        <v>379</v>
      </c>
      <c r="E70" s="40" t="s">
        <v>67</v>
      </c>
      <c r="F70" s="9">
        <v>1</v>
      </c>
      <c r="G70" s="9">
        <v>1</v>
      </c>
      <c r="H70" s="9">
        <f t="shared" si="4"/>
        <v>1</v>
      </c>
      <c r="I70" s="9"/>
      <c r="J70" s="40" t="s">
        <v>59</v>
      </c>
      <c r="K70" s="40" t="s">
        <v>59</v>
      </c>
      <c r="L70" s="8" t="s">
        <v>24</v>
      </c>
      <c r="M70" s="41" t="s">
        <v>25</v>
      </c>
      <c r="N70" s="40" t="s">
        <v>380</v>
      </c>
      <c r="O70" s="40" t="s">
        <v>125</v>
      </c>
      <c r="P70" s="40" t="s">
        <v>125</v>
      </c>
      <c r="Q70" s="40" t="s">
        <v>125</v>
      </c>
      <c r="R70" s="24"/>
      <c r="S70" s="24"/>
      <c r="T70" s="24"/>
      <c r="U70" s="24"/>
      <c r="V70" s="24"/>
      <c r="W70" s="24"/>
      <c r="X70" s="24"/>
      <c r="Y70" s="24"/>
      <c r="Z70" s="24"/>
      <c r="AA70" s="24"/>
      <c r="AB70" s="24"/>
      <c r="AC70" s="24"/>
      <c r="AD70" s="24"/>
      <c r="AE70" s="24"/>
      <c r="AF70" s="24"/>
      <c r="AG70" s="24"/>
      <c r="AH70" s="24"/>
      <c r="AI70" s="24"/>
      <c r="AJ70" s="24"/>
      <c r="AK70" s="24"/>
      <c r="AL70" s="24"/>
    </row>
    <row r="71" spans="1:38" s="3" customFormat="1" ht="48.75" customHeight="1">
      <c r="A71" s="40" t="s">
        <v>381</v>
      </c>
      <c r="B71" s="40" t="s">
        <v>382</v>
      </c>
      <c r="C71" s="40" t="s">
        <v>383</v>
      </c>
      <c r="D71" s="40" t="s">
        <v>384</v>
      </c>
      <c r="E71" s="40" t="s">
        <v>385</v>
      </c>
      <c r="F71" s="9">
        <v>4</v>
      </c>
      <c r="G71" s="9">
        <v>2</v>
      </c>
      <c r="H71" s="9">
        <f t="shared" si="4"/>
        <v>8</v>
      </c>
      <c r="I71" s="9"/>
      <c r="J71" s="40" t="s">
        <v>59</v>
      </c>
      <c r="K71" s="40" t="s">
        <v>59</v>
      </c>
      <c r="L71" s="8" t="s">
        <v>24</v>
      </c>
      <c r="M71" s="41" t="s">
        <v>136</v>
      </c>
      <c r="N71" s="40" t="s">
        <v>386</v>
      </c>
      <c r="O71" s="40" t="s">
        <v>125</v>
      </c>
      <c r="P71" s="40" t="s">
        <v>125</v>
      </c>
      <c r="Q71" s="40" t="s">
        <v>125</v>
      </c>
      <c r="R71" s="24"/>
      <c r="S71" s="24"/>
      <c r="T71" s="24"/>
      <c r="U71" s="24"/>
      <c r="V71" s="24"/>
      <c r="W71" s="24"/>
      <c r="X71" s="24"/>
      <c r="Y71" s="24"/>
      <c r="Z71" s="24"/>
      <c r="AA71" s="24"/>
      <c r="AB71" s="24"/>
      <c r="AC71" s="24"/>
      <c r="AD71" s="24"/>
      <c r="AE71" s="24"/>
      <c r="AF71" s="24"/>
      <c r="AG71" s="24"/>
      <c r="AH71" s="24"/>
      <c r="AI71" s="24"/>
      <c r="AJ71" s="24"/>
      <c r="AK71" s="24"/>
      <c r="AL71" s="24"/>
    </row>
    <row r="72" spans="1:38" s="3" customFormat="1" ht="28.9">
      <c r="A72" s="40" t="s">
        <v>387</v>
      </c>
      <c r="B72" s="40" t="s">
        <v>388</v>
      </c>
      <c r="C72" s="40" t="s">
        <v>389</v>
      </c>
      <c r="D72" s="40" t="s">
        <v>390</v>
      </c>
      <c r="E72" s="40" t="s">
        <v>102</v>
      </c>
      <c r="F72" s="9">
        <v>2</v>
      </c>
      <c r="G72" s="9">
        <v>1</v>
      </c>
      <c r="H72" s="9">
        <f t="shared" si="4"/>
        <v>2</v>
      </c>
      <c r="I72" s="9"/>
      <c r="J72" s="40" t="s">
        <v>59</v>
      </c>
      <c r="K72" s="40" t="s">
        <v>59</v>
      </c>
      <c r="L72" s="8" t="s">
        <v>24</v>
      </c>
      <c r="M72" s="41" t="s">
        <v>25</v>
      </c>
      <c r="N72" s="40" t="s">
        <v>391</v>
      </c>
      <c r="O72" s="40" t="s">
        <v>125</v>
      </c>
      <c r="P72" s="40" t="s">
        <v>125</v>
      </c>
      <c r="Q72" s="40" t="s">
        <v>125</v>
      </c>
      <c r="R72" s="24"/>
      <c r="S72" s="24"/>
      <c r="T72" s="24"/>
      <c r="U72" s="24"/>
      <c r="V72" s="24"/>
      <c r="W72" s="24"/>
      <c r="X72" s="24"/>
      <c r="Y72" s="24"/>
      <c r="Z72" s="24"/>
      <c r="AA72" s="24"/>
      <c r="AB72" s="24"/>
      <c r="AC72" s="24"/>
      <c r="AD72" s="24"/>
      <c r="AE72" s="24"/>
      <c r="AF72" s="24"/>
      <c r="AG72" s="24"/>
      <c r="AH72" s="24"/>
      <c r="AI72" s="24"/>
      <c r="AJ72" s="24"/>
      <c r="AK72" s="24"/>
      <c r="AL72" s="24"/>
    </row>
    <row r="73" spans="1:38" s="6" customFormat="1" ht="64.349999999999994" customHeight="1">
      <c r="A73" s="48" t="s">
        <v>392</v>
      </c>
      <c r="B73" s="48" t="s">
        <v>393</v>
      </c>
      <c r="C73" s="48" t="s">
        <v>394</v>
      </c>
      <c r="D73" s="48" t="s">
        <v>395</v>
      </c>
      <c r="E73" s="48" t="s">
        <v>396</v>
      </c>
      <c r="F73" s="9">
        <v>5</v>
      </c>
      <c r="G73" s="9">
        <v>1</v>
      </c>
      <c r="H73" s="9">
        <f t="shared" si="4"/>
        <v>5</v>
      </c>
      <c r="I73" s="9"/>
      <c r="J73" s="47" t="s">
        <v>397</v>
      </c>
      <c r="K73" s="47" t="s">
        <v>398</v>
      </c>
      <c r="L73" s="8" t="s">
        <v>24</v>
      </c>
      <c r="M73" s="49" t="s">
        <v>231</v>
      </c>
      <c r="N73" s="48" t="s">
        <v>399</v>
      </c>
      <c r="O73" s="48" t="s">
        <v>125</v>
      </c>
      <c r="P73" s="48" t="s">
        <v>125</v>
      </c>
      <c r="Q73" s="48" t="s">
        <v>125</v>
      </c>
      <c r="R73" s="25" t="s">
        <v>125</v>
      </c>
      <c r="S73" s="25" t="s">
        <v>125</v>
      </c>
      <c r="T73" s="25" t="s">
        <v>125</v>
      </c>
      <c r="U73" s="25" t="s">
        <v>125</v>
      </c>
      <c r="V73" s="25" t="s">
        <v>125</v>
      </c>
      <c r="W73" s="25" t="s">
        <v>125</v>
      </c>
      <c r="X73" s="25" t="s">
        <v>125</v>
      </c>
      <c r="Y73" s="25" t="s">
        <v>125</v>
      </c>
      <c r="Z73" s="25" t="s">
        <v>125</v>
      </c>
      <c r="AA73" s="25" t="s">
        <v>125</v>
      </c>
      <c r="AB73" s="25" t="s">
        <v>125</v>
      </c>
      <c r="AC73" s="25" t="s">
        <v>125</v>
      </c>
      <c r="AD73" s="25" t="s">
        <v>125</v>
      </c>
      <c r="AE73" s="25" t="s">
        <v>125</v>
      </c>
      <c r="AF73" s="25" t="s">
        <v>125</v>
      </c>
      <c r="AG73" s="25" t="s">
        <v>125</v>
      </c>
      <c r="AH73" s="25" t="s">
        <v>125</v>
      </c>
      <c r="AI73" s="25" t="s">
        <v>125</v>
      </c>
      <c r="AJ73" s="25" t="s">
        <v>125</v>
      </c>
      <c r="AK73" s="25" t="s">
        <v>125</v>
      </c>
      <c r="AL73" s="25" t="s">
        <v>125</v>
      </c>
    </row>
    <row r="74" spans="1:38" s="3" customFormat="1" ht="57.6" customHeight="1">
      <c r="A74" s="40" t="s">
        <v>400</v>
      </c>
      <c r="B74" s="40" t="s">
        <v>401</v>
      </c>
      <c r="C74" s="40" t="s">
        <v>402</v>
      </c>
      <c r="D74" s="40" t="s">
        <v>403</v>
      </c>
      <c r="E74" s="40" t="s">
        <v>125</v>
      </c>
      <c r="F74" s="9">
        <v>5</v>
      </c>
      <c r="G74" s="9">
        <v>2</v>
      </c>
      <c r="H74" s="9">
        <f t="shared" si="4"/>
        <v>10</v>
      </c>
      <c r="I74" s="9"/>
      <c r="J74" s="40" t="s">
        <v>59</v>
      </c>
      <c r="K74" s="40" t="s">
        <v>59</v>
      </c>
      <c r="L74" s="8" t="s">
        <v>24</v>
      </c>
      <c r="M74" s="41" t="s">
        <v>25</v>
      </c>
      <c r="N74" s="40" t="s">
        <v>404</v>
      </c>
      <c r="O74" s="40" t="s">
        <v>125</v>
      </c>
      <c r="P74" s="40" t="s">
        <v>125</v>
      </c>
      <c r="Q74" s="40" t="s">
        <v>125</v>
      </c>
      <c r="R74" s="24"/>
      <c r="S74" s="24"/>
      <c r="T74" s="24"/>
      <c r="U74" s="24"/>
      <c r="V74" s="24"/>
      <c r="W74" s="24"/>
      <c r="X74" s="24"/>
      <c r="Y74" s="24"/>
      <c r="Z74" s="24"/>
      <c r="AA74" s="24"/>
      <c r="AB74" s="24"/>
      <c r="AC74" s="24"/>
      <c r="AD74" s="24"/>
      <c r="AE74" s="24"/>
      <c r="AF74" s="24"/>
      <c r="AG74" s="24"/>
      <c r="AH74" s="24"/>
      <c r="AI74" s="24"/>
      <c r="AJ74" s="24"/>
      <c r="AK74" s="24"/>
      <c r="AL74" s="24"/>
    </row>
    <row r="75" spans="1:38" s="3" customFormat="1" ht="59.85" customHeight="1">
      <c r="A75" s="40" t="s">
        <v>405</v>
      </c>
      <c r="B75" s="40" t="s">
        <v>406</v>
      </c>
      <c r="C75" s="40" t="s">
        <v>407</v>
      </c>
      <c r="D75" s="40" t="s">
        <v>408</v>
      </c>
      <c r="E75" s="40" t="s">
        <v>313</v>
      </c>
      <c r="F75" s="9">
        <v>4</v>
      </c>
      <c r="G75" s="9">
        <v>2</v>
      </c>
      <c r="H75" s="9">
        <f t="shared" si="4"/>
        <v>8</v>
      </c>
      <c r="I75" s="9"/>
      <c r="J75" s="47" t="s">
        <v>409</v>
      </c>
      <c r="K75" s="47" t="s">
        <v>410</v>
      </c>
      <c r="L75" s="8" t="s">
        <v>24</v>
      </c>
      <c r="M75" s="41" t="s">
        <v>411</v>
      </c>
      <c r="N75" s="40" t="s">
        <v>412</v>
      </c>
      <c r="O75" s="40" t="s">
        <v>125</v>
      </c>
      <c r="P75" s="40" t="s">
        <v>125</v>
      </c>
      <c r="Q75" s="40" t="s">
        <v>125</v>
      </c>
      <c r="R75" s="24"/>
      <c r="S75" s="24"/>
      <c r="T75" s="24"/>
      <c r="U75" s="24"/>
      <c r="V75" s="24"/>
      <c r="W75" s="24"/>
      <c r="X75" s="24"/>
      <c r="Y75" s="24"/>
      <c r="Z75" s="24"/>
      <c r="AA75" s="24"/>
      <c r="AB75" s="24"/>
      <c r="AC75" s="24"/>
      <c r="AD75" s="24"/>
      <c r="AE75" s="24"/>
      <c r="AF75" s="24"/>
      <c r="AG75" s="24"/>
      <c r="AH75" s="24"/>
      <c r="AI75" s="24"/>
      <c r="AJ75" s="24"/>
      <c r="AK75" s="24"/>
      <c r="AL75" s="24"/>
    </row>
    <row r="76" spans="1:38" s="3" customFormat="1" ht="28.9">
      <c r="A76" s="40" t="s">
        <v>413</v>
      </c>
      <c r="B76" s="40" t="s">
        <v>414</v>
      </c>
      <c r="C76" s="40" t="s">
        <v>415</v>
      </c>
      <c r="D76" s="40" t="s">
        <v>416</v>
      </c>
      <c r="E76" s="43" t="s">
        <v>107</v>
      </c>
      <c r="F76" s="9">
        <v>5</v>
      </c>
      <c r="G76" s="9">
        <v>1</v>
      </c>
      <c r="H76" s="9">
        <f t="shared" si="4"/>
        <v>5</v>
      </c>
      <c r="I76" s="9"/>
      <c r="J76" s="40" t="s">
        <v>59</v>
      </c>
      <c r="K76" s="40" t="s">
        <v>59</v>
      </c>
      <c r="L76" s="8" t="s">
        <v>24</v>
      </c>
      <c r="M76" s="41" t="s">
        <v>25</v>
      </c>
      <c r="N76" s="40" t="s">
        <v>417</v>
      </c>
      <c r="O76" s="40" t="s">
        <v>125</v>
      </c>
      <c r="P76" s="40" t="s">
        <v>125</v>
      </c>
      <c r="Q76" s="40" t="s">
        <v>125</v>
      </c>
      <c r="R76" s="24"/>
      <c r="S76" s="24"/>
      <c r="T76" s="24"/>
      <c r="U76" s="24"/>
      <c r="V76" s="24"/>
      <c r="W76" s="24"/>
      <c r="X76" s="24"/>
      <c r="Y76" s="24"/>
      <c r="Z76" s="24"/>
      <c r="AA76" s="24"/>
      <c r="AB76" s="24"/>
      <c r="AC76" s="24"/>
      <c r="AD76" s="24"/>
      <c r="AE76" s="24"/>
      <c r="AF76" s="24"/>
      <c r="AG76" s="24"/>
      <c r="AH76" s="24"/>
      <c r="AI76" s="24"/>
      <c r="AJ76" s="24"/>
      <c r="AK76" s="24"/>
      <c r="AL76" s="24"/>
    </row>
    <row r="77" spans="1:38" s="3" customFormat="1" ht="28.9">
      <c r="A77" s="40" t="s">
        <v>418</v>
      </c>
      <c r="B77" s="40" t="s">
        <v>419</v>
      </c>
      <c r="C77" s="40" t="s">
        <v>420</v>
      </c>
      <c r="D77" s="40" t="s">
        <v>421</v>
      </c>
      <c r="E77" s="43" t="s">
        <v>107</v>
      </c>
      <c r="F77" s="9">
        <v>4</v>
      </c>
      <c r="G77" s="9">
        <v>1</v>
      </c>
      <c r="H77" s="9">
        <f t="shared" si="4"/>
        <v>4</v>
      </c>
      <c r="I77" s="9"/>
      <c r="J77" s="40" t="s">
        <v>59</v>
      </c>
      <c r="K77" s="40" t="s">
        <v>59</v>
      </c>
      <c r="L77" s="8" t="s">
        <v>24</v>
      </c>
      <c r="M77" s="41" t="s">
        <v>422</v>
      </c>
      <c r="N77" s="40" t="s">
        <v>423</v>
      </c>
      <c r="O77" s="40" t="s">
        <v>125</v>
      </c>
      <c r="P77" s="40" t="s">
        <v>125</v>
      </c>
      <c r="Q77" s="40" t="s">
        <v>125</v>
      </c>
      <c r="R77" s="24"/>
      <c r="S77" s="24"/>
      <c r="T77" s="24"/>
      <c r="U77" s="24"/>
      <c r="V77" s="24"/>
      <c r="W77" s="24"/>
      <c r="X77" s="24"/>
      <c r="Y77" s="24"/>
      <c r="Z77" s="24"/>
      <c r="AA77" s="24"/>
      <c r="AB77" s="24"/>
      <c r="AC77" s="24"/>
      <c r="AD77" s="24"/>
      <c r="AE77" s="24"/>
      <c r="AF77" s="24"/>
      <c r="AG77" s="24"/>
      <c r="AH77" s="24"/>
      <c r="AI77" s="24"/>
      <c r="AJ77" s="24"/>
      <c r="AK77" s="24"/>
      <c r="AL77" s="24"/>
    </row>
    <row r="78" spans="1:38" s="3" customFormat="1" ht="28.9">
      <c r="A78" s="40" t="s">
        <v>424</v>
      </c>
      <c r="B78" s="40" t="s">
        <v>425</v>
      </c>
      <c r="C78" s="40" t="s">
        <v>426</v>
      </c>
      <c r="D78" s="40" t="s">
        <v>427</v>
      </c>
      <c r="E78" s="43" t="s">
        <v>107</v>
      </c>
      <c r="F78" s="9">
        <v>4</v>
      </c>
      <c r="G78" s="9">
        <v>1</v>
      </c>
      <c r="H78" s="9">
        <f t="shared" si="4"/>
        <v>4</v>
      </c>
      <c r="I78" s="9"/>
      <c r="J78" s="40" t="s">
        <v>59</v>
      </c>
      <c r="K78" s="40" t="s">
        <v>59</v>
      </c>
      <c r="L78" s="8" t="s">
        <v>24</v>
      </c>
      <c r="M78" s="41" t="s">
        <v>25</v>
      </c>
      <c r="N78" s="40" t="s">
        <v>428</v>
      </c>
      <c r="O78" s="40" t="s">
        <v>125</v>
      </c>
      <c r="P78" s="40" t="s">
        <v>125</v>
      </c>
      <c r="Q78" s="40" t="s">
        <v>125</v>
      </c>
      <c r="R78" s="24"/>
      <c r="S78" s="24"/>
      <c r="T78" s="24"/>
      <c r="U78" s="24"/>
      <c r="V78" s="24"/>
      <c r="W78" s="24"/>
      <c r="X78" s="24"/>
      <c r="Y78" s="24"/>
      <c r="Z78" s="24"/>
      <c r="AA78" s="24"/>
      <c r="AB78" s="24"/>
      <c r="AC78" s="24"/>
      <c r="AD78" s="24"/>
      <c r="AE78" s="24"/>
      <c r="AF78" s="24"/>
      <c r="AG78" s="24"/>
      <c r="AH78" s="24"/>
      <c r="AI78" s="24"/>
      <c r="AJ78" s="24"/>
      <c r="AK78" s="24"/>
      <c r="AL78" s="24"/>
    </row>
    <row r="79" spans="1:38" s="3" customFormat="1" ht="28.9">
      <c r="A79" s="40" t="s">
        <v>429</v>
      </c>
      <c r="B79" s="40" t="s">
        <v>430</v>
      </c>
      <c r="C79" s="40" t="s">
        <v>431</v>
      </c>
      <c r="D79" s="40" t="s">
        <v>432</v>
      </c>
      <c r="E79" s="43" t="s">
        <v>107</v>
      </c>
      <c r="F79" s="9">
        <v>3</v>
      </c>
      <c r="G79" s="9">
        <v>2</v>
      </c>
      <c r="H79" s="9">
        <f t="shared" si="4"/>
        <v>6</v>
      </c>
      <c r="I79" s="9"/>
      <c r="J79" s="40" t="s">
        <v>59</v>
      </c>
      <c r="K79" s="40" t="s">
        <v>59</v>
      </c>
      <c r="L79" s="8" t="s">
        <v>24</v>
      </c>
      <c r="M79" s="41" t="s">
        <v>60</v>
      </c>
      <c r="N79" s="40" t="s">
        <v>433</v>
      </c>
      <c r="O79" s="40" t="s">
        <v>125</v>
      </c>
      <c r="P79" s="40" t="s">
        <v>125</v>
      </c>
      <c r="Q79" s="40" t="s">
        <v>125</v>
      </c>
      <c r="R79" s="24"/>
      <c r="S79" s="24"/>
      <c r="T79" s="24"/>
      <c r="U79" s="24"/>
      <c r="V79" s="24"/>
      <c r="W79" s="24"/>
      <c r="X79" s="24"/>
      <c r="Y79" s="24"/>
      <c r="Z79" s="24"/>
      <c r="AA79" s="24"/>
      <c r="AB79" s="24"/>
      <c r="AC79" s="24"/>
      <c r="AD79" s="24"/>
      <c r="AE79" s="24"/>
      <c r="AF79" s="24"/>
      <c r="AG79" s="24"/>
      <c r="AH79" s="24"/>
      <c r="AI79" s="24"/>
      <c r="AJ79" s="24"/>
      <c r="AK79" s="24"/>
      <c r="AL79" s="24"/>
    </row>
    <row r="80" spans="1:38" s="3" customFormat="1" ht="28.9">
      <c r="A80" s="40" t="s">
        <v>434</v>
      </c>
      <c r="B80" s="40" t="s">
        <v>435</v>
      </c>
      <c r="C80" s="40" t="s">
        <v>436</v>
      </c>
      <c r="D80" s="40" t="s">
        <v>437</v>
      </c>
      <c r="E80" s="43" t="s">
        <v>107</v>
      </c>
      <c r="F80" s="9">
        <v>2</v>
      </c>
      <c r="G80" s="9">
        <v>1</v>
      </c>
      <c r="H80" s="9">
        <f t="shared" si="4"/>
        <v>2</v>
      </c>
      <c r="I80" s="9"/>
      <c r="J80" s="40" t="s">
        <v>59</v>
      </c>
      <c r="K80" s="40" t="s">
        <v>59</v>
      </c>
      <c r="L80" s="8" t="s">
        <v>24</v>
      </c>
      <c r="M80" s="41" t="s">
        <v>60</v>
      </c>
      <c r="N80" s="40" t="s">
        <v>438</v>
      </c>
      <c r="O80" s="40" t="s">
        <v>125</v>
      </c>
      <c r="P80" s="40" t="s">
        <v>125</v>
      </c>
      <c r="Q80" s="40" t="s">
        <v>125</v>
      </c>
      <c r="R80" s="24"/>
      <c r="S80" s="24"/>
      <c r="T80" s="24"/>
      <c r="U80" s="24"/>
      <c r="V80" s="24"/>
      <c r="W80" s="24"/>
      <c r="X80" s="24"/>
      <c r="Y80" s="24"/>
      <c r="Z80" s="24"/>
      <c r="AA80" s="24"/>
      <c r="AB80" s="24"/>
      <c r="AC80" s="24"/>
      <c r="AD80" s="24"/>
      <c r="AE80" s="24"/>
      <c r="AF80" s="24"/>
      <c r="AG80" s="24"/>
      <c r="AH80" s="24"/>
      <c r="AI80" s="24"/>
      <c r="AJ80" s="24"/>
      <c r="AK80" s="24"/>
      <c r="AL80" s="24"/>
    </row>
    <row r="81" spans="1:38" s="3" customFormat="1" ht="43.15">
      <c r="A81" s="40" t="s">
        <v>439</v>
      </c>
      <c r="B81" s="40" t="s">
        <v>440</v>
      </c>
      <c r="C81" s="40" t="s">
        <v>441</v>
      </c>
      <c r="D81" s="40" t="s">
        <v>442</v>
      </c>
      <c r="E81" s="43" t="s">
        <v>107</v>
      </c>
      <c r="F81" s="9">
        <v>2</v>
      </c>
      <c r="G81" s="9">
        <v>1</v>
      </c>
      <c r="H81" s="9">
        <f t="shared" si="4"/>
        <v>2</v>
      </c>
      <c r="I81" s="9"/>
      <c r="J81" s="40" t="s">
        <v>59</v>
      </c>
      <c r="K81" s="40" t="s">
        <v>59</v>
      </c>
      <c r="L81" s="8" t="s">
        <v>24</v>
      </c>
      <c r="M81" s="41" t="s">
        <v>154</v>
      </c>
      <c r="N81" s="40" t="s">
        <v>443</v>
      </c>
      <c r="O81" s="40" t="s">
        <v>125</v>
      </c>
      <c r="P81" s="40" t="s">
        <v>125</v>
      </c>
      <c r="Q81" s="40" t="s">
        <v>125</v>
      </c>
      <c r="R81" s="24"/>
      <c r="S81" s="24"/>
      <c r="T81" s="24"/>
      <c r="U81" s="24"/>
      <c r="V81" s="24"/>
      <c r="W81" s="24"/>
      <c r="X81" s="24"/>
      <c r="Y81" s="24"/>
      <c r="Z81" s="24"/>
      <c r="AA81" s="24"/>
      <c r="AB81" s="24"/>
      <c r="AC81" s="24"/>
      <c r="AD81" s="24"/>
      <c r="AE81" s="24"/>
      <c r="AF81" s="24"/>
      <c r="AG81" s="24"/>
      <c r="AH81" s="24"/>
      <c r="AI81" s="24"/>
      <c r="AJ81" s="24"/>
      <c r="AK81" s="24"/>
      <c r="AL81" s="24"/>
    </row>
    <row r="82" spans="1:38" s="3" customFormat="1" ht="28.9">
      <c r="A82" s="40" t="s">
        <v>444</v>
      </c>
      <c r="B82" s="40" t="s">
        <v>445</v>
      </c>
      <c r="C82" s="40" t="s">
        <v>446</v>
      </c>
      <c r="D82" s="40" t="s">
        <v>447</v>
      </c>
      <c r="E82" s="43" t="s">
        <v>107</v>
      </c>
      <c r="F82" s="9">
        <v>4</v>
      </c>
      <c r="G82" s="9">
        <v>2</v>
      </c>
      <c r="H82" s="9">
        <f t="shared" si="4"/>
        <v>8</v>
      </c>
      <c r="I82" s="9"/>
      <c r="J82" s="40" t="s">
        <v>59</v>
      </c>
      <c r="K82" s="40" t="s">
        <v>59</v>
      </c>
      <c r="L82" s="8" t="s">
        <v>24</v>
      </c>
      <c r="M82" s="41" t="s">
        <v>100</v>
      </c>
      <c r="N82" s="40" t="s">
        <v>448</v>
      </c>
      <c r="O82" s="40" t="s">
        <v>125</v>
      </c>
      <c r="P82" s="40" t="s">
        <v>125</v>
      </c>
      <c r="Q82" s="40" t="s">
        <v>125</v>
      </c>
      <c r="R82" s="24"/>
      <c r="S82" s="24"/>
      <c r="T82" s="24"/>
      <c r="U82" s="24"/>
      <c r="V82" s="24"/>
      <c r="W82" s="24"/>
      <c r="X82" s="24"/>
      <c r="Y82" s="24"/>
      <c r="Z82" s="24"/>
      <c r="AA82" s="24"/>
      <c r="AB82" s="24"/>
      <c r="AC82" s="24"/>
      <c r="AD82" s="24"/>
      <c r="AE82" s="24"/>
      <c r="AF82" s="24"/>
      <c r="AG82" s="24"/>
      <c r="AH82" s="24"/>
      <c r="AI82" s="24"/>
      <c r="AJ82" s="24"/>
      <c r="AK82" s="24"/>
      <c r="AL82" s="24"/>
    </row>
    <row r="83" spans="1:38" s="3" customFormat="1" ht="27.75" customHeight="1">
      <c r="A83" s="40" t="s">
        <v>449</v>
      </c>
      <c r="B83" s="40" t="s">
        <v>450</v>
      </c>
      <c r="C83" s="40" t="s">
        <v>451</v>
      </c>
      <c r="D83" s="40" t="s">
        <v>452</v>
      </c>
      <c r="E83" s="43" t="s">
        <v>107</v>
      </c>
      <c r="F83" s="9">
        <v>4</v>
      </c>
      <c r="G83" s="9">
        <v>1</v>
      </c>
      <c r="H83" s="9">
        <f>F83*G83</f>
        <v>4</v>
      </c>
      <c r="I83" s="9"/>
      <c r="J83" s="45" t="s">
        <v>453</v>
      </c>
      <c r="K83" s="40" t="s">
        <v>454</v>
      </c>
      <c r="L83" s="8" t="s">
        <v>24</v>
      </c>
      <c r="M83" s="41" t="s">
        <v>455</v>
      </c>
      <c r="N83" s="40" t="s">
        <v>456</v>
      </c>
      <c r="O83" s="40" t="s">
        <v>125</v>
      </c>
      <c r="P83" s="40" t="s">
        <v>125</v>
      </c>
      <c r="Q83" s="40" t="s">
        <v>125</v>
      </c>
      <c r="R83" s="24"/>
      <c r="S83" s="24"/>
      <c r="T83" s="24"/>
      <c r="U83" s="24"/>
      <c r="V83" s="24"/>
      <c r="W83" s="24"/>
      <c r="X83" s="24"/>
      <c r="Y83" s="24"/>
      <c r="Z83" s="24"/>
      <c r="AA83" s="24"/>
      <c r="AB83" s="24"/>
      <c r="AC83" s="24"/>
      <c r="AD83" s="24"/>
      <c r="AE83" s="24"/>
      <c r="AF83" s="24"/>
      <c r="AG83" s="24"/>
      <c r="AH83" s="24"/>
      <c r="AI83" s="24"/>
      <c r="AJ83" s="24"/>
      <c r="AK83" s="24"/>
      <c r="AL83" s="24"/>
    </row>
    <row r="84" spans="1:38" s="3" customFormat="1" ht="28.9">
      <c r="A84" s="40" t="s">
        <v>457</v>
      </c>
      <c r="B84" s="40" t="s">
        <v>458</v>
      </c>
      <c r="C84" s="40" t="s">
        <v>459</v>
      </c>
      <c r="D84" s="40" t="s">
        <v>460</v>
      </c>
      <c r="E84" s="43" t="s">
        <v>107</v>
      </c>
      <c r="F84" s="9">
        <v>4</v>
      </c>
      <c r="G84" s="9">
        <v>1</v>
      </c>
      <c r="H84" s="9">
        <f>F84*G84</f>
        <v>4</v>
      </c>
      <c r="I84" s="9"/>
      <c r="J84" s="40" t="s">
        <v>461</v>
      </c>
      <c r="K84" s="40" t="s">
        <v>462</v>
      </c>
      <c r="L84" s="8" t="s">
        <v>24</v>
      </c>
      <c r="M84" s="41" t="s">
        <v>238</v>
      </c>
      <c r="N84" s="40" t="s">
        <v>463</v>
      </c>
      <c r="O84" s="40" t="s">
        <v>125</v>
      </c>
      <c r="P84" s="40" t="s">
        <v>125</v>
      </c>
      <c r="Q84" s="40" t="s">
        <v>125</v>
      </c>
      <c r="R84" s="24"/>
      <c r="S84" s="24"/>
      <c r="T84" s="24"/>
      <c r="U84" s="24"/>
      <c r="V84" s="24"/>
      <c r="W84" s="24"/>
      <c r="X84" s="24"/>
      <c r="Y84" s="24"/>
      <c r="Z84" s="24"/>
      <c r="AA84" s="24"/>
      <c r="AB84" s="24"/>
      <c r="AC84" s="24"/>
      <c r="AD84" s="24"/>
      <c r="AE84" s="24"/>
      <c r="AF84" s="24"/>
      <c r="AG84" s="24"/>
      <c r="AH84" s="24"/>
      <c r="AI84" s="24"/>
      <c r="AJ84" s="24"/>
      <c r="AK84" s="24"/>
      <c r="AL84" s="24"/>
    </row>
    <row r="85" spans="1:38" s="3" customFormat="1" ht="15.6">
      <c r="A85" s="161" t="s">
        <v>464</v>
      </c>
      <c r="B85" s="161"/>
      <c r="C85" s="161"/>
      <c r="D85" s="161"/>
      <c r="E85" s="161"/>
      <c r="F85" s="161"/>
      <c r="G85" s="161"/>
      <c r="H85" s="161"/>
      <c r="I85" s="161"/>
      <c r="J85" s="161"/>
      <c r="K85" s="161"/>
      <c r="L85" s="161"/>
      <c r="M85" s="161"/>
      <c r="N85" s="161"/>
      <c r="O85" s="161"/>
      <c r="P85" s="161"/>
      <c r="Q85" s="161"/>
      <c r="R85"/>
      <c r="S85"/>
      <c r="T85"/>
      <c r="U85"/>
      <c r="V85"/>
      <c r="W85"/>
      <c r="X85"/>
      <c r="Y85"/>
      <c r="Z85"/>
      <c r="AA85"/>
      <c r="AB85"/>
      <c r="AC85"/>
      <c r="AD85"/>
      <c r="AE85"/>
      <c r="AF85"/>
      <c r="AG85"/>
      <c r="AH85"/>
      <c r="AI85"/>
      <c r="AJ85"/>
      <c r="AK85"/>
      <c r="AL85"/>
    </row>
    <row r="86" spans="1:38" s="3" customFormat="1" ht="28.9">
      <c r="A86" s="4" t="s">
        <v>465</v>
      </c>
      <c r="B86" s="4" t="s">
        <v>466</v>
      </c>
      <c r="C86" s="4" t="s">
        <v>467</v>
      </c>
      <c r="D86" s="4" t="s">
        <v>468</v>
      </c>
      <c r="E86" s="4" t="s">
        <v>67</v>
      </c>
      <c r="F86" s="9">
        <v>5</v>
      </c>
      <c r="G86" s="9">
        <v>2</v>
      </c>
      <c r="H86" s="9">
        <f t="shared" ref="H86:H90" si="5">F86*G86</f>
        <v>10</v>
      </c>
      <c r="I86" s="9" t="s">
        <v>72</v>
      </c>
      <c r="J86" s="4" t="s">
        <v>469</v>
      </c>
      <c r="K86" s="4" t="s">
        <v>470</v>
      </c>
      <c r="L86" s="8" t="s">
        <v>86</v>
      </c>
      <c r="M86" s="9" t="s">
        <v>25</v>
      </c>
      <c r="N86" s="4" t="s">
        <v>471</v>
      </c>
      <c r="O86" s="4"/>
      <c r="P86" s="4"/>
      <c r="Q86" s="4"/>
      <c r="R86"/>
      <c r="S86"/>
      <c r="T86"/>
      <c r="U86"/>
      <c r="V86"/>
      <c r="W86"/>
      <c r="X86"/>
      <c r="Y86"/>
      <c r="Z86"/>
      <c r="AA86"/>
      <c r="AB86"/>
      <c r="AC86"/>
      <c r="AD86"/>
      <c r="AE86"/>
      <c r="AF86"/>
      <c r="AG86"/>
      <c r="AH86"/>
      <c r="AI86"/>
      <c r="AJ86"/>
      <c r="AK86"/>
      <c r="AL86"/>
    </row>
    <row r="87" spans="1:38" s="3" customFormat="1" ht="28.9">
      <c r="A87" s="4" t="s">
        <v>472</v>
      </c>
      <c r="B87" s="4" t="s">
        <v>473</v>
      </c>
      <c r="C87" s="4" t="s">
        <v>474</v>
      </c>
      <c r="D87" s="4" t="s">
        <v>475</v>
      </c>
      <c r="E87" s="4" t="s">
        <v>67</v>
      </c>
      <c r="F87" s="9">
        <v>5</v>
      </c>
      <c r="G87" s="9">
        <v>2</v>
      </c>
      <c r="H87" s="9">
        <f t="shared" si="5"/>
        <v>10</v>
      </c>
      <c r="I87" s="9" t="s">
        <v>72</v>
      </c>
      <c r="J87" s="4" t="s">
        <v>59</v>
      </c>
      <c r="K87" s="4" t="s">
        <v>59</v>
      </c>
      <c r="L87" s="8" t="s">
        <v>80</v>
      </c>
      <c r="M87" s="9" t="s">
        <v>25</v>
      </c>
      <c r="N87" s="4" t="s">
        <v>476</v>
      </c>
      <c r="O87" s="4"/>
      <c r="P87" s="4"/>
      <c r="Q87" s="4"/>
      <c r="R87"/>
      <c r="S87"/>
      <c r="T87"/>
      <c r="U87"/>
      <c r="V87"/>
      <c r="W87"/>
      <c r="X87"/>
      <c r="Y87"/>
      <c r="Z87"/>
      <c r="AA87"/>
      <c r="AB87"/>
      <c r="AC87"/>
      <c r="AD87"/>
      <c r="AE87"/>
      <c r="AF87"/>
      <c r="AG87"/>
      <c r="AH87"/>
      <c r="AI87"/>
      <c r="AJ87"/>
      <c r="AK87"/>
      <c r="AL87"/>
    </row>
    <row r="88" spans="1:38" s="3" customFormat="1" ht="14.45">
      <c r="A88" s="4" t="s">
        <v>477</v>
      </c>
      <c r="B88" s="4" t="s">
        <v>478</v>
      </c>
      <c r="C88" s="4" t="s">
        <v>479</v>
      </c>
      <c r="D88" s="4"/>
      <c r="E88" s="4" t="s">
        <v>480</v>
      </c>
      <c r="F88" s="9">
        <v>3</v>
      </c>
      <c r="G88" s="9">
        <v>1</v>
      </c>
      <c r="H88" s="9">
        <f t="shared" si="5"/>
        <v>3</v>
      </c>
      <c r="I88" s="9" t="s">
        <v>72</v>
      </c>
      <c r="J88" s="4" t="s">
        <v>59</v>
      </c>
      <c r="K88" s="4" t="s">
        <v>59</v>
      </c>
      <c r="L88" s="8" t="s">
        <v>80</v>
      </c>
      <c r="M88" s="9" t="s">
        <v>25</v>
      </c>
      <c r="N88" s="4" t="s">
        <v>481</v>
      </c>
      <c r="O88" s="4"/>
      <c r="P88" s="4"/>
      <c r="Q88" s="4"/>
      <c r="R88"/>
      <c r="S88"/>
      <c r="T88"/>
      <c r="U88"/>
      <c r="V88"/>
      <c r="W88"/>
      <c r="X88"/>
      <c r="Y88"/>
      <c r="Z88"/>
      <c r="AA88"/>
      <c r="AB88"/>
      <c r="AC88"/>
      <c r="AD88"/>
      <c r="AE88"/>
      <c r="AF88"/>
      <c r="AG88"/>
      <c r="AH88"/>
      <c r="AI88"/>
      <c r="AJ88"/>
      <c r="AK88"/>
      <c r="AL88"/>
    </row>
    <row r="89" spans="1:38" s="3" customFormat="1" ht="15.6">
      <c r="A89" s="161" t="s">
        <v>482</v>
      </c>
      <c r="B89" s="161"/>
      <c r="C89" s="161"/>
      <c r="D89" s="161"/>
      <c r="E89" s="161"/>
      <c r="F89" s="161"/>
      <c r="G89" s="161"/>
      <c r="H89" s="161"/>
      <c r="I89" s="161"/>
      <c r="J89" s="161"/>
      <c r="K89" s="161"/>
      <c r="L89" s="161"/>
      <c r="M89" s="161"/>
      <c r="N89" s="161"/>
      <c r="O89" s="161"/>
      <c r="P89" s="161"/>
      <c r="Q89" s="161"/>
      <c r="R89"/>
      <c r="S89"/>
      <c r="T89"/>
      <c r="U89"/>
      <c r="V89"/>
      <c r="W89"/>
      <c r="X89"/>
      <c r="Y89"/>
      <c r="Z89"/>
      <c r="AA89"/>
      <c r="AB89"/>
      <c r="AC89"/>
      <c r="AD89"/>
      <c r="AE89"/>
      <c r="AF89"/>
      <c r="AG89"/>
      <c r="AH89"/>
      <c r="AI89"/>
      <c r="AJ89"/>
      <c r="AK89"/>
      <c r="AL89"/>
    </row>
    <row r="90" spans="1:38" s="3" customFormat="1" ht="28.9">
      <c r="A90" s="9" t="s">
        <v>483</v>
      </c>
      <c r="B90" s="9" t="s">
        <v>484</v>
      </c>
      <c r="C90" s="51" t="s">
        <v>485</v>
      </c>
      <c r="D90" s="9" t="s">
        <v>486</v>
      </c>
      <c r="E90" s="9" t="s">
        <v>487</v>
      </c>
      <c r="F90" s="9"/>
      <c r="G90" s="9"/>
      <c r="H90" s="9">
        <f t="shared" si="5"/>
        <v>0</v>
      </c>
      <c r="I90" s="9"/>
      <c r="J90" s="9"/>
      <c r="K90" s="9"/>
      <c r="L90" s="8"/>
      <c r="M90" s="9" t="s">
        <v>60</v>
      </c>
      <c r="N90" s="9" t="s">
        <v>488</v>
      </c>
      <c r="O90" s="9"/>
      <c r="P90" s="9"/>
      <c r="Q90" s="9"/>
      <c r="R90"/>
      <c r="S90"/>
      <c r="T90"/>
      <c r="U90"/>
      <c r="V90"/>
      <c r="W90"/>
      <c r="X90"/>
      <c r="Y90"/>
      <c r="Z90"/>
      <c r="AA90"/>
      <c r="AB90"/>
      <c r="AC90"/>
      <c r="AD90"/>
      <c r="AE90"/>
      <c r="AF90"/>
      <c r="AG90"/>
      <c r="AH90"/>
      <c r="AI90"/>
      <c r="AJ90"/>
      <c r="AK90"/>
      <c r="AL90"/>
    </row>
    <row r="91" spans="1:38" s="3" customFormat="1" ht="14.45">
      <c r="A91" s="4"/>
      <c r="B91" s="9"/>
      <c r="C91" s="9"/>
      <c r="D91" s="9"/>
      <c r="E91" s="9"/>
      <c r="F91" s="9"/>
      <c r="G91" s="9"/>
      <c r="H91" s="9"/>
      <c r="I91" s="9"/>
      <c r="J91" s="9"/>
      <c r="K91" s="9"/>
      <c r="L91" s="8"/>
      <c r="M91" s="9"/>
      <c r="N91" s="9"/>
      <c r="O91" s="9"/>
      <c r="P91" s="9"/>
      <c r="Q91" s="9"/>
      <c r="R91"/>
      <c r="S91"/>
      <c r="T91"/>
      <c r="U91"/>
      <c r="V91"/>
      <c r="W91"/>
      <c r="X91"/>
      <c r="Y91"/>
      <c r="Z91"/>
      <c r="AA91"/>
      <c r="AB91"/>
      <c r="AC91"/>
      <c r="AD91"/>
      <c r="AE91"/>
      <c r="AF91"/>
      <c r="AG91"/>
      <c r="AH91"/>
      <c r="AI91"/>
      <c r="AJ91"/>
      <c r="AK91"/>
      <c r="AL91"/>
    </row>
    <row r="92" spans="1:38" s="3" customFormat="1" ht="14.45">
      <c r="A92" s="4"/>
      <c r="B92" s="4"/>
      <c r="C92" s="4"/>
      <c r="D92" s="4"/>
      <c r="E92" s="4"/>
      <c r="F92" s="9"/>
      <c r="G92" s="9"/>
      <c r="H92" s="9"/>
      <c r="I92" s="9"/>
      <c r="J92" s="4"/>
      <c r="K92" s="4"/>
      <c r="L92" s="8"/>
      <c r="M92" s="4"/>
      <c r="N92" s="4"/>
      <c r="O92" s="4"/>
      <c r="P92" s="4"/>
      <c r="Q92" s="4"/>
      <c r="R92"/>
      <c r="S92"/>
      <c r="T92"/>
      <c r="U92"/>
      <c r="V92"/>
      <c r="W92"/>
      <c r="X92"/>
      <c r="Y92"/>
      <c r="Z92"/>
      <c r="AA92"/>
      <c r="AB92"/>
      <c r="AC92"/>
      <c r="AD92"/>
      <c r="AE92"/>
      <c r="AF92"/>
      <c r="AG92"/>
      <c r="AH92"/>
      <c r="AI92"/>
      <c r="AJ92"/>
      <c r="AK92"/>
      <c r="AL92"/>
    </row>
    <row r="93" spans="1:38" s="3" customFormat="1" ht="29.1" customHeight="1">
      <c r="A93" s="163" t="s">
        <v>489</v>
      </c>
      <c r="B93" s="163"/>
      <c r="C93" s="163"/>
      <c r="D93" s="163"/>
      <c r="E93" s="163"/>
      <c r="F93" s="163"/>
      <c r="G93" s="163"/>
      <c r="H93" s="163"/>
      <c r="I93" s="163"/>
      <c r="J93" s="163"/>
      <c r="K93" s="163"/>
      <c r="L93" s="163"/>
      <c r="M93" s="163"/>
      <c r="N93" s="163"/>
      <c r="O93" s="163"/>
      <c r="P93" s="163"/>
      <c r="Q93" s="163"/>
      <c r="R93"/>
      <c r="S93"/>
      <c r="T93"/>
      <c r="U93"/>
      <c r="V93"/>
      <c r="W93"/>
      <c r="X93"/>
      <c r="Y93"/>
      <c r="Z93"/>
      <c r="AA93"/>
      <c r="AB93"/>
      <c r="AC93"/>
      <c r="AD93"/>
      <c r="AE93"/>
      <c r="AF93"/>
      <c r="AG93"/>
      <c r="AH93"/>
      <c r="AI93"/>
      <c r="AJ93"/>
      <c r="AK93"/>
      <c r="AL93"/>
    </row>
    <row r="94" spans="1:38" s="5" customFormat="1" ht="15.6" customHeight="1">
      <c r="A94" s="161" t="s">
        <v>490</v>
      </c>
      <c r="B94" s="161"/>
      <c r="C94" s="161"/>
      <c r="D94" s="161"/>
      <c r="E94" s="161"/>
      <c r="F94" s="161"/>
      <c r="G94" s="161"/>
      <c r="H94" s="161"/>
      <c r="I94" s="161"/>
      <c r="J94" s="161"/>
      <c r="K94" s="161"/>
      <c r="L94" s="161"/>
      <c r="M94" s="161"/>
      <c r="N94" s="161"/>
      <c r="O94" s="161"/>
      <c r="P94" s="161"/>
      <c r="Q94" s="161"/>
      <c r="R94"/>
      <c r="S94"/>
      <c r="T94"/>
      <c r="U94"/>
      <c r="V94"/>
      <c r="W94"/>
      <c r="X94"/>
      <c r="Y94"/>
      <c r="Z94"/>
      <c r="AA94"/>
      <c r="AB94"/>
      <c r="AC94"/>
      <c r="AD94"/>
      <c r="AE94"/>
      <c r="AF94"/>
      <c r="AG94"/>
      <c r="AH94"/>
      <c r="AI94"/>
      <c r="AJ94"/>
      <c r="AK94"/>
      <c r="AL94"/>
    </row>
    <row r="95" spans="1:38" s="3" customFormat="1" ht="43.15">
      <c r="A95" s="4" t="s">
        <v>491</v>
      </c>
      <c r="B95" s="4" t="s">
        <v>492</v>
      </c>
      <c r="C95" s="4" t="s">
        <v>493</v>
      </c>
      <c r="D95" s="4" t="s">
        <v>494</v>
      </c>
      <c r="E95" s="4" t="s">
        <v>495</v>
      </c>
      <c r="F95" s="9">
        <v>5</v>
      </c>
      <c r="G95" s="9">
        <v>2</v>
      </c>
      <c r="H95" s="9">
        <f t="shared" ref="H95:H125" si="6">F95*G95</f>
        <v>10</v>
      </c>
      <c r="I95" s="9"/>
      <c r="J95" s="4"/>
      <c r="K95" s="4"/>
      <c r="L95" s="8" t="s">
        <v>24</v>
      </c>
      <c r="M95" s="9" t="s">
        <v>50</v>
      </c>
      <c r="N95" s="4" t="s">
        <v>496</v>
      </c>
      <c r="O95" s="4"/>
      <c r="P95" s="4"/>
      <c r="Q95" s="4"/>
      <c r="R95"/>
      <c r="S95"/>
      <c r="T95"/>
      <c r="U95"/>
      <c r="V95"/>
      <c r="W95"/>
      <c r="X95"/>
      <c r="Y95"/>
      <c r="Z95"/>
      <c r="AA95"/>
      <c r="AB95"/>
      <c r="AC95"/>
      <c r="AD95"/>
      <c r="AE95"/>
      <c r="AF95"/>
      <c r="AG95"/>
      <c r="AH95"/>
      <c r="AI95"/>
      <c r="AJ95"/>
      <c r="AK95"/>
      <c r="AL95"/>
    </row>
    <row r="96" spans="1:38" s="3" customFormat="1" ht="87" customHeight="1">
      <c r="A96" s="4" t="s">
        <v>497</v>
      </c>
      <c r="B96" s="4" t="s">
        <v>498</v>
      </c>
      <c r="C96" s="4" t="s">
        <v>499</v>
      </c>
      <c r="D96" s="4" t="s">
        <v>500</v>
      </c>
      <c r="E96" s="4" t="s">
        <v>335</v>
      </c>
      <c r="F96" s="9">
        <v>4</v>
      </c>
      <c r="G96" s="9">
        <v>2</v>
      </c>
      <c r="H96" s="9">
        <f t="shared" si="6"/>
        <v>8</v>
      </c>
      <c r="I96" s="9"/>
      <c r="J96" s="4"/>
      <c r="K96" s="4"/>
      <c r="L96" s="8" t="s">
        <v>24</v>
      </c>
      <c r="M96" s="9" t="s">
        <v>60</v>
      </c>
      <c r="N96" s="4" t="s">
        <v>501</v>
      </c>
      <c r="O96" s="4"/>
      <c r="P96" s="4"/>
      <c r="Q96" s="4"/>
      <c r="R96"/>
      <c r="S96"/>
      <c r="T96"/>
      <c r="U96"/>
      <c r="V96"/>
      <c r="W96"/>
      <c r="X96"/>
      <c r="Y96"/>
      <c r="Z96"/>
      <c r="AA96"/>
      <c r="AB96"/>
      <c r="AC96"/>
      <c r="AD96"/>
      <c r="AE96"/>
      <c r="AF96"/>
      <c r="AG96"/>
      <c r="AH96"/>
      <c r="AI96"/>
      <c r="AJ96"/>
      <c r="AK96"/>
      <c r="AL96"/>
    </row>
    <row r="97" spans="1:38" s="3" customFormat="1" ht="43.15">
      <c r="A97" s="4" t="s">
        <v>502</v>
      </c>
      <c r="B97" s="4" t="s">
        <v>503</v>
      </c>
      <c r="C97" s="4" t="s">
        <v>504</v>
      </c>
      <c r="D97" s="4" t="s">
        <v>505</v>
      </c>
      <c r="E97" s="4" t="s">
        <v>335</v>
      </c>
      <c r="F97" s="9">
        <v>4</v>
      </c>
      <c r="G97" s="9">
        <v>4</v>
      </c>
      <c r="H97" s="9">
        <f>F97*G97</f>
        <v>16</v>
      </c>
      <c r="I97" s="9"/>
      <c r="J97" s="4"/>
      <c r="K97" s="4"/>
      <c r="L97" s="8"/>
      <c r="M97" s="9" t="s">
        <v>60</v>
      </c>
      <c r="N97" s="4" t="s">
        <v>506</v>
      </c>
      <c r="O97" s="4"/>
      <c r="P97" s="4"/>
      <c r="Q97" s="4"/>
      <c r="R97"/>
      <c r="S97"/>
      <c r="T97"/>
      <c r="U97"/>
      <c r="V97"/>
      <c r="W97"/>
      <c r="X97"/>
      <c r="Y97"/>
      <c r="Z97"/>
      <c r="AA97"/>
      <c r="AB97"/>
      <c r="AC97"/>
      <c r="AD97"/>
      <c r="AE97"/>
      <c r="AF97"/>
      <c r="AG97"/>
      <c r="AH97"/>
      <c r="AI97"/>
      <c r="AJ97"/>
      <c r="AK97"/>
      <c r="AL97"/>
    </row>
    <row r="98" spans="1:38" s="3" customFormat="1" ht="56.85" customHeight="1">
      <c r="A98" s="4" t="s">
        <v>507</v>
      </c>
      <c r="B98" s="4" t="s">
        <v>508</v>
      </c>
      <c r="C98" s="4" t="s">
        <v>509</v>
      </c>
      <c r="D98" s="4" t="s">
        <v>510</v>
      </c>
      <c r="E98" s="4" t="s">
        <v>335</v>
      </c>
      <c r="F98" s="9">
        <v>5</v>
      </c>
      <c r="G98" s="9">
        <v>1</v>
      </c>
      <c r="H98" s="9">
        <f t="shared" si="6"/>
        <v>5</v>
      </c>
      <c r="I98" s="9"/>
      <c r="J98" s="4"/>
      <c r="K98" s="4"/>
      <c r="L98" s="8"/>
      <c r="M98" s="9" t="s">
        <v>60</v>
      </c>
      <c r="N98" s="4" t="s">
        <v>511</v>
      </c>
      <c r="O98" s="4"/>
      <c r="P98" s="4"/>
      <c r="Q98" s="4"/>
      <c r="R98"/>
      <c r="S98"/>
      <c r="T98"/>
      <c r="U98"/>
      <c r="V98"/>
      <c r="W98"/>
      <c r="X98"/>
      <c r="Y98"/>
      <c r="Z98"/>
      <c r="AA98"/>
      <c r="AB98"/>
      <c r="AC98"/>
      <c r="AD98"/>
      <c r="AE98"/>
      <c r="AF98"/>
      <c r="AG98"/>
      <c r="AH98"/>
      <c r="AI98"/>
      <c r="AJ98"/>
      <c r="AK98"/>
      <c r="AL98"/>
    </row>
    <row r="99" spans="1:38" s="3" customFormat="1" ht="95.85" customHeight="1">
      <c r="A99" s="4" t="s">
        <v>512</v>
      </c>
      <c r="B99" s="4" t="s">
        <v>513</v>
      </c>
      <c r="C99" s="4" t="s">
        <v>514</v>
      </c>
      <c r="D99" s="4" t="s">
        <v>515</v>
      </c>
      <c r="E99" s="4" t="s">
        <v>495</v>
      </c>
      <c r="F99" s="9">
        <v>3</v>
      </c>
      <c r="G99" s="9">
        <v>1</v>
      </c>
      <c r="H99" s="9">
        <f t="shared" si="6"/>
        <v>3</v>
      </c>
      <c r="I99" s="9"/>
      <c r="J99" s="4"/>
      <c r="K99" s="4"/>
      <c r="L99" s="8"/>
      <c r="M99" s="9" t="s">
        <v>50</v>
      </c>
      <c r="N99" s="4" t="s">
        <v>516</v>
      </c>
      <c r="O99" s="4"/>
      <c r="P99" s="4"/>
      <c r="Q99" s="4"/>
      <c r="R99"/>
      <c r="S99"/>
      <c r="T99"/>
      <c r="U99"/>
      <c r="V99"/>
      <c r="W99"/>
      <c r="X99"/>
      <c r="Y99"/>
      <c r="Z99"/>
      <c r="AA99"/>
      <c r="AB99"/>
      <c r="AC99"/>
      <c r="AD99"/>
      <c r="AE99"/>
      <c r="AF99"/>
      <c r="AG99"/>
      <c r="AH99"/>
      <c r="AI99"/>
      <c r="AJ99"/>
      <c r="AK99"/>
      <c r="AL99"/>
    </row>
    <row r="100" spans="1:38" s="3" customFormat="1" ht="28.9">
      <c r="A100" s="4" t="s">
        <v>517</v>
      </c>
      <c r="B100" s="4" t="s">
        <v>518</v>
      </c>
      <c r="C100" s="4" t="s">
        <v>519</v>
      </c>
      <c r="D100" s="4" t="s">
        <v>520</v>
      </c>
      <c r="E100" s="4" t="s">
        <v>335</v>
      </c>
      <c r="F100" s="9">
        <v>5</v>
      </c>
      <c r="G100" s="9">
        <v>4</v>
      </c>
      <c r="H100" s="9">
        <f t="shared" si="6"/>
        <v>20</v>
      </c>
      <c r="I100" s="9"/>
      <c r="J100" s="4"/>
      <c r="K100" s="4"/>
      <c r="L100" s="8" t="s">
        <v>24</v>
      </c>
      <c r="M100" s="9" t="s">
        <v>25</v>
      </c>
      <c r="N100" s="4" t="s">
        <v>521</v>
      </c>
      <c r="O100" s="4"/>
      <c r="P100" s="4"/>
      <c r="Q100" s="4"/>
      <c r="R100"/>
      <c r="S100"/>
      <c r="T100"/>
      <c r="U100"/>
      <c r="V100"/>
      <c r="W100"/>
      <c r="X100"/>
      <c r="Y100"/>
      <c r="Z100"/>
      <c r="AA100"/>
      <c r="AB100"/>
      <c r="AC100"/>
      <c r="AD100"/>
      <c r="AE100"/>
      <c r="AF100"/>
      <c r="AG100"/>
      <c r="AH100"/>
      <c r="AI100"/>
      <c r="AJ100"/>
      <c r="AK100"/>
      <c r="AL100"/>
    </row>
    <row r="101" spans="1:38" s="3" customFormat="1" ht="44.25" customHeight="1">
      <c r="A101" s="4" t="s">
        <v>522</v>
      </c>
      <c r="B101" s="4" t="s">
        <v>523</v>
      </c>
      <c r="C101" s="4" t="s">
        <v>524</v>
      </c>
      <c r="D101" s="4" t="s">
        <v>525</v>
      </c>
      <c r="E101" s="4" t="s">
        <v>335</v>
      </c>
      <c r="F101" s="9">
        <v>4</v>
      </c>
      <c r="G101" s="9">
        <v>2</v>
      </c>
      <c r="H101" s="9">
        <f t="shared" si="6"/>
        <v>8</v>
      </c>
      <c r="I101" s="9"/>
      <c r="J101" s="4"/>
      <c r="K101" s="4"/>
      <c r="L101" s="8" t="s">
        <v>24</v>
      </c>
      <c r="M101" s="9" t="s">
        <v>60</v>
      </c>
      <c r="N101" s="4" t="s">
        <v>526</v>
      </c>
      <c r="O101" s="4"/>
      <c r="P101" s="4"/>
      <c r="Q101" s="4"/>
      <c r="R101"/>
      <c r="S101"/>
      <c r="T101"/>
      <c r="U101"/>
      <c r="V101"/>
      <c r="W101"/>
      <c r="X101"/>
      <c r="Y101"/>
      <c r="Z101"/>
      <c r="AA101"/>
      <c r="AB101"/>
      <c r="AC101"/>
      <c r="AD101"/>
      <c r="AE101"/>
      <c r="AF101"/>
      <c r="AG101"/>
      <c r="AH101"/>
      <c r="AI101"/>
      <c r="AJ101"/>
      <c r="AK101"/>
      <c r="AL101"/>
    </row>
    <row r="102" spans="1:38" s="3" customFormat="1" ht="28.9">
      <c r="A102" s="4" t="s">
        <v>527</v>
      </c>
      <c r="B102" s="4" t="s">
        <v>528</v>
      </c>
      <c r="C102" s="4" t="s">
        <v>529</v>
      </c>
      <c r="D102" s="4" t="s">
        <v>530</v>
      </c>
      <c r="E102" s="4" t="s">
        <v>531</v>
      </c>
      <c r="F102" s="9">
        <v>5</v>
      </c>
      <c r="G102" s="9">
        <v>1</v>
      </c>
      <c r="H102" s="9">
        <f t="shared" si="6"/>
        <v>5</v>
      </c>
      <c r="I102" s="9"/>
      <c r="J102" s="4"/>
      <c r="K102" s="4"/>
      <c r="L102" s="8" t="s">
        <v>24</v>
      </c>
      <c r="M102" s="9" t="s">
        <v>60</v>
      </c>
      <c r="N102" s="4" t="s">
        <v>532</v>
      </c>
      <c r="O102" s="4"/>
      <c r="P102" s="4"/>
      <c r="Q102" s="4"/>
      <c r="R102"/>
      <c r="S102"/>
      <c r="T102"/>
      <c r="U102"/>
      <c r="V102"/>
      <c r="W102"/>
      <c r="X102"/>
      <c r="Y102"/>
      <c r="Z102"/>
      <c r="AA102"/>
      <c r="AB102"/>
      <c r="AC102"/>
      <c r="AD102"/>
      <c r="AE102"/>
      <c r="AF102"/>
      <c r="AG102"/>
      <c r="AH102"/>
      <c r="AI102"/>
      <c r="AJ102"/>
      <c r="AK102"/>
      <c r="AL102"/>
    </row>
    <row r="103" spans="1:38" s="3" customFormat="1" ht="28.9">
      <c r="A103" s="4" t="s">
        <v>533</v>
      </c>
      <c r="B103" s="4" t="s">
        <v>534</v>
      </c>
      <c r="C103" s="4" t="s">
        <v>535</v>
      </c>
      <c r="D103" s="4" t="s">
        <v>536</v>
      </c>
      <c r="E103" s="4" t="s">
        <v>531</v>
      </c>
      <c r="F103" s="9">
        <v>5</v>
      </c>
      <c r="G103" s="9">
        <v>2</v>
      </c>
      <c r="H103" s="9">
        <f t="shared" si="6"/>
        <v>10</v>
      </c>
      <c r="I103" s="9"/>
      <c r="J103" s="4"/>
      <c r="K103" s="4"/>
      <c r="L103" s="8" t="s">
        <v>24</v>
      </c>
      <c r="M103" s="9" t="s">
        <v>537</v>
      </c>
      <c r="N103" s="4" t="s">
        <v>538</v>
      </c>
      <c r="O103" s="4"/>
      <c r="P103" s="4"/>
      <c r="Q103" s="4"/>
      <c r="R103"/>
      <c r="S103"/>
      <c r="T103"/>
      <c r="U103"/>
      <c r="V103"/>
      <c r="W103"/>
      <c r="X103"/>
      <c r="Y103"/>
      <c r="Z103"/>
      <c r="AA103"/>
      <c r="AB103"/>
      <c r="AC103"/>
      <c r="AD103"/>
      <c r="AE103"/>
      <c r="AF103"/>
      <c r="AG103"/>
      <c r="AH103"/>
      <c r="AI103"/>
      <c r="AJ103"/>
      <c r="AK103"/>
      <c r="AL103"/>
    </row>
    <row r="104" spans="1:38" s="3" customFormat="1" ht="28.9">
      <c r="A104" s="4" t="s">
        <v>539</v>
      </c>
      <c r="B104" s="4" t="s">
        <v>540</v>
      </c>
      <c r="C104" s="4" t="s">
        <v>541</v>
      </c>
      <c r="D104" s="4" t="s">
        <v>542</v>
      </c>
      <c r="E104" s="4" t="s">
        <v>531</v>
      </c>
      <c r="F104" s="9">
        <v>5</v>
      </c>
      <c r="G104" s="9">
        <v>2</v>
      </c>
      <c r="H104" s="9">
        <f t="shared" si="6"/>
        <v>10</v>
      </c>
      <c r="I104" s="9"/>
      <c r="J104" s="4"/>
      <c r="K104" s="4"/>
      <c r="L104" s="8" t="s">
        <v>24</v>
      </c>
      <c r="M104" s="9" t="s">
        <v>60</v>
      </c>
      <c r="N104" s="4" t="s">
        <v>543</v>
      </c>
      <c r="O104" s="4"/>
      <c r="P104" s="4"/>
      <c r="Q104" s="4"/>
      <c r="R104"/>
      <c r="S104"/>
      <c r="T104"/>
      <c r="U104"/>
      <c r="V104"/>
      <c r="W104"/>
      <c r="X104"/>
      <c r="Y104"/>
      <c r="Z104"/>
      <c r="AA104"/>
      <c r="AB104"/>
      <c r="AC104"/>
      <c r="AD104"/>
      <c r="AE104"/>
      <c r="AF104"/>
      <c r="AG104"/>
      <c r="AH104"/>
      <c r="AI104"/>
      <c r="AJ104"/>
      <c r="AK104"/>
      <c r="AL104"/>
    </row>
    <row r="105" spans="1:38" s="3" customFormat="1" ht="28.9">
      <c r="A105" s="4" t="s">
        <v>544</v>
      </c>
      <c r="B105" s="4" t="s">
        <v>545</v>
      </c>
      <c r="C105" s="4" t="s">
        <v>546</v>
      </c>
      <c r="D105" s="4" t="s">
        <v>547</v>
      </c>
      <c r="E105" s="4" t="s">
        <v>531</v>
      </c>
      <c r="F105" s="9">
        <v>5</v>
      </c>
      <c r="G105" s="9">
        <v>2</v>
      </c>
      <c r="H105" s="9">
        <f t="shared" si="6"/>
        <v>10</v>
      </c>
      <c r="I105" s="9"/>
      <c r="J105" s="4"/>
      <c r="K105" s="4"/>
      <c r="L105" s="8"/>
      <c r="M105" s="9" t="s">
        <v>60</v>
      </c>
      <c r="N105" s="4" t="s">
        <v>548</v>
      </c>
      <c r="O105" s="4"/>
      <c r="P105" s="4"/>
      <c r="Q105" s="4"/>
      <c r="R105"/>
      <c r="S105"/>
      <c r="T105"/>
      <c r="U105"/>
      <c r="V105"/>
      <c r="W105"/>
      <c r="X105"/>
      <c r="Y105"/>
      <c r="Z105"/>
      <c r="AA105"/>
      <c r="AB105"/>
      <c r="AC105"/>
      <c r="AD105"/>
      <c r="AE105"/>
      <c r="AF105"/>
      <c r="AG105"/>
      <c r="AH105"/>
      <c r="AI105"/>
      <c r="AJ105"/>
      <c r="AK105"/>
      <c r="AL105"/>
    </row>
    <row r="106" spans="1:38" s="3" customFormat="1" ht="89.85" customHeight="1">
      <c r="A106" s="4" t="s">
        <v>549</v>
      </c>
      <c r="B106" s="4" t="s">
        <v>550</v>
      </c>
      <c r="C106" s="4" t="s">
        <v>551</v>
      </c>
      <c r="D106" s="4" t="s">
        <v>515</v>
      </c>
      <c r="E106" s="4" t="s">
        <v>495</v>
      </c>
      <c r="F106" s="9">
        <v>3</v>
      </c>
      <c r="G106" s="9">
        <v>1</v>
      </c>
      <c r="H106" s="9">
        <f t="shared" si="6"/>
        <v>3</v>
      </c>
      <c r="I106" s="9"/>
      <c r="J106" s="4"/>
      <c r="K106" s="4"/>
      <c r="L106" s="8"/>
      <c r="M106" s="9" t="s">
        <v>25</v>
      </c>
      <c r="N106" s="4" t="s">
        <v>552</v>
      </c>
      <c r="O106" s="4"/>
      <c r="P106" s="4"/>
      <c r="Q106" s="4"/>
      <c r="R106"/>
      <c r="S106"/>
      <c r="T106"/>
      <c r="U106"/>
      <c r="V106"/>
      <c r="W106"/>
      <c r="X106"/>
      <c r="Y106"/>
      <c r="Z106"/>
      <c r="AA106"/>
      <c r="AB106"/>
      <c r="AC106"/>
      <c r="AD106"/>
      <c r="AE106"/>
      <c r="AF106"/>
      <c r="AG106"/>
      <c r="AH106"/>
      <c r="AI106"/>
      <c r="AJ106"/>
      <c r="AK106"/>
      <c r="AL106"/>
    </row>
    <row r="107" spans="1:38" s="3" customFormat="1" ht="28.9">
      <c r="A107" s="4" t="s">
        <v>553</v>
      </c>
      <c r="B107" s="4" t="s">
        <v>554</v>
      </c>
      <c r="C107" s="4" t="s">
        <v>555</v>
      </c>
      <c r="D107" s="4" t="s">
        <v>556</v>
      </c>
      <c r="E107" s="4" t="s">
        <v>531</v>
      </c>
      <c r="F107" s="9">
        <v>4</v>
      </c>
      <c r="G107" s="9">
        <v>2</v>
      </c>
      <c r="H107" s="9">
        <f t="shared" si="6"/>
        <v>8</v>
      </c>
      <c r="I107" s="9"/>
      <c r="J107" s="4"/>
      <c r="K107" s="4"/>
      <c r="L107" s="8"/>
      <c r="M107" s="9" t="s">
        <v>60</v>
      </c>
      <c r="N107" s="4" t="s">
        <v>557</v>
      </c>
      <c r="O107" s="4"/>
      <c r="P107" s="4"/>
      <c r="Q107" s="4"/>
      <c r="R107"/>
      <c r="S107"/>
      <c r="T107"/>
      <c r="U107"/>
      <c r="V107"/>
      <c r="W107"/>
      <c r="X107"/>
      <c r="Y107"/>
      <c r="Z107"/>
      <c r="AA107"/>
      <c r="AB107"/>
      <c r="AC107"/>
      <c r="AD107"/>
      <c r="AE107"/>
      <c r="AF107"/>
      <c r="AG107"/>
      <c r="AH107"/>
      <c r="AI107"/>
      <c r="AJ107"/>
      <c r="AK107"/>
      <c r="AL107"/>
    </row>
    <row r="108" spans="1:38" s="3" customFormat="1" ht="28.9">
      <c r="A108" s="4" t="s">
        <v>558</v>
      </c>
      <c r="B108" s="4" t="s">
        <v>559</v>
      </c>
      <c r="C108" s="4" t="s">
        <v>560</v>
      </c>
      <c r="D108" s="4" t="s">
        <v>561</v>
      </c>
      <c r="E108" s="4" t="s">
        <v>562</v>
      </c>
      <c r="F108" s="9">
        <v>5</v>
      </c>
      <c r="G108" s="9">
        <v>3</v>
      </c>
      <c r="H108" s="9">
        <f t="shared" si="6"/>
        <v>15</v>
      </c>
      <c r="I108" s="9"/>
      <c r="J108" s="4"/>
      <c r="K108" s="4"/>
      <c r="L108" s="8"/>
      <c r="M108" s="9" t="s">
        <v>60</v>
      </c>
      <c r="N108" s="4" t="s">
        <v>563</v>
      </c>
      <c r="O108" s="4"/>
      <c r="P108" s="4"/>
      <c r="Q108" s="4"/>
      <c r="R108"/>
      <c r="S108"/>
      <c r="T108"/>
      <c r="U108"/>
      <c r="V108"/>
      <c r="W108"/>
      <c r="X108"/>
      <c r="Y108"/>
      <c r="Z108"/>
      <c r="AA108"/>
      <c r="AB108"/>
      <c r="AC108"/>
      <c r="AD108"/>
      <c r="AE108"/>
      <c r="AF108"/>
      <c r="AG108"/>
      <c r="AH108"/>
      <c r="AI108"/>
      <c r="AJ108"/>
      <c r="AK108"/>
      <c r="AL108"/>
    </row>
    <row r="109" spans="1:38" s="3" customFormat="1" ht="57.6">
      <c r="A109" s="4" t="s">
        <v>564</v>
      </c>
      <c r="B109" s="4" t="s">
        <v>565</v>
      </c>
      <c r="C109" s="4" t="s">
        <v>566</v>
      </c>
      <c r="D109" s="4" t="s">
        <v>567</v>
      </c>
      <c r="E109" s="4" t="s">
        <v>568</v>
      </c>
      <c r="F109" s="9">
        <v>5</v>
      </c>
      <c r="G109" s="9">
        <v>4</v>
      </c>
      <c r="H109" s="9">
        <f t="shared" si="6"/>
        <v>20</v>
      </c>
      <c r="I109" s="9"/>
      <c r="J109" s="4"/>
      <c r="K109" s="4"/>
      <c r="L109" s="8"/>
      <c r="M109" s="9" t="s">
        <v>537</v>
      </c>
      <c r="N109" s="4" t="s">
        <v>569</v>
      </c>
      <c r="O109" s="4"/>
      <c r="P109" s="4"/>
      <c r="Q109" s="4"/>
      <c r="R109"/>
      <c r="S109"/>
      <c r="T109"/>
      <c r="U109"/>
      <c r="V109"/>
      <c r="W109"/>
      <c r="X109"/>
      <c r="Y109"/>
      <c r="Z109"/>
      <c r="AA109"/>
      <c r="AB109"/>
      <c r="AC109"/>
      <c r="AD109"/>
      <c r="AE109"/>
      <c r="AF109"/>
      <c r="AG109"/>
      <c r="AH109"/>
      <c r="AI109"/>
      <c r="AJ109"/>
      <c r="AK109"/>
      <c r="AL109"/>
    </row>
    <row r="110" spans="1:38" s="3" customFormat="1" ht="57.6">
      <c r="A110" s="4" t="s">
        <v>570</v>
      </c>
      <c r="B110" s="4" t="s">
        <v>571</v>
      </c>
      <c r="C110" s="4" t="s">
        <v>572</v>
      </c>
      <c r="D110" s="4" t="s">
        <v>573</v>
      </c>
      <c r="E110" s="4" t="s">
        <v>335</v>
      </c>
      <c r="F110" s="9">
        <v>5</v>
      </c>
      <c r="G110" s="9">
        <v>4</v>
      </c>
      <c r="H110" s="9">
        <f t="shared" si="6"/>
        <v>20</v>
      </c>
      <c r="I110" s="9"/>
      <c r="J110" s="4"/>
      <c r="K110" s="4"/>
      <c r="L110" s="8"/>
      <c r="M110" s="9" t="s">
        <v>60</v>
      </c>
      <c r="N110" s="4" t="s">
        <v>574</v>
      </c>
      <c r="O110" s="4"/>
      <c r="P110" s="4"/>
      <c r="Q110" s="4"/>
      <c r="R110"/>
      <c r="S110"/>
      <c r="T110"/>
      <c r="U110"/>
      <c r="V110"/>
      <c r="W110"/>
      <c r="X110"/>
      <c r="Y110"/>
      <c r="Z110"/>
      <c r="AA110"/>
      <c r="AB110"/>
      <c r="AC110"/>
      <c r="AD110"/>
      <c r="AE110"/>
      <c r="AF110"/>
      <c r="AG110"/>
      <c r="AH110"/>
      <c r="AI110"/>
      <c r="AJ110"/>
      <c r="AK110"/>
      <c r="AL110"/>
    </row>
    <row r="111" spans="1:38" s="3" customFormat="1" ht="72.599999999999994" customHeight="1">
      <c r="A111" s="4" t="s">
        <v>575</v>
      </c>
      <c r="B111" s="4" t="s">
        <v>576</v>
      </c>
      <c r="C111" s="4" t="s">
        <v>577</v>
      </c>
      <c r="D111" s="4" t="s">
        <v>494</v>
      </c>
      <c r="E111" s="4" t="s">
        <v>495</v>
      </c>
      <c r="F111" s="9">
        <v>3</v>
      </c>
      <c r="G111" s="9">
        <v>1</v>
      </c>
      <c r="H111" s="9">
        <f t="shared" si="6"/>
        <v>3</v>
      </c>
      <c r="I111" s="9"/>
      <c r="J111" s="4"/>
      <c r="K111" s="4"/>
      <c r="L111" s="8"/>
      <c r="M111" s="9" t="s">
        <v>50</v>
      </c>
      <c r="N111" s="4" t="s">
        <v>578</v>
      </c>
      <c r="O111" s="4"/>
      <c r="P111" s="4"/>
      <c r="Q111" s="4"/>
      <c r="R111"/>
      <c r="S111"/>
      <c r="T111"/>
      <c r="U111"/>
      <c r="V111"/>
      <c r="W111"/>
      <c r="X111"/>
      <c r="Y111"/>
      <c r="Z111"/>
      <c r="AA111"/>
      <c r="AB111"/>
      <c r="AC111"/>
      <c r="AD111"/>
      <c r="AE111"/>
      <c r="AF111"/>
      <c r="AG111"/>
      <c r="AH111"/>
      <c r="AI111"/>
      <c r="AJ111"/>
      <c r="AK111"/>
      <c r="AL111"/>
    </row>
    <row r="112" spans="1:38" s="3" customFormat="1" ht="72">
      <c r="A112" s="4" t="s">
        <v>579</v>
      </c>
      <c r="B112" s="4" t="s">
        <v>580</v>
      </c>
      <c r="C112" s="4" t="s">
        <v>581</v>
      </c>
      <c r="D112" s="4" t="s">
        <v>582</v>
      </c>
      <c r="E112" s="4" t="s">
        <v>562</v>
      </c>
      <c r="F112" s="9">
        <v>4</v>
      </c>
      <c r="G112" s="9">
        <v>2</v>
      </c>
      <c r="H112" s="9">
        <f t="shared" si="6"/>
        <v>8</v>
      </c>
      <c r="I112" s="9"/>
      <c r="J112" s="4"/>
      <c r="K112" s="4"/>
      <c r="L112" s="8"/>
      <c r="M112" s="9" t="s">
        <v>60</v>
      </c>
      <c r="N112" s="4" t="s">
        <v>583</v>
      </c>
      <c r="O112" s="4"/>
      <c r="P112" s="4"/>
      <c r="Q112" s="4"/>
      <c r="R112"/>
      <c r="S112"/>
      <c r="T112"/>
      <c r="U112"/>
      <c r="V112"/>
      <c r="W112"/>
      <c r="X112"/>
      <c r="Y112"/>
      <c r="Z112"/>
      <c r="AA112"/>
      <c r="AB112"/>
      <c r="AC112"/>
      <c r="AD112"/>
      <c r="AE112"/>
      <c r="AF112"/>
      <c r="AG112"/>
      <c r="AH112"/>
      <c r="AI112"/>
      <c r="AJ112"/>
      <c r="AK112"/>
      <c r="AL112"/>
    </row>
    <row r="113" spans="1:38" s="3" customFormat="1" ht="93.6" customHeight="1">
      <c r="A113" s="4" t="s">
        <v>584</v>
      </c>
      <c r="B113" s="4" t="s">
        <v>585</v>
      </c>
      <c r="C113" s="4" t="s">
        <v>586</v>
      </c>
      <c r="D113" s="4" t="s">
        <v>587</v>
      </c>
      <c r="E113" s="4" t="s">
        <v>588</v>
      </c>
      <c r="F113" s="9">
        <v>5</v>
      </c>
      <c r="G113" s="9">
        <v>4</v>
      </c>
      <c r="H113" s="9">
        <f t="shared" si="6"/>
        <v>20</v>
      </c>
      <c r="I113" s="9"/>
      <c r="J113" s="4"/>
      <c r="K113" s="4"/>
      <c r="L113" s="8"/>
      <c r="M113" s="9" t="s">
        <v>25</v>
      </c>
      <c r="N113" s="4" t="s">
        <v>589</v>
      </c>
      <c r="O113" s="4"/>
      <c r="P113" s="4"/>
      <c r="Q113" s="4"/>
      <c r="R113"/>
      <c r="S113"/>
      <c r="T113"/>
      <c r="U113"/>
      <c r="V113"/>
      <c r="W113"/>
      <c r="X113"/>
      <c r="Y113"/>
      <c r="Z113"/>
      <c r="AA113"/>
      <c r="AB113"/>
      <c r="AC113"/>
      <c r="AD113"/>
      <c r="AE113"/>
      <c r="AF113"/>
      <c r="AG113"/>
      <c r="AH113"/>
      <c r="AI113"/>
      <c r="AJ113"/>
      <c r="AK113"/>
      <c r="AL113"/>
    </row>
    <row r="114" spans="1:38" s="3" customFormat="1" ht="14.45">
      <c r="A114" s="4"/>
      <c r="B114" s="4"/>
      <c r="C114" s="4"/>
      <c r="D114" s="4"/>
      <c r="E114" s="4"/>
      <c r="F114" s="9"/>
      <c r="G114" s="9"/>
      <c r="H114" s="9"/>
      <c r="I114" s="9"/>
      <c r="J114" s="4"/>
      <c r="K114" s="4"/>
      <c r="L114" s="8"/>
      <c r="M114" s="4"/>
      <c r="N114" s="4"/>
      <c r="O114" s="4"/>
      <c r="P114" s="4"/>
      <c r="Q114" s="4"/>
      <c r="R114"/>
      <c r="S114"/>
      <c r="T114"/>
      <c r="U114"/>
      <c r="V114"/>
      <c r="W114"/>
      <c r="X114"/>
      <c r="Y114"/>
      <c r="Z114"/>
      <c r="AA114"/>
      <c r="AB114"/>
      <c r="AC114"/>
      <c r="AD114"/>
      <c r="AE114"/>
      <c r="AF114"/>
      <c r="AG114"/>
      <c r="AH114"/>
      <c r="AI114"/>
      <c r="AJ114"/>
      <c r="AK114"/>
      <c r="AL114"/>
    </row>
    <row r="115" spans="1:38" s="5" customFormat="1" ht="15.6">
      <c r="A115" s="161" t="s">
        <v>590</v>
      </c>
      <c r="B115" s="161"/>
      <c r="C115" s="161"/>
      <c r="D115" s="161"/>
      <c r="E115" s="161"/>
      <c r="F115" s="161"/>
      <c r="G115" s="161"/>
      <c r="H115" s="161"/>
      <c r="I115" s="161"/>
      <c r="J115" s="161"/>
      <c r="K115" s="161"/>
      <c r="L115" s="161"/>
      <c r="M115" s="161"/>
      <c r="N115" s="161"/>
      <c r="O115" s="161"/>
      <c r="P115" s="161"/>
      <c r="Q115" s="161"/>
      <c r="R115"/>
      <c r="S115"/>
      <c r="T115"/>
      <c r="U115"/>
      <c r="V115"/>
      <c r="W115"/>
      <c r="X115"/>
      <c r="Y115"/>
      <c r="Z115"/>
      <c r="AA115"/>
      <c r="AB115"/>
      <c r="AC115"/>
      <c r="AD115"/>
      <c r="AE115"/>
      <c r="AF115"/>
      <c r="AG115"/>
      <c r="AH115"/>
      <c r="AI115"/>
      <c r="AJ115"/>
      <c r="AK115"/>
      <c r="AL115"/>
    </row>
    <row r="116" spans="1:38" s="3" customFormat="1" ht="43.15">
      <c r="A116" s="4" t="s">
        <v>591</v>
      </c>
      <c r="B116" s="4" t="s">
        <v>592</v>
      </c>
      <c r="C116" s="4" t="s">
        <v>593</v>
      </c>
      <c r="D116" s="4" t="s">
        <v>594</v>
      </c>
      <c r="E116" s="4" t="s">
        <v>595</v>
      </c>
      <c r="F116" s="9">
        <v>3</v>
      </c>
      <c r="G116" s="9">
        <v>4</v>
      </c>
      <c r="H116" s="9">
        <f t="shared" si="6"/>
        <v>12</v>
      </c>
      <c r="I116" s="9" t="s">
        <v>596</v>
      </c>
      <c r="J116" s="4" t="s">
        <v>597</v>
      </c>
      <c r="K116" s="4" t="s">
        <v>598</v>
      </c>
      <c r="L116" s="8" t="s">
        <v>73</v>
      </c>
      <c r="M116" s="9" t="s">
        <v>25</v>
      </c>
      <c r="N116" s="4" t="s">
        <v>599</v>
      </c>
      <c r="O116" s="4"/>
      <c r="P116" s="4"/>
      <c r="Q116" s="4"/>
      <c r="R116"/>
      <c r="S116"/>
      <c r="T116"/>
      <c r="U116"/>
      <c r="V116"/>
      <c r="W116"/>
      <c r="X116"/>
      <c r="Y116"/>
      <c r="Z116"/>
      <c r="AA116"/>
      <c r="AB116"/>
      <c r="AC116"/>
      <c r="AD116"/>
      <c r="AE116"/>
      <c r="AF116"/>
      <c r="AG116"/>
      <c r="AH116"/>
      <c r="AI116"/>
      <c r="AJ116"/>
      <c r="AK116"/>
      <c r="AL116"/>
    </row>
    <row r="117" spans="1:38" s="3" customFormat="1" ht="53.1" customHeight="1">
      <c r="A117" s="4" t="s">
        <v>600</v>
      </c>
      <c r="B117" s="4" t="s">
        <v>601</v>
      </c>
      <c r="C117" s="4" t="s">
        <v>602</v>
      </c>
      <c r="D117" s="4" t="s">
        <v>603</v>
      </c>
      <c r="E117" s="4" t="s">
        <v>604</v>
      </c>
      <c r="F117" s="9">
        <v>3</v>
      </c>
      <c r="G117" s="9">
        <v>1</v>
      </c>
      <c r="H117" s="9">
        <f t="shared" si="6"/>
        <v>3</v>
      </c>
      <c r="I117" s="9" t="s">
        <v>58</v>
      </c>
      <c r="J117" s="4" t="s">
        <v>605</v>
      </c>
      <c r="K117" s="4" t="s">
        <v>605</v>
      </c>
      <c r="L117" s="8" t="s">
        <v>86</v>
      </c>
      <c r="M117" s="9" t="s">
        <v>25</v>
      </c>
      <c r="N117" s="4" t="s">
        <v>606</v>
      </c>
      <c r="O117" s="4"/>
      <c r="P117" s="4"/>
      <c r="Q117" s="4"/>
      <c r="R117"/>
      <c r="S117"/>
      <c r="T117"/>
      <c r="U117"/>
      <c r="V117"/>
      <c r="W117"/>
      <c r="X117"/>
      <c r="Y117"/>
      <c r="Z117"/>
      <c r="AA117"/>
      <c r="AB117"/>
      <c r="AC117"/>
      <c r="AD117"/>
      <c r="AE117"/>
      <c r="AF117"/>
      <c r="AG117"/>
      <c r="AH117"/>
      <c r="AI117"/>
      <c r="AJ117"/>
      <c r="AK117"/>
      <c r="AL117"/>
    </row>
    <row r="118" spans="1:38" s="3" customFormat="1" ht="43.15">
      <c r="A118" s="4" t="s">
        <v>607</v>
      </c>
      <c r="B118" s="4" t="s">
        <v>608</v>
      </c>
      <c r="C118" s="4" t="s">
        <v>609</v>
      </c>
      <c r="D118" s="4" t="s">
        <v>610</v>
      </c>
      <c r="E118" s="4" t="s">
        <v>611</v>
      </c>
      <c r="F118" s="9">
        <v>4</v>
      </c>
      <c r="G118" s="9">
        <v>2</v>
      </c>
      <c r="H118" s="9">
        <f t="shared" si="6"/>
        <v>8</v>
      </c>
      <c r="I118" s="9" t="s">
        <v>596</v>
      </c>
      <c r="J118" s="4" t="s">
        <v>597</v>
      </c>
      <c r="K118" s="4" t="s">
        <v>598</v>
      </c>
      <c r="L118" s="8" t="s">
        <v>73</v>
      </c>
      <c r="M118" s="36" t="s">
        <v>60</v>
      </c>
      <c r="N118" s="4" t="s">
        <v>612</v>
      </c>
      <c r="O118" s="4"/>
      <c r="P118" s="4"/>
      <c r="Q118" s="4"/>
      <c r="R118"/>
      <c r="S118"/>
      <c r="T118"/>
      <c r="U118"/>
      <c r="V118"/>
      <c r="W118"/>
      <c r="X118"/>
      <c r="Y118"/>
      <c r="Z118"/>
      <c r="AA118"/>
      <c r="AB118"/>
      <c r="AC118"/>
      <c r="AD118"/>
      <c r="AE118"/>
      <c r="AF118"/>
      <c r="AG118"/>
      <c r="AH118"/>
      <c r="AI118"/>
      <c r="AJ118"/>
      <c r="AK118"/>
      <c r="AL118"/>
    </row>
    <row r="119" spans="1:38" s="3" customFormat="1" ht="28.9">
      <c r="A119" s="4" t="s">
        <v>613</v>
      </c>
      <c r="B119" s="4" t="s">
        <v>614</v>
      </c>
      <c r="C119" s="4" t="s">
        <v>615</v>
      </c>
      <c r="D119" s="4" t="s">
        <v>616</v>
      </c>
      <c r="E119" s="4" t="s">
        <v>617</v>
      </c>
      <c r="F119" s="9">
        <v>4</v>
      </c>
      <c r="G119" s="9">
        <v>1</v>
      </c>
      <c r="H119" s="9">
        <f t="shared" si="6"/>
        <v>4</v>
      </c>
      <c r="I119" s="9" t="s">
        <v>58</v>
      </c>
      <c r="J119" s="4" t="s">
        <v>618</v>
      </c>
      <c r="K119" s="4" t="s">
        <v>619</v>
      </c>
      <c r="L119" s="8" t="s">
        <v>86</v>
      </c>
      <c r="M119" s="9" t="s">
        <v>25</v>
      </c>
      <c r="N119" s="4" t="s">
        <v>620</v>
      </c>
      <c r="O119" s="4"/>
      <c r="P119" s="4"/>
      <c r="Q119" s="4"/>
      <c r="R119"/>
      <c r="S119"/>
      <c r="T119"/>
      <c r="U119"/>
      <c r="V119"/>
      <c r="W119"/>
      <c r="X119"/>
      <c r="Y119"/>
      <c r="Z119"/>
      <c r="AA119"/>
      <c r="AB119"/>
      <c r="AC119"/>
      <c r="AD119"/>
      <c r="AE119"/>
      <c r="AF119"/>
      <c r="AG119"/>
      <c r="AH119"/>
      <c r="AI119"/>
      <c r="AJ119"/>
      <c r="AK119"/>
      <c r="AL119"/>
    </row>
    <row r="120" spans="1:38" s="3" customFormat="1" ht="28.9">
      <c r="A120" s="4" t="s">
        <v>621</v>
      </c>
      <c r="B120" s="4" t="s">
        <v>622</v>
      </c>
      <c r="C120" s="4" t="s">
        <v>623</v>
      </c>
      <c r="D120" s="4" t="s">
        <v>624</v>
      </c>
      <c r="E120" s="4" t="s">
        <v>625</v>
      </c>
      <c r="F120" s="9">
        <v>2</v>
      </c>
      <c r="G120" s="9">
        <v>1</v>
      </c>
      <c r="H120" s="9">
        <f t="shared" si="6"/>
        <v>2</v>
      </c>
      <c r="I120" s="9" t="s">
        <v>58</v>
      </c>
      <c r="J120" s="4" t="s">
        <v>626</v>
      </c>
      <c r="K120" s="4" t="s">
        <v>626</v>
      </c>
      <c r="L120" s="8" t="s">
        <v>86</v>
      </c>
      <c r="M120" s="9" t="s">
        <v>198</v>
      </c>
      <c r="N120" s="4" t="s">
        <v>627</v>
      </c>
      <c r="O120" s="4"/>
      <c r="P120" s="4"/>
      <c r="Q120" s="4"/>
      <c r="R120"/>
      <c r="S120"/>
      <c r="T120"/>
      <c r="U120"/>
      <c r="V120"/>
      <c r="W120"/>
      <c r="X120"/>
      <c r="Y120"/>
      <c r="Z120"/>
      <c r="AA120"/>
      <c r="AB120"/>
      <c r="AC120"/>
      <c r="AD120"/>
      <c r="AE120"/>
      <c r="AF120"/>
      <c r="AG120"/>
      <c r="AH120"/>
      <c r="AI120"/>
      <c r="AJ120"/>
      <c r="AK120"/>
      <c r="AL120"/>
    </row>
    <row r="121" spans="1:38" s="3" customFormat="1" ht="28.9">
      <c r="A121" s="4" t="s">
        <v>628</v>
      </c>
      <c r="B121" s="4" t="s">
        <v>629</v>
      </c>
      <c r="C121" s="4" t="s">
        <v>630</v>
      </c>
      <c r="D121" s="4" t="s">
        <v>631</v>
      </c>
      <c r="E121" s="4" t="s">
        <v>625</v>
      </c>
      <c r="F121" s="9">
        <v>4</v>
      </c>
      <c r="G121" s="9">
        <v>4</v>
      </c>
      <c r="H121" s="9">
        <f t="shared" si="6"/>
        <v>16</v>
      </c>
      <c r="I121" s="9" t="s">
        <v>58</v>
      </c>
      <c r="J121" s="4" t="s">
        <v>632</v>
      </c>
      <c r="K121" s="4" t="s">
        <v>632</v>
      </c>
      <c r="L121" s="8" t="s">
        <v>86</v>
      </c>
      <c r="M121" s="9" t="s">
        <v>198</v>
      </c>
      <c r="N121" s="4" t="s">
        <v>633</v>
      </c>
      <c r="O121" s="4"/>
      <c r="P121" s="4"/>
      <c r="Q121" s="4"/>
      <c r="R121"/>
      <c r="S121"/>
      <c r="T121"/>
      <c r="U121"/>
      <c r="V121"/>
      <c r="W121"/>
      <c r="X121"/>
      <c r="Y121"/>
      <c r="Z121"/>
      <c r="AA121"/>
      <c r="AB121"/>
      <c r="AC121"/>
      <c r="AD121"/>
      <c r="AE121"/>
      <c r="AF121"/>
      <c r="AG121"/>
      <c r="AH121"/>
      <c r="AI121"/>
      <c r="AJ121"/>
      <c r="AK121"/>
      <c r="AL121"/>
    </row>
    <row r="122" spans="1:38" s="3" customFormat="1" ht="28.9">
      <c r="A122" s="4" t="s">
        <v>634</v>
      </c>
      <c r="B122" s="4" t="s">
        <v>635</v>
      </c>
      <c r="C122" s="4" t="s">
        <v>636</v>
      </c>
      <c r="D122" s="4" t="s">
        <v>637</v>
      </c>
      <c r="E122" s="4" t="s">
        <v>638</v>
      </c>
      <c r="F122" s="9">
        <v>4</v>
      </c>
      <c r="G122" s="9">
        <v>3</v>
      </c>
      <c r="H122" s="9">
        <f t="shared" si="6"/>
        <v>12</v>
      </c>
      <c r="I122" s="9" t="s">
        <v>72</v>
      </c>
      <c r="J122" s="58" t="s">
        <v>639</v>
      </c>
      <c r="K122" s="58" t="s">
        <v>639</v>
      </c>
      <c r="L122" s="8" t="s">
        <v>80</v>
      </c>
      <c r="M122" s="9" t="s">
        <v>25</v>
      </c>
      <c r="N122" s="4" t="s">
        <v>640</v>
      </c>
      <c r="O122" s="4"/>
      <c r="P122" s="4"/>
      <c r="Q122" s="4"/>
      <c r="R122"/>
      <c r="S122"/>
      <c r="T122"/>
      <c r="U122"/>
      <c r="V122"/>
      <c r="W122"/>
      <c r="X122"/>
      <c r="Y122"/>
      <c r="Z122"/>
      <c r="AA122"/>
      <c r="AB122"/>
      <c r="AC122"/>
      <c r="AD122"/>
      <c r="AE122"/>
      <c r="AF122"/>
      <c r="AG122"/>
      <c r="AH122"/>
      <c r="AI122"/>
      <c r="AJ122"/>
      <c r="AK122"/>
      <c r="AL122"/>
    </row>
    <row r="123" spans="1:38" s="3" customFormat="1" ht="36" customHeight="1">
      <c r="A123" s="4" t="s">
        <v>641</v>
      </c>
      <c r="B123" s="4" t="s">
        <v>642</v>
      </c>
      <c r="C123" s="4" t="s">
        <v>643</v>
      </c>
      <c r="D123" s="4" t="s">
        <v>644</v>
      </c>
      <c r="E123" s="4" t="s">
        <v>645</v>
      </c>
      <c r="F123" s="9">
        <v>4</v>
      </c>
      <c r="G123" s="9">
        <v>2</v>
      </c>
      <c r="H123" s="9">
        <f t="shared" si="6"/>
        <v>8</v>
      </c>
      <c r="I123" s="9" t="s">
        <v>72</v>
      </c>
      <c r="J123" s="58" t="s">
        <v>646</v>
      </c>
      <c r="K123" s="58" t="s">
        <v>646</v>
      </c>
      <c r="L123" s="8" t="s">
        <v>86</v>
      </c>
      <c r="M123" s="9" t="s">
        <v>25</v>
      </c>
      <c r="N123" s="4" t="s">
        <v>647</v>
      </c>
      <c r="O123" s="4"/>
      <c r="P123" s="4"/>
      <c r="Q123" s="4"/>
      <c r="R123"/>
      <c r="S123"/>
      <c r="T123"/>
      <c r="U123"/>
      <c r="V123"/>
      <c r="W123"/>
      <c r="X123"/>
      <c r="Y123"/>
      <c r="Z123"/>
      <c r="AA123"/>
      <c r="AB123"/>
      <c r="AC123"/>
      <c r="AD123"/>
      <c r="AE123"/>
      <c r="AF123"/>
      <c r="AG123"/>
      <c r="AH123"/>
      <c r="AI123"/>
      <c r="AJ123"/>
      <c r="AK123"/>
      <c r="AL123"/>
    </row>
    <row r="124" spans="1:38" s="3" customFormat="1" ht="57.6">
      <c r="A124" s="4" t="s">
        <v>648</v>
      </c>
      <c r="B124" s="4" t="s">
        <v>649</v>
      </c>
      <c r="C124" s="4" t="s">
        <v>650</v>
      </c>
      <c r="D124" s="4" t="s">
        <v>651</v>
      </c>
      <c r="E124" s="4" t="s">
        <v>652</v>
      </c>
      <c r="F124" s="9">
        <v>3</v>
      </c>
      <c r="G124" s="9">
        <v>1</v>
      </c>
      <c r="H124" s="9">
        <f t="shared" si="6"/>
        <v>3</v>
      </c>
      <c r="I124" s="9" t="s">
        <v>58</v>
      </c>
      <c r="J124" s="4" t="s">
        <v>653</v>
      </c>
      <c r="K124" s="4" t="s">
        <v>654</v>
      </c>
      <c r="L124" s="8" t="s">
        <v>86</v>
      </c>
      <c r="M124" s="36" t="s">
        <v>50</v>
      </c>
      <c r="N124" s="4" t="s">
        <v>655</v>
      </c>
      <c r="O124" s="4"/>
      <c r="P124" s="4"/>
      <c r="Q124" s="4"/>
      <c r="R124"/>
      <c r="S124"/>
      <c r="T124"/>
      <c r="U124"/>
      <c r="V124"/>
      <c r="W124"/>
      <c r="X124"/>
      <c r="Y124"/>
      <c r="Z124"/>
      <c r="AA124"/>
      <c r="AB124"/>
      <c r="AC124"/>
      <c r="AD124"/>
      <c r="AE124"/>
      <c r="AF124"/>
      <c r="AG124"/>
      <c r="AH124"/>
      <c r="AI124"/>
      <c r="AJ124"/>
      <c r="AK124"/>
      <c r="AL124"/>
    </row>
    <row r="125" spans="1:38" s="3" customFormat="1" ht="28.9">
      <c r="A125" s="4" t="s">
        <v>656</v>
      </c>
      <c r="B125" s="4" t="s">
        <v>657</v>
      </c>
      <c r="C125" s="4" t="s">
        <v>658</v>
      </c>
      <c r="D125" s="4" t="s">
        <v>659</v>
      </c>
      <c r="E125" s="4" t="s">
        <v>328</v>
      </c>
      <c r="F125" s="9">
        <v>3</v>
      </c>
      <c r="G125" s="9">
        <v>1</v>
      </c>
      <c r="H125" s="9">
        <f t="shared" si="6"/>
        <v>3</v>
      </c>
      <c r="I125" s="9" t="s">
        <v>58</v>
      </c>
      <c r="J125" s="4" t="s">
        <v>660</v>
      </c>
      <c r="K125" s="4" t="s">
        <v>661</v>
      </c>
      <c r="L125" s="8" t="s">
        <v>86</v>
      </c>
      <c r="M125" s="9" t="s">
        <v>25</v>
      </c>
      <c r="N125" s="51" t="s">
        <v>662</v>
      </c>
      <c r="O125" s="4"/>
      <c r="P125" s="4"/>
      <c r="Q125" s="4"/>
      <c r="R125"/>
      <c r="S125"/>
      <c r="T125"/>
      <c r="U125"/>
      <c r="V125"/>
      <c r="W125"/>
      <c r="X125"/>
      <c r="Y125"/>
      <c r="Z125"/>
      <c r="AA125"/>
      <c r="AB125"/>
      <c r="AC125"/>
      <c r="AD125"/>
      <c r="AE125"/>
      <c r="AF125"/>
      <c r="AG125"/>
      <c r="AH125"/>
      <c r="AI125"/>
      <c r="AJ125"/>
      <c r="AK125"/>
      <c r="AL125"/>
    </row>
    <row r="126" spans="1:38" s="5" customFormat="1" ht="15.6">
      <c r="A126" s="161" t="s">
        <v>663</v>
      </c>
      <c r="B126" s="161"/>
      <c r="C126" s="161"/>
      <c r="D126" s="161"/>
      <c r="E126" s="161"/>
      <c r="F126" s="161"/>
      <c r="G126" s="161"/>
      <c r="H126" s="161"/>
      <c r="I126" s="161"/>
      <c r="J126" s="161"/>
      <c r="K126" s="161"/>
      <c r="L126" s="161"/>
      <c r="M126" s="161"/>
      <c r="N126" s="161"/>
      <c r="O126" s="161"/>
      <c r="P126" s="161"/>
      <c r="Q126" s="161"/>
      <c r="R126"/>
      <c r="S126"/>
      <c r="T126"/>
      <c r="U126"/>
      <c r="V126"/>
      <c r="W126"/>
      <c r="X126"/>
      <c r="Y126"/>
      <c r="Z126"/>
      <c r="AA126"/>
      <c r="AB126"/>
      <c r="AC126"/>
      <c r="AD126"/>
      <c r="AE126"/>
      <c r="AF126"/>
      <c r="AG126"/>
      <c r="AH126"/>
      <c r="AI126"/>
      <c r="AJ126"/>
      <c r="AK126"/>
      <c r="AL126"/>
    </row>
    <row r="127" spans="1:38" s="3" customFormat="1" ht="43.15">
      <c r="A127" s="4" t="s">
        <v>664</v>
      </c>
      <c r="B127" s="4" t="s">
        <v>665</v>
      </c>
      <c r="C127" s="4" t="s">
        <v>666</v>
      </c>
      <c r="D127" s="4" t="s">
        <v>667</v>
      </c>
      <c r="E127" s="52" t="s">
        <v>668</v>
      </c>
      <c r="F127" s="9">
        <v>5</v>
      </c>
      <c r="G127" s="9">
        <v>1</v>
      </c>
      <c r="H127" s="9">
        <f t="shared" ref="H127:H144" si="7">F127*G127</f>
        <v>5</v>
      </c>
      <c r="I127" s="9" t="s">
        <v>72</v>
      </c>
      <c r="J127" s="4" t="s">
        <v>59</v>
      </c>
      <c r="K127" s="4" t="s">
        <v>59</v>
      </c>
      <c r="L127" s="55" t="s">
        <v>86</v>
      </c>
      <c r="M127" s="9" t="s">
        <v>60</v>
      </c>
      <c r="N127" s="4" t="s">
        <v>669</v>
      </c>
      <c r="O127" s="4"/>
      <c r="P127" s="4"/>
      <c r="Q127" s="4"/>
      <c r="R127"/>
      <c r="S127"/>
      <c r="T127"/>
      <c r="U127"/>
      <c r="V127"/>
      <c r="W127"/>
      <c r="X127"/>
      <c r="Y127"/>
      <c r="Z127"/>
      <c r="AA127"/>
      <c r="AB127"/>
      <c r="AC127"/>
      <c r="AD127"/>
      <c r="AE127"/>
      <c r="AF127"/>
      <c r="AG127"/>
      <c r="AH127"/>
      <c r="AI127"/>
      <c r="AJ127"/>
      <c r="AK127"/>
      <c r="AL127"/>
    </row>
    <row r="128" spans="1:38" s="3" customFormat="1" ht="14.45">
      <c r="A128" s="4" t="s">
        <v>670</v>
      </c>
      <c r="B128" s="4" t="s">
        <v>671</v>
      </c>
      <c r="C128" s="37" t="s">
        <v>672</v>
      </c>
      <c r="D128" s="4" t="s">
        <v>673</v>
      </c>
      <c r="E128" s="52" t="s">
        <v>309</v>
      </c>
      <c r="F128" s="9">
        <v>4</v>
      </c>
      <c r="G128" s="9">
        <v>1</v>
      </c>
      <c r="H128" s="9">
        <f t="shared" si="7"/>
        <v>4</v>
      </c>
      <c r="I128" s="9" t="s">
        <v>72</v>
      </c>
      <c r="J128" s="4" t="s">
        <v>674</v>
      </c>
      <c r="K128" s="4" t="s">
        <v>674</v>
      </c>
      <c r="L128" s="8" t="s">
        <v>86</v>
      </c>
      <c r="M128" s="9" t="s">
        <v>60</v>
      </c>
      <c r="N128" s="4" t="s">
        <v>675</v>
      </c>
      <c r="O128" s="4"/>
      <c r="P128" s="4"/>
      <c r="Q128" s="4"/>
      <c r="R128"/>
      <c r="S128"/>
      <c r="T128"/>
      <c r="U128"/>
      <c r="V128"/>
      <c r="W128"/>
      <c r="X128"/>
      <c r="Y128"/>
      <c r="Z128"/>
      <c r="AA128"/>
      <c r="AB128"/>
      <c r="AC128"/>
      <c r="AD128"/>
      <c r="AE128"/>
      <c r="AF128"/>
      <c r="AG128"/>
      <c r="AH128"/>
      <c r="AI128"/>
      <c r="AJ128"/>
      <c r="AK128"/>
      <c r="AL128"/>
    </row>
    <row r="129" spans="1:38" s="3" customFormat="1" ht="28.9">
      <c r="A129" s="4" t="s">
        <v>676</v>
      </c>
      <c r="B129" s="4" t="s">
        <v>677</v>
      </c>
      <c r="C129" s="37" t="s">
        <v>678</v>
      </c>
      <c r="D129" s="4" t="s">
        <v>679</v>
      </c>
      <c r="E129" s="52" t="s">
        <v>309</v>
      </c>
      <c r="F129" s="9">
        <v>4</v>
      </c>
      <c r="G129" s="9">
        <v>1</v>
      </c>
      <c r="H129" s="9">
        <f t="shared" si="7"/>
        <v>4</v>
      </c>
      <c r="I129" s="9" t="s">
        <v>72</v>
      </c>
      <c r="J129" s="4" t="s">
        <v>674</v>
      </c>
      <c r="K129" s="4" t="s">
        <v>674</v>
      </c>
      <c r="L129" s="8" t="s">
        <v>86</v>
      </c>
      <c r="M129" s="9" t="s">
        <v>100</v>
      </c>
      <c r="N129" s="4" t="s">
        <v>680</v>
      </c>
      <c r="O129" s="4"/>
      <c r="P129" s="4"/>
      <c r="Q129" s="4"/>
      <c r="R129"/>
      <c r="S129"/>
      <c r="T129"/>
      <c r="U129"/>
      <c r="V129"/>
      <c r="W129"/>
      <c r="X129"/>
      <c r="Y129"/>
      <c r="Z129"/>
      <c r="AA129"/>
      <c r="AB129"/>
      <c r="AC129"/>
      <c r="AD129"/>
      <c r="AE129"/>
      <c r="AF129"/>
      <c r="AG129"/>
      <c r="AH129"/>
      <c r="AI129"/>
      <c r="AJ129"/>
      <c r="AK129"/>
      <c r="AL129"/>
    </row>
    <row r="130" spans="1:38" s="3" customFormat="1" ht="14.45">
      <c r="A130" s="4" t="s">
        <v>681</v>
      </c>
      <c r="B130" s="4" t="s">
        <v>682</v>
      </c>
      <c r="C130" s="4" t="s">
        <v>683</v>
      </c>
      <c r="D130" s="4" t="s">
        <v>684</v>
      </c>
      <c r="E130" s="52" t="s">
        <v>354</v>
      </c>
      <c r="F130" s="9">
        <v>3</v>
      </c>
      <c r="G130" s="9">
        <v>1</v>
      </c>
      <c r="H130" s="9">
        <f t="shared" si="7"/>
        <v>3</v>
      </c>
      <c r="I130" s="9" t="s">
        <v>72</v>
      </c>
      <c r="J130" s="4" t="s">
        <v>685</v>
      </c>
      <c r="K130" s="4" t="s">
        <v>685</v>
      </c>
      <c r="L130" s="8" t="s">
        <v>86</v>
      </c>
      <c r="M130" s="9" t="s">
        <v>60</v>
      </c>
      <c r="N130" s="4" t="s">
        <v>686</v>
      </c>
      <c r="O130" s="4"/>
      <c r="P130" s="4"/>
      <c r="Q130" s="4"/>
      <c r="R130"/>
      <c r="S130"/>
      <c r="T130"/>
      <c r="U130"/>
      <c r="V130"/>
      <c r="W130"/>
      <c r="X130"/>
      <c r="Y130"/>
      <c r="Z130"/>
      <c r="AA130"/>
      <c r="AB130"/>
      <c r="AC130"/>
      <c r="AD130"/>
      <c r="AE130"/>
      <c r="AF130"/>
      <c r="AG130"/>
      <c r="AH130"/>
      <c r="AI130"/>
      <c r="AJ130"/>
      <c r="AK130"/>
      <c r="AL130"/>
    </row>
    <row r="131" spans="1:38" s="3" customFormat="1" ht="28.9">
      <c r="A131" s="4" t="s">
        <v>687</v>
      </c>
      <c r="B131" s="4" t="s">
        <v>688</v>
      </c>
      <c r="C131" s="4" t="s">
        <v>689</v>
      </c>
      <c r="D131" s="4" t="s">
        <v>690</v>
      </c>
      <c r="E131" s="52" t="s">
        <v>354</v>
      </c>
      <c r="F131" s="9">
        <v>3</v>
      </c>
      <c r="G131" s="9">
        <v>1</v>
      </c>
      <c r="H131" s="9">
        <f t="shared" si="7"/>
        <v>3</v>
      </c>
      <c r="I131" s="9" t="s">
        <v>72</v>
      </c>
      <c r="J131" s="4" t="s">
        <v>685</v>
      </c>
      <c r="K131" s="4" t="s">
        <v>685</v>
      </c>
      <c r="L131" s="8" t="s">
        <v>86</v>
      </c>
      <c r="M131" s="9" t="s">
        <v>100</v>
      </c>
      <c r="N131" s="4" t="s">
        <v>691</v>
      </c>
      <c r="O131" s="4"/>
      <c r="P131" s="4"/>
      <c r="Q131" s="4"/>
      <c r="R131"/>
      <c r="S131"/>
      <c r="T131"/>
      <c r="U131"/>
      <c r="V131"/>
      <c r="W131"/>
      <c r="X131"/>
      <c r="Y131"/>
      <c r="Z131"/>
      <c r="AA131"/>
      <c r="AB131"/>
      <c r="AC131"/>
      <c r="AD131"/>
      <c r="AE131"/>
      <c r="AF131"/>
      <c r="AG131"/>
      <c r="AH131"/>
      <c r="AI131"/>
      <c r="AJ131"/>
      <c r="AK131"/>
      <c r="AL131"/>
    </row>
    <row r="132" spans="1:38" s="3" customFormat="1" ht="14.45">
      <c r="A132" s="4" t="s">
        <v>692</v>
      </c>
      <c r="B132" s="4" t="s">
        <v>693</v>
      </c>
      <c r="C132" s="50" t="s">
        <v>694</v>
      </c>
      <c r="D132" s="4" t="s">
        <v>695</v>
      </c>
      <c r="E132" s="52" t="s">
        <v>381</v>
      </c>
      <c r="F132" s="9">
        <v>4</v>
      </c>
      <c r="G132" s="9">
        <v>1</v>
      </c>
      <c r="H132" s="9">
        <f t="shared" si="7"/>
        <v>4</v>
      </c>
      <c r="I132" s="9" t="s">
        <v>72</v>
      </c>
      <c r="J132" s="50" t="s">
        <v>696</v>
      </c>
      <c r="K132" s="50" t="s">
        <v>697</v>
      </c>
      <c r="L132" s="8" t="s">
        <v>80</v>
      </c>
      <c r="M132" s="9" t="s">
        <v>60</v>
      </c>
      <c r="N132" s="4" t="s">
        <v>698</v>
      </c>
      <c r="O132" s="4"/>
      <c r="P132" s="4"/>
      <c r="Q132" s="4"/>
      <c r="R132"/>
      <c r="S132"/>
      <c r="T132"/>
      <c r="U132"/>
      <c r="V132"/>
      <c r="W132"/>
      <c r="X132"/>
      <c r="Y132"/>
      <c r="Z132"/>
      <c r="AA132"/>
      <c r="AB132"/>
      <c r="AC132"/>
      <c r="AD132"/>
      <c r="AE132"/>
      <c r="AF132"/>
      <c r="AG132"/>
      <c r="AH132"/>
      <c r="AI132"/>
      <c r="AJ132"/>
      <c r="AK132"/>
      <c r="AL132"/>
    </row>
    <row r="133" spans="1:38" s="3" customFormat="1" ht="28.9">
      <c r="A133" s="4" t="s">
        <v>699</v>
      </c>
      <c r="B133" s="4" t="s">
        <v>700</v>
      </c>
      <c r="C133" s="50" t="s">
        <v>701</v>
      </c>
      <c r="D133" s="53" t="s">
        <v>702</v>
      </c>
      <c r="E133" s="52" t="s">
        <v>381</v>
      </c>
      <c r="F133" s="9">
        <v>4</v>
      </c>
      <c r="G133" s="9">
        <v>1</v>
      </c>
      <c r="H133" s="9">
        <f t="shared" si="7"/>
        <v>4</v>
      </c>
      <c r="I133" s="9" t="s">
        <v>72</v>
      </c>
      <c r="J133" s="50" t="s">
        <v>696</v>
      </c>
      <c r="K133" s="50" t="s">
        <v>697</v>
      </c>
      <c r="L133" s="8" t="s">
        <v>80</v>
      </c>
      <c r="M133" s="9" t="s">
        <v>100</v>
      </c>
      <c r="N133" s="4" t="s">
        <v>703</v>
      </c>
      <c r="O133" s="4"/>
      <c r="P133" s="4"/>
      <c r="Q133" s="4"/>
      <c r="R133"/>
      <c r="S133"/>
      <c r="T133"/>
      <c r="U133"/>
      <c r="V133"/>
      <c r="W133"/>
      <c r="X133"/>
      <c r="Y133"/>
      <c r="Z133"/>
      <c r="AA133"/>
      <c r="AB133"/>
      <c r="AC133"/>
      <c r="AD133"/>
      <c r="AE133"/>
      <c r="AF133"/>
      <c r="AG133"/>
      <c r="AH133"/>
      <c r="AI133"/>
      <c r="AJ133"/>
      <c r="AK133"/>
      <c r="AL133"/>
    </row>
    <row r="134" spans="1:38" s="3" customFormat="1" ht="14.45">
      <c r="A134" s="4" t="s">
        <v>704</v>
      </c>
      <c r="B134" s="4" t="s">
        <v>705</v>
      </c>
      <c r="C134" s="4" t="s">
        <v>706</v>
      </c>
      <c r="D134" s="4" t="s">
        <v>707</v>
      </c>
      <c r="E134" s="52" t="s">
        <v>309</v>
      </c>
      <c r="F134" s="9">
        <v>4</v>
      </c>
      <c r="G134" s="9">
        <v>1</v>
      </c>
      <c r="H134" s="9">
        <f t="shared" si="7"/>
        <v>4</v>
      </c>
      <c r="I134" s="9" t="s">
        <v>72</v>
      </c>
      <c r="J134" s="4" t="s">
        <v>59</v>
      </c>
      <c r="K134" s="4" t="s">
        <v>59</v>
      </c>
      <c r="L134" s="8" t="s">
        <v>86</v>
      </c>
      <c r="M134" s="9" t="s">
        <v>60</v>
      </c>
      <c r="N134" s="4" t="s">
        <v>708</v>
      </c>
      <c r="O134" s="4"/>
      <c r="P134" s="4"/>
      <c r="Q134" s="4"/>
      <c r="R134"/>
      <c r="S134"/>
      <c r="T134"/>
      <c r="U134"/>
      <c r="V134"/>
      <c r="W134"/>
      <c r="X134"/>
      <c r="Y134"/>
      <c r="Z134"/>
      <c r="AA134"/>
      <c r="AB134"/>
      <c r="AC134"/>
      <c r="AD134"/>
      <c r="AE134"/>
      <c r="AF134"/>
      <c r="AG134"/>
      <c r="AH134"/>
      <c r="AI134"/>
      <c r="AJ134"/>
      <c r="AK134"/>
      <c r="AL134"/>
    </row>
    <row r="135" spans="1:38" s="3" customFormat="1" ht="28.9">
      <c r="A135" s="4" t="s">
        <v>709</v>
      </c>
      <c r="B135" s="4" t="s">
        <v>710</v>
      </c>
      <c r="C135" s="4" t="s">
        <v>711</v>
      </c>
      <c r="D135" s="4" t="s">
        <v>712</v>
      </c>
      <c r="E135" s="52" t="s">
        <v>179</v>
      </c>
      <c r="F135" s="9">
        <v>5</v>
      </c>
      <c r="G135" s="9">
        <v>1</v>
      </c>
      <c r="H135" s="9">
        <f t="shared" si="7"/>
        <v>5</v>
      </c>
      <c r="I135" s="9" t="s">
        <v>72</v>
      </c>
      <c r="J135" s="4" t="s">
        <v>59</v>
      </c>
      <c r="K135" s="4" t="s">
        <v>59</v>
      </c>
      <c r="L135" s="55" t="s">
        <v>86</v>
      </c>
      <c r="M135" s="9" t="s">
        <v>100</v>
      </c>
      <c r="N135" s="4" t="s">
        <v>713</v>
      </c>
      <c r="O135" s="4"/>
      <c r="P135" s="4"/>
      <c r="Q135" s="4"/>
      <c r="R135"/>
      <c r="S135"/>
      <c r="T135"/>
      <c r="U135"/>
      <c r="V135"/>
      <c r="W135"/>
      <c r="X135"/>
      <c r="Y135"/>
      <c r="Z135"/>
      <c r="AA135"/>
      <c r="AB135"/>
      <c r="AC135"/>
      <c r="AD135"/>
      <c r="AE135"/>
      <c r="AF135"/>
      <c r="AG135"/>
      <c r="AH135"/>
      <c r="AI135"/>
      <c r="AJ135"/>
      <c r="AK135"/>
      <c r="AL135"/>
    </row>
    <row r="136" spans="1:38" s="3" customFormat="1" ht="28.9">
      <c r="A136" s="4" t="s">
        <v>714</v>
      </c>
      <c r="B136" s="4" t="s">
        <v>715</v>
      </c>
      <c r="C136" s="4" t="s">
        <v>716</v>
      </c>
      <c r="D136" s="4" t="s">
        <v>717</v>
      </c>
      <c r="E136" s="52" t="s">
        <v>179</v>
      </c>
      <c r="F136" s="9">
        <v>5</v>
      </c>
      <c r="G136" s="9">
        <v>1</v>
      </c>
      <c r="H136" s="9">
        <f t="shared" si="7"/>
        <v>5</v>
      </c>
      <c r="I136" s="9" t="s">
        <v>72</v>
      </c>
      <c r="J136" s="4" t="s">
        <v>718</v>
      </c>
      <c r="K136" s="4" t="s">
        <v>718</v>
      </c>
      <c r="L136" s="8" t="s">
        <v>86</v>
      </c>
      <c r="M136" s="9" t="s">
        <v>100</v>
      </c>
      <c r="N136" s="4" t="s">
        <v>719</v>
      </c>
      <c r="O136" s="4"/>
      <c r="P136" s="4"/>
      <c r="Q136" s="4"/>
      <c r="R136"/>
      <c r="S136"/>
      <c r="T136"/>
      <c r="U136"/>
      <c r="V136"/>
      <c r="W136"/>
      <c r="X136"/>
      <c r="Y136"/>
      <c r="Z136"/>
      <c r="AA136"/>
      <c r="AB136"/>
      <c r="AC136"/>
      <c r="AD136"/>
      <c r="AE136"/>
      <c r="AF136"/>
      <c r="AG136"/>
      <c r="AH136"/>
      <c r="AI136"/>
      <c r="AJ136"/>
      <c r="AK136"/>
      <c r="AL136"/>
    </row>
    <row r="137" spans="1:38" s="3" customFormat="1" ht="28.9">
      <c r="A137" s="4" t="s">
        <v>720</v>
      </c>
      <c r="B137" s="4" t="s">
        <v>721</v>
      </c>
      <c r="C137" s="4" t="s">
        <v>722</v>
      </c>
      <c r="D137" s="4" t="s">
        <v>723</v>
      </c>
      <c r="E137" s="52" t="s">
        <v>179</v>
      </c>
      <c r="F137" s="9">
        <v>5</v>
      </c>
      <c r="G137" s="9">
        <v>1</v>
      </c>
      <c r="H137" s="9">
        <f t="shared" si="7"/>
        <v>5</v>
      </c>
      <c r="I137" s="9" t="s">
        <v>72</v>
      </c>
      <c r="J137" s="4" t="s">
        <v>718</v>
      </c>
      <c r="K137" s="4" t="s">
        <v>718</v>
      </c>
      <c r="L137" s="8" t="s">
        <v>86</v>
      </c>
      <c r="M137" s="9" t="s">
        <v>100</v>
      </c>
      <c r="N137" s="4" t="s">
        <v>724</v>
      </c>
      <c r="O137" s="4"/>
      <c r="P137" s="4"/>
      <c r="Q137" s="4"/>
      <c r="R137"/>
      <c r="S137"/>
      <c r="T137"/>
      <c r="U137"/>
      <c r="V137"/>
      <c r="W137"/>
      <c r="X137"/>
      <c r="Y137"/>
      <c r="Z137"/>
      <c r="AA137"/>
      <c r="AB137"/>
      <c r="AC137"/>
      <c r="AD137"/>
      <c r="AE137"/>
      <c r="AF137"/>
      <c r="AG137"/>
      <c r="AH137"/>
      <c r="AI137"/>
      <c r="AJ137"/>
      <c r="AK137"/>
      <c r="AL137"/>
    </row>
    <row r="138" spans="1:38" s="3" customFormat="1" ht="14.45">
      <c r="A138" s="4" t="s">
        <v>725</v>
      </c>
      <c r="B138" s="4" t="s">
        <v>726</v>
      </c>
      <c r="C138" s="4" t="s">
        <v>727</v>
      </c>
      <c r="D138" s="10" t="s">
        <v>728</v>
      </c>
      <c r="E138" s="52" t="s">
        <v>179</v>
      </c>
      <c r="F138" s="9">
        <v>4</v>
      </c>
      <c r="G138" s="9">
        <v>1</v>
      </c>
      <c r="H138" s="9">
        <f t="shared" si="7"/>
        <v>4</v>
      </c>
      <c r="I138" s="9" t="s">
        <v>72</v>
      </c>
      <c r="J138" s="4" t="s">
        <v>729</v>
      </c>
      <c r="K138" s="4" t="s">
        <v>729</v>
      </c>
      <c r="L138" s="55" t="s">
        <v>86</v>
      </c>
      <c r="M138" s="9" t="s">
        <v>60</v>
      </c>
      <c r="N138" s="4" t="s">
        <v>730</v>
      </c>
      <c r="O138" s="4"/>
      <c r="P138" s="4"/>
      <c r="Q138" s="4"/>
      <c r="R138"/>
      <c r="S138"/>
      <c r="T138"/>
      <c r="U138"/>
      <c r="V138"/>
      <c r="W138"/>
      <c r="X138"/>
      <c r="Y138"/>
      <c r="Z138"/>
      <c r="AA138"/>
      <c r="AB138"/>
      <c r="AC138"/>
      <c r="AD138"/>
      <c r="AE138"/>
      <c r="AF138"/>
      <c r="AG138"/>
      <c r="AH138"/>
      <c r="AI138"/>
      <c r="AJ138"/>
      <c r="AK138"/>
      <c r="AL138"/>
    </row>
    <row r="139" spans="1:38" s="3" customFormat="1" ht="14.45">
      <c r="A139" s="4" t="s">
        <v>731</v>
      </c>
      <c r="B139" s="4" t="s">
        <v>732</v>
      </c>
      <c r="C139" s="4" t="s">
        <v>733</v>
      </c>
      <c r="D139" s="10" t="s">
        <v>734</v>
      </c>
      <c r="E139" s="52" t="s">
        <v>179</v>
      </c>
      <c r="F139" s="9">
        <v>5</v>
      </c>
      <c r="G139" s="9">
        <v>1</v>
      </c>
      <c r="H139" s="9">
        <f t="shared" si="7"/>
        <v>5</v>
      </c>
      <c r="I139" s="9" t="s">
        <v>72</v>
      </c>
      <c r="J139" s="4" t="s">
        <v>735</v>
      </c>
      <c r="K139" s="4" t="s">
        <v>735</v>
      </c>
      <c r="L139" s="55" t="s">
        <v>86</v>
      </c>
      <c r="M139" s="9" t="s">
        <v>100</v>
      </c>
      <c r="N139" s="4" t="s">
        <v>736</v>
      </c>
      <c r="O139" s="4"/>
      <c r="P139" s="4"/>
      <c r="Q139" s="4"/>
      <c r="R139"/>
      <c r="S139"/>
      <c r="T139"/>
      <c r="U139"/>
      <c r="V139"/>
      <c r="W139"/>
      <c r="X139"/>
      <c r="Y139"/>
      <c r="Z139"/>
      <c r="AA139"/>
      <c r="AB139"/>
      <c r="AC139"/>
      <c r="AD139"/>
      <c r="AE139"/>
      <c r="AF139"/>
      <c r="AG139"/>
      <c r="AH139"/>
      <c r="AI139"/>
      <c r="AJ139"/>
      <c r="AK139"/>
      <c r="AL139"/>
    </row>
    <row r="140" spans="1:38" s="3" customFormat="1" ht="14.45">
      <c r="A140" s="77" t="s">
        <v>737</v>
      </c>
      <c r="B140" s="77" t="s">
        <v>738</v>
      </c>
      <c r="C140" s="77" t="s">
        <v>739</v>
      </c>
      <c r="D140" s="78" t="s">
        <v>740</v>
      </c>
      <c r="E140" s="79" t="s">
        <v>335</v>
      </c>
      <c r="F140" s="80">
        <v>5</v>
      </c>
      <c r="G140" s="80">
        <v>1</v>
      </c>
      <c r="H140" s="80">
        <f t="shared" si="7"/>
        <v>5</v>
      </c>
      <c r="I140" s="80" t="s">
        <v>72</v>
      </c>
      <c r="J140" s="77" t="s">
        <v>59</v>
      </c>
      <c r="K140" s="77" t="s">
        <v>59</v>
      </c>
      <c r="L140" s="38" t="s">
        <v>24</v>
      </c>
      <c r="M140" s="80" t="s">
        <v>25</v>
      </c>
      <c r="N140" s="77" t="s">
        <v>741</v>
      </c>
      <c r="O140" s="77"/>
      <c r="P140" s="77"/>
      <c r="Q140" s="77"/>
      <c r="R140"/>
      <c r="S140"/>
      <c r="T140"/>
      <c r="U140"/>
      <c r="V140"/>
      <c r="W140"/>
      <c r="X140"/>
      <c r="Y140"/>
      <c r="Z140"/>
      <c r="AA140"/>
      <c r="AB140"/>
      <c r="AC140"/>
      <c r="AD140"/>
      <c r="AE140"/>
      <c r="AF140"/>
      <c r="AG140"/>
      <c r="AH140"/>
      <c r="AI140"/>
      <c r="AJ140"/>
      <c r="AK140"/>
      <c r="AL140"/>
    </row>
    <row r="141" spans="1:38" s="3" customFormat="1" ht="28.9">
      <c r="A141" s="81" t="s">
        <v>742</v>
      </c>
      <c r="B141" s="81" t="s">
        <v>743</v>
      </c>
      <c r="C141" s="82" t="s">
        <v>744</v>
      </c>
      <c r="D141" s="81" t="s">
        <v>745</v>
      </c>
      <c r="E141" s="81" t="s">
        <v>341</v>
      </c>
      <c r="F141" s="83">
        <v>4</v>
      </c>
      <c r="G141" s="83">
        <v>1</v>
      </c>
      <c r="H141" s="83">
        <f t="shared" si="7"/>
        <v>4</v>
      </c>
      <c r="I141" s="83" t="s">
        <v>72</v>
      </c>
      <c r="J141" s="82" t="s">
        <v>746</v>
      </c>
      <c r="K141" s="82" t="s">
        <v>747</v>
      </c>
      <c r="L141" s="84" t="s">
        <v>24</v>
      </c>
      <c r="M141" s="83" t="s">
        <v>748</v>
      </c>
      <c r="N141" s="81" t="s">
        <v>749</v>
      </c>
      <c r="O141" s="81"/>
      <c r="P141" s="81"/>
      <c r="Q141" s="81"/>
      <c r="R141"/>
      <c r="S141"/>
      <c r="T141"/>
      <c r="U141"/>
      <c r="V141"/>
      <c r="W141"/>
      <c r="X141"/>
      <c r="Y141"/>
      <c r="Z141"/>
      <c r="AA141"/>
      <c r="AB141"/>
      <c r="AC141"/>
      <c r="AD141"/>
      <c r="AE141"/>
      <c r="AF141"/>
      <c r="AG141"/>
      <c r="AH141"/>
      <c r="AI141"/>
      <c r="AJ141"/>
      <c r="AK141"/>
      <c r="AL141"/>
    </row>
    <row r="142" spans="1:38" s="3" customFormat="1" ht="14.45">
      <c r="A142" s="4" t="s">
        <v>750</v>
      </c>
      <c r="B142" s="4" t="s">
        <v>751</v>
      </c>
      <c r="C142" s="50" t="s">
        <v>752</v>
      </c>
      <c r="D142" s="4" t="s">
        <v>753</v>
      </c>
      <c r="E142" s="4" t="s">
        <v>348</v>
      </c>
      <c r="F142" s="9">
        <v>4</v>
      </c>
      <c r="G142" s="9">
        <v>1</v>
      </c>
      <c r="H142" s="9">
        <f t="shared" si="7"/>
        <v>4</v>
      </c>
      <c r="I142" s="9" t="s">
        <v>72</v>
      </c>
      <c r="J142" s="50" t="s">
        <v>754</v>
      </c>
      <c r="K142" s="50" t="s">
        <v>755</v>
      </c>
      <c r="L142" s="8" t="s">
        <v>24</v>
      </c>
      <c r="M142" s="9" t="s">
        <v>748</v>
      </c>
      <c r="N142" s="4" t="s">
        <v>756</v>
      </c>
      <c r="O142" s="4"/>
      <c r="P142" s="4"/>
      <c r="Q142" s="4"/>
      <c r="R142"/>
      <c r="S142"/>
      <c r="T142"/>
      <c r="U142"/>
      <c r="V142"/>
      <c r="W142"/>
      <c r="X142"/>
      <c r="Y142"/>
      <c r="Z142"/>
      <c r="AA142"/>
      <c r="AB142"/>
      <c r="AC142"/>
      <c r="AD142"/>
      <c r="AE142"/>
      <c r="AF142"/>
      <c r="AG142"/>
      <c r="AH142"/>
      <c r="AI142"/>
      <c r="AJ142"/>
      <c r="AK142"/>
      <c r="AL142"/>
    </row>
    <row r="143" spans="1:38" s="3" customFormat="1" ht="14.45">
      <c r="A143" s="4" t="s">
        <v>757</v>
      </c>
      <c r="B143" s="4" t="s">
        <v>758</v>
      </c>
      <c r="C143" s="50" t="s">
        <v>759</v>
      </c>
      <c r="D143" s="4" t="s">
        <v>760</v>
      </c>
      <c r="E143" s="4" t="s">
        <v>354</v>
      </c>
      <c r="F143" s="9">
        <v>4</v>
      </c>
      <c r="G143" s="9">
        <v>1</v>
      </c>
      <c r="H143" s="9">
        <f t="shared" si="7"/>
        <v>4</v>
      </c>
      <c r="I143" s="9" t="s">
        <v>72</v>
      </c>
      <c r="J143" s="50" t="s">
        <v>761</v>
      </c>
      <c r="K143" s="50" t="s">
        <v>762</v>
      </c>
      <c r="L143" s="8" t="s">
        <v>24</v>
      </c>
      <c r="M143" s="9" t="s">
        <v>537</v>
      </c>
      <c r="N143" s="4" t="s">
        <v>763</v>
      </c>
      <c r="O143" s="4"/>
      <c r="P143" s="4"/>
      <c r="Q143" s="4"/>
      <c r="R143"/>
      <c r="S143"/>
      <c r="T143"/>
      <c r="U143"/>
      <c r="V143"/>
      <c r="W143"/>
      <c r="X143"/>
      <c r="Y143"/>
      <c r="Z143"/>
      <c r="AA143"/>
      <c r="AB143"/>
      <c r="AC143"/>
      <c r="AD143"/>
      <c r="AE143"/>
      <c r="AF143"/>
      <c r="AG143"/>
      <c r="AH143"/>
      <c r="AI143"/>
      <c r="AJ143"/>
      <c r="AK143"/>
      <c r="AL143"/>
    </row>
    <row r="144" spans="1:38" s="3" customFormat="1" ht="14.45">
      <c r="A144" s="4" t="s">
        <v>764</v>
      </c>
      <c r="B144" s="4" t="s">
        <v>765</v>
      </c>
      <c r="C144" s="50" t="s">
        <v>766</v>
      </c>
      <c r="D144" s="4" t="s">
        <v>767</v>
      </c>
      <c r="E144" s="52" t="s">
        <v>224</v>
      </c>
      <c r="F144" s="9">
        <v>4</v>
      </c>
      <c r="G144" s="9">
        <v>1</v>
      </c>
      <c r="H144" s="9">
        <f t="shared" si="7"/>
        <v>4</v>
      </c>
      <c r="I144" s="9" t="s">
        <v>72</v>
      </c>
      <c r="J144" s="50" t="s">
        <v>768</v>
      </c>
      <c r="K144" s="50" t="s">
        <v>769</v>
      </c>
      <c r="L144" s="8" t="s">
        <v>24</v>
      </c>
      <c r="M144" s="9" t="s">
        <v>25</v>
      </c>
      <c r="N144" s="4" t="s">
        <v>770</v>
      </c>
      <c r="O144" s="4"/>
      <c r="P144" s="4"/>
      <c r="Q144" s="4"/>
      <c r="R144"/>
      <c r="S144"/>
      <c r="T144"/>
      <c r="U144"/>
      <c r="V144"/>
      <c r="W144"/>
      <c r="X144"/>
      <c r="Y144"/>
      <c r="Z144"/>
      <c r="AA144"/>
      <c r="AB144"/>
      <c r="AC144"/>
      <c r="AD144"/>
      <c r="AE144"/>
      <c r="AF144"/>
      <c r="AG144"/>
      <c r="AH144"/>
      <c r="AI144"/>
      <c r="AJ144"/>
      <c r="AK144"/>
      <c r="AL144"/>
    </row>
    <row r="145" spans="1:38" s="3" customFormat="1" ht="28.9">
      <c r="A145" s="4" t="s">
        <v>771</v>
      </c>
      <c r="B145" s="4" t="s">
        <v>772</v>
      </c>
      <c r="C145" s="50" t="s">
        <v>773</v>
      </c>
      <c r="D145" s="4" t="s">
        <v>774</v>
      </c>
      <c r="E145" s="52" t="s">
        <v>400</v>
      </c>
      <c r="F145" s="9">
        <v>4</v>
      </c>
      <c r="G145" s="9">
        <v>1</v>
      </c>
      <c r="H145" s="9">
        <f>F145*G145</f>
        <v>4</v>
      </c>
      <c r="I145" s="9" t="s">
        <v>72</v>
      </c>
      <c r="J145" s="50" t="s">
        <v>775</v>
      </c>
      <c r="K145" s="50" t="s">
        <v>776</v>
      </c>
      <c r="L145" s="8" t="s">
        <v>24</v>
      </c>
      <c r="M145" s="9" t="s">
        <v>100</v>
      </c>
      <c r="N145" s="4" t="s">
        <v>777</v>
      </c>
      <c r="O145" s="4"/>
      <c r="P145" s="4"/>
      <c r="Q145" s="4"/>
      <c r="R145"/>
      <c r="S145"/>
      <c r="T145"/>
      <c r="U145"/>
      <c r="V145"/>
      <c r="W145"/>
      <c r="X145"/>
      <c r="Y145"/>
      <c r="Z145"/>
      <c r="AA145"/>
      <c r="AB145"/>
      <c r="AC145"/>
      <c r="AD145"/>
      <c r="AE145"/>
      <c r="AF145"/>
      <c r="AG145"/>
      <c r="AH145"/>
      <c r="AI145"/>
      <c r="AJ145"/>
      <c r="AK145"/>
      <c r="AL145"/>
    </row>
    <row r="146" spans="1:38" s="3" customFormat="1" ht="28.9">
      <c r="A146" s="4" t="s">
        <v>778</v>
      </c>
      <c r="B146" s="4" t="s">
        <v>779</v>
      </c>
      <c r="C146" s="50" t="s">
        <v>780</v>
      </c>
      <c r="D146" s="4" t="s">
        <v>781</v>
      </c>
      <c r="E146" s="52" t="s">
        <v>335</v>
      </c>
      <c r="F146" s="9">
        <v>4</v>
      </c>
      <c r="G146" s="9">
        <v>1</v>
      </c>
      <c r="H146" s="9">
        <f>F146*G146</f>
        <v>4</v>
      </c>
      <c r="I146" s="9" t="s">
        <v>72</v>
      </c>
      <c r="J146" s="50" t="s">
        <v>782</v>
      </c>
      <c r="K146" s="4" t="s">
        <v>783</v>
      </c>
      <c r="L146" s="8" t="s">
        <v>80</v>
      </c>
      <c r="M146" s="9" t="s">
        <v>100</v>
      </c>
      <c r="N146" s="4" t="s">
        <v>784</v>
      </c>
      <c r="O146" s="4"/>
      <c r="P146" s="4"/>
      <c r="Q146" s="4"/>
      <c r="R146"/>
      <c r="S146"/>
      <c r="T146"/>
      <c r="U146"/>
      <c r="V146"/>
      <c r="W146"/>
      <c r="X146"/>
      <c r="Y146"/>
      <c r="Z146"/>
      <c r="AA146"/>
      <c r="AB146"/>
      <c r="AC146"/>
      <c r="AD146"/>
      <c r="AE146"/>
      <c r="AF146"/>
      <c r="AG146"/>
      <c r="AH146"/>
      <c r="AI146"/>
      <c r="AJ146"/>
      <c r="AK146"/>
      <c r="AL146"/>
    </row>
    <row r="147" spans="1:38" s="5" customFormat="1" ht="15.6">
      <c r="A147" s="161" t="s">
        <v>785</v>
      </c>
      <c r="B147" s="161"/>
      <c r="C147" s="161"/>
      <c r="D147" s="161"/>
      <c r="E147" s="161"/>
      <c r="F147" s="161"/>
      <c r="G147" s="161"/>
      <c r="H147" s="161"/>
      <c r="I147" s="161"/>
      <c r="J147" s="161"/>
      <c r="K147" s="161"/>
      <c r="L147" s="161"/>
      <c r="M147" s="161"/>
      <c r="N147" s="161"/>
      <c r="O147" s="161"/>
      <c r="P147" s="161"/>
      <c r="Q147" s="161"/>
      <c r="R147"/>
      <c r="S147"/>
      <c r="T147"/>
      <c r="U147"/>
      <c r="V147"/>
      <c r="W147"/>
      <c r="X147"/>
      <c r="Y147"/>
      <c r="Z147"/>
      <c r="AA147"/>
      <c r="AB147"/>
      <c r="AC147"/>
      <c r="AD147"/>
      <c r="AE147"/>
      <c r="AF147"/>
      <c r="AG147"/>
      <c r="AH147"/>
      <c r="AI147"/>
      <c r="AJ147"/>
      <c r="AK147"/>
      <c r="AL147"/>
    </row>
    <row r="148" spans="1:38" s="3" customFormat="1" ht="42.6" customHeight="1">
      <c r="A148" s="37" t="s">
        <v>786</v>
      </c>
      <c r="B148" s="37" t="s">
        <v>787</v>
      </c>
      <c r="C148" s="111" t="s">
        <v>788</v>
      </c>
      <c r="D148" s="37" t="s">
        <v>789</v>
      </c>
      <c r="E148" s="37" t="s">
        <v>465</v>
      </c>
      <c r="F148" s="9">
        <v>3</v>
      </c>
      <c r="G148" s="9">
        <v>3</v>
      </c>
      <c r="H148" s="9">
        <f>F148*G148</f>
        <v>9</v>
      </c>
      <c r="I148" s="9"/>
      <c r="J148" s="54" t="s">
        <v>790</v>
      </c>
      <c r="K148" s="54" t="s">
        <v>791</v>
      </c>
      <c r="L148" s="55" t="s">
        <v>73</v>
      </c>
      <c r="M148" s="9" t="s">
        <v>60</v>
      </c>
      <c r="N148" s="37" t="s">
        <v>792</v>
      </c>
      <c r="O148" s="4"/>
      <c r="P148" s="4"/>
      <c r="Q148" s="4"/>
      <c r="R148"/>
      <c r="S148"/>
      <c r="T148"/>
      <c r="U148"/>
      <c r="V148"/>
      <c r="W148"/>
      <c r="X148"/>
      <c r="Y148"/>
      <c r="Z148"/>
      <c r="AA148"/>
      <c r="AB148"/>
      <c r="AC148"/>
      <c r="AD148"/>
      <c r="AE148"/>
      <c r="AF148"/>
      <c r="AG148"/>
      <c r="AH148"/>
      <c r="AI148"/>
      <c r="AJ148"/>
      <c r="AK148"/>
      <c r="AL148"/>
    </row>
    <row r="149" spans="1:38" s="6" customFormat="1" ht="28.9">
      <c r="A149" s="37" t="s">
        <v>793</v>
      </c>
      <c r="B149" s="37" t="s">
        <v>794</v>
      </c>
      <c r="C149" s="37" t="s">
        <v>795</v>
      </c>
      <c r="D149" s="37" t="s">
        <v>796</v>
      </c>
      <c r="E149" s="37" t="s">
        <v>465</v>
      </c>
      <c r="F149" s="9">
        <v>4</v>
      </c>
      <c r="G149" s="9">
        <v>2</v>
      </c>
      <c r="H149" s="9">
        <f t="shared" ref="H149:H162" si="8">F149*G149</f>
        <v>8</v>
      </c>
      <c r="I149" s="9"/>
      <c r="J149" s="56" t="s">
        <v>790</v>
      </c>
      <c r="K149" s="56" t="s">
        <v>790</v>
      </c>
      <c r="L149" s="57" t="s">
        <v>73</v>
      </c>
      <c r="M149" s="39" t="s">
        <v>60</v>
      </c>
      <c r="N149" s="37" t="s">
        <v>797</v>
      </c>
      <c r="O149" s="37"/>
      <c r="P149" s="37"/>
      <c r="Q149" s="37"/>
      <c r="R149" s="7"/>
      <c r="S149" s="7"/>
      <c r="T149" s="7"/>
      <c r="U149" s="7"/>
      <c r="V149" s="7"/>
      <c r="W149" s="7"/>
      <c r="X149" s="7"/>
      <c r="Y149" s="7"/>
      <c r="Z149" s="7"/>
      <c r="AA149" s="7"/>
      <c r="AB149" s="7"/>
      <c r="AC149" s="7"/>
      <c r="AD149" s="7"/>
      <c r="AE149" s="7"/>
      <c r="AF149" s="7"/>
      <c r="AG149" s="7"/>
      <c r="AH149" s="7"/>
      <c r="AI149" s="7"/>
      <c r="AJ149" s="7"/>
      <c r="AK149" s="7"/>
      <c r="AL149" s="7"/>
    </row>
    <row r="150" spans="1:38" s="3" customFormat="1" ht="60.6" customHeight="1">
      <c r="A150" s="37" t="s">
        <v>798</v>
      </c>
      <c r="B150" s="4" t="s">
        <v>799</v>
      </c>
      <c r="C150" s="4" t="s">
        <v>800</v>
      </c>
      <c r="D150" s="4" t="s">
        <v>801</v>
      </c>
      <c r="E150" s="37" t="s">
        <v>465</v>
      </c>
      <c r="F150" s="9">
        <v>4</v>
      </c>
      <c r="G150" s="9">
        <v>5</v>
      </c>
      <c r="H150" s="9">
        <f t="shared" si="8"/>
        <v>20</v>
      </c>
      <c r="I150" s="9"/>
      <c r="J150" s="58" t="s">
        <v>790</v>
      </c>
      <c r="K150" s="58" t="s">
        <v>790</v>
      </c>
      <c r="L150" s="55" t="s">
        <v>73</v>
      </c>
      <c r="M150" s="9" t="s">
        <v>25</v>
      </c>
      <c r="N150" s="4" t="s">
        <v>802</v>
      </c>
      <c r="O150" s="4"/>
      <c r="P150" s="4"/>
      <c r="Q150" s="4"/>
      <c r="R150"/>
      <c r="S150"/>
      <c r="T150"/>
      <c r="U150"/>
      <c r="V150"/>
      <c r="W150"/>
      <c r="X150"/>
      <c r="Y150"/>
      <c r="Z150"/>
      <c r="AA150"/>
      <c r="AB150"/>
      <c r="AC150"/>
      <c r="AD150"/>
      <c r="AE150"/>
      <c r="AF150"/>
      <c r="AG150"/>
      <c r="AH150"/>
      <c r="AI150"/>
      <c r="AJ150"/>
      <c r="AK150"/>
      <c r="AL150"/>
    </row>
    <row r="151" spans="1:38" s="3" customFormat="1" ht="28.9">
      <c r="A151" s="37" t="s">
        <v>803</v>
      </c>
      <c r="B151" s="37" t="s">
        <v>804</v>
      </c>
      <c r="C151" s="37" t="s">
        <v>805</v>
      </c>
      <c r="D151" s="37" t="s">
        <v>806</v>
      </c>
      <c r="E151" s="37" t="s">
        <v>335</v>
      </c>
      <c r="F151" s="9">
        <v>4</v>
      </c>
      <c r="G151" s="9">
        <v>2</v>
      </c>
      <c r="H151" s="9">
        <f>F151*G151</f>
        <v>8</v>
      </c>
      <c r="I151" s="9"/>
      <c r="J151" s="56" t="s">
        <v>790</v>
      </c>
      <c r="K151" s="56" t="s">
        <v>790</v>
      </c>
      <c r="L151" s="55" t="s">
        <v>73</v>
      </c>
      <c r="M151" s="9" t="s">
        <v>60</v>
      </c>
      <c r="N151" s="37" t="s">
        <v>807</v>
      </c>
      <c r="O151" s="4"/>
      <c r="P151" s="4"/>
      <c r="Q151" s="4"/>
      <c r="R151"/>
      <c r="S151"/>
      <c r="T151"/>
      <c r="U151"/>
      <c r="V151"/>
      <c r="W151"/>
      <c r="X151"/>
      <c r="Y151"/>
      <c r="Z151"/>
      <c r="AA151"/>
      <c r="AB151"/>
      <c r="AC151"/>
      <c r="AD151"/>
      <c r="AE151"/>
      <c r="AF151"/>
      <c r="AG151"/>
      <c r="AH151"/>
      <c r="AI151"/>
      <c r="AJ151"/>
      <c r="AK151"/>
      <c r="AL151"/>
    </row>
    <row r="152" spans="1:38" s="3" customFormat="1" ht="28.9">
      <c r="A152" s="37" t="s">
        <v>808</v>
      </c>
      <c r="B152" s="37" t="s">
        <v>809</v>
      </c>
      <c r="C152" s="37" t="s">
        <v>810</v>
      </c>
      <c r="D152" s="37" t="s">
        <v>811</v>
      </c>
      <c r="E152" s="37" t="s">
        <v>335</v>
      </c>
      <c r="F152" s="9">
        <v>5</v>
      </c>
      <c r="G152" s="9">
        <v>2</v>
      </c>
      <c r="H152" s="9">
        <f t="shared" si="8"/>
        <v>10</v>
      </c>
      <c r="I152" s="9"/>
      <c r="J152" s="56" t="s">
        <v>790</v>
      </c>
      <c r="K152" s="56" t="s">
        <v>790</v>
      </c>
      <c r="L152" s="55" t="s">
        <v>73</v>
      </c>
      <c r="M152" s="9" t="s">
        <v>60</v>
      </c>
      <c r="N152" s="37" t="s">
        <v>812</v>
      </c>
      <c r="O152" s="4"/>
      <c r="P152" s="4"/>
      <c r="Q152" s="4"/>
      <c r="R152"/>
      <c r="S152"/>
      <c r="T152"/>
      <c r="U152"/>
      <c r="V152"/>
      <c r="W152"/>
      <c r="X152"/>
      <c r="Y152"/>
      <c r="Z152"/>
      <c r="AA152"/>
      <c r="AB152"/>
      <c r="AC152"/>
      <c r="AD152"/>
      <c r="AE152"/>
      <c r="AF152"/>
      <c r="AG152"/>
      <c r="AH152"/>
      <c r="AI152"/>
      <c r="AJ152"/>
      <c r="AK152"/>
      <c r="AL152"/>
    </row>
    <row r="153" spans="1:38" s="3" customFormat="1" ht="28.9">
      <c r="A153" s="37" t="s">
        <v>813</v>
      </c>
      <c r="B153" s="37" t="s">
        <v>814</v>
      </c>
      <c r="C153" s="37" t="s">
        <v>815</v>
      </c>
      <c r="D153" s="37" t="s">
        <v>816</v>
      </c>
      <c r="E153" s="37" t="s">
        <v>335</v>
      </c>
      <c r="F153" s="9">
        <v>3</v>
      </c>
      <c r="G153" s="9">
        <v>2</v>
      </c>
      <c r="H153" s="9">
        <f>F153*G153</f>
        <v>6</v>
      </c>
      <c r="I153" s="9"/>
      <c r="J153" s="56" t="s">
        <v>790</v>
      </c>
      <c r="K153" s="56" t="s">
        <v>790</v>
      </c>
      <c r="L153" s="55" t="s">
        <v>73</v>
      </c>
      <c r="M153" s="9" t="s">
        <v>60</v>
      </c>
      <c r="N153" s="37" t="s">
        <v>817</v>
      </c>
      <c r="O153" s="4"/>
      <c r="P153" s="4"/>
      <c r="Q153" s="4"/>
      <c r="R153"/>
      <c r="S153"/>
      <c r="T153"/>
      <c r="U153"/>
      <c r="V153"/>
      <c r="W153"/>
      <c r="X153"/>
      <c r="Y153"/>
      <c r="Z153"/>
      <c r="AA153"/>
      <c r="AB153"/>
      <c r="AC153"/>
      <c r="AD153"/>
      <c r="AE153"/>
      <c r="AF153"/>
      <c r="AG153"/>
      <c r="AH153"/>
      <c r="AI153"/>
      <c r="AJ153"/>
      <c r="AK153"/>
      <c r="AL153"/>
    </row>
    <row r="154" spans="1:38" s="3" customFormat="1" ht="28.9">
      <c r="A154" s="37" t="s">
        <v>818</v>
      </c>
      <c r="B154" s="37" t="s">
        <v>819</v>
      </c>
      <c r="C154" s="37" t="s">
        <v>820</v>
      </c>
      <c r="D154" s="37" t="s">
        <v>821</v>
      </c>
      <c r="E154" s="59" t="s">
        <v>335</v>
      </c>
      <c r="F154" s="9">
        <v>3</v>
      </c>
      <c r="G154" s="9">
        <v>2</v>
      </c>
      <c r="H154" s="9">
        <f t="shared" si="8"/>
        <v>6</v>
      </c>
      <c r="I154" s="9"/>
      <c r="J154" s="56" t="s">
        <v>790</v>
      </c>
      <c r="K154" s="56" t="s">
        <v>790</v>
      </c>
      <c r="L154" s="55" t="s">
        <v>73</v>
      </c>
      <c r="M154" s="9" t="s">
        <v>60</v>
      </c>
      <c r="N154" s="37" t="s">
        <v>822</v>
      </c>
      <c r="O154" s="4"/>
      <c r="P154" s="4"/>
      <c r="Q154" s="4"/>
      <c r="R154"/>
      <c r="S154"/>
      <c r="T154"/>
      <c r="U154"/>
      <c r="V154"/>
      <c r="W154"/>
      <c r="X154"/>
      <c r="Y154"/>
      <c r="Z154"/>
      <c r="AA154"/>
      <c r="AB154"/>
      <c r="AC154"/>
      <c r="AD154"/>
      <c r="AE154"/>
      <c r="AF154"/>
      <c r="AG154"/>
      <c r="AH154"/>
      <c r="AI154"/>
      <c r="AJ154"/>
      <c r="AK154"/>
      <c r="AL154"/>
    </row>
    <row r="155" spans="1:38" s="3" customFormat="1" ht="28.9">
      <c r="A155" s="37" t="s">
        <v>823</v>
      </c>
      <c r="B155" s="37" t="s">
        <v>824</v>
      </c>
      <c r="C155" s="40" t="s">
        <v>825</v>
      </c>
      <c r="D155" s="37" t="s">
        <v>826</v>
      </c>
      <c r="E155" s="59" t="s">
        <v>200</v>
      </c>
      <c r="F155" s="9">
        <v>4</v>
      </c>
      <c r="G155" s="9">
        <v>4</v>
      </c>
      <c r="H155" s="9">
        <f t="shared" si="8"/>
        <v>16</v>
      </c>
      <c r="I155" s="9"/>
      <c r="J155" s="56" t="s">
        <v>827</v>
      </c>
      <c r="K155" s="56" t="s">
        <v>827</v>
      </c>
      <c r="L155" s="55" t="s">
        <v>73</v>
      </c>
      <c r="M155" s="9" t="s">
        <v>25</v>
      </c>
      <c r="N155" s="37" t="s">
        <v>828</v>
      </c>
      <c r="O155" s="4"/>
      <c r="P155" s="4"/>
      <c r="Q155" s="4"/>
      <c r="R155"/>
      <c r="S155"/>
      <c r="T155"/>
      <c r="U155"/>
      <c r="V155"/>
      <c r="W155"/>
      <c r="X155"/>
      <c r="Y155"/>
      <c r="Z155"/>
      <c r="AA155"/>
      <c r="AB155"/>
      <c r="AC155"/>
      <c r="AD155"/>
      <c r="AE155"/>
      <c r="AF155"/>
      <c r="AG155"/>
      <c r="AH155"/>
      <c r="AI155"/>
      <c r="AJ155"/>
      <c r="AK155"/>
      <c r="AL155"/>
    </row>
    <row r="156" spans="1:38" s="3" customFormat="1" ht="57.6">
      <c r="A156" s="37" t="s">
        <v>829</v>
      </c>
      <c r="B156" s="37" t="s">
        <v>830</v>
      </c>
      <c r="C156" s="37" t="s">
        <v>831</v>
      </c>
      <c r="D156" s="37" t="s">
        <v>832</v>
      </c>
      <c r="E156" s="37" t="s">
        <v>172</v>
      </c>
      <c r="F156" s="9">
        <v>3</v>
      </c>
      <c r="G156" s="9">
        <v>4</v>
      </c>
      <c r="H156" s="9">
        <f t="shared" si="8"/>
        <v>12</v>
      </c>
      <c r="I156" s="9"/>
      <c r="J156" s="37" t="s">
        <v>790</v>
      </c>
      <c r="K156" s="37" t="s">
        <v>790</v>
      </c>
      <c r="L156" s="55" t="s">
        <v>73</v>
      </c>
      <c r="M156" s="9" t="s">
        <v>25</v>
      </c>
      <c r="N156" s="4" t="s">
        <v>833</v>
      </c>
      <c r="O156" s="4"/>
      <c r="P156" s="4"/>
      <c r="Q156" s="4"/>
      <c r="R156"/>
      <c r="S156"/>
      <c r="T156"/>
      <c r="U156"/>
      <c r="V156"/>
      <c r="W156"/>
      <c r="X156"/>
      <c r="Y156"/>
      <c r="Z156"/>
      <c r="AA156"/>
      <c r="AB156"/>
      <c r="AC156"/>
      <c r="AD156"/>
      <c r="AE156"/>
      <c r="AF156"/>
      <c r="AG156"/>
      <c r="AH156"/>
      <c r="AI156"/>
      <c r="AJ156"/>
      <c r="AK156"/>
      <c r="AL156"/>
    </row>
    <row r="157" spans="1:38" s="3" customFormat="1" ht="46.35" customHeight="1">
      <c r="A157" s="37" t="s">
        <v>834</v>
      </c>
      <c r="B157" s="4" t="s">
        <v>835</v>
      </c>
      <c r="C157" s="4" t="s">
        <v>836</v>
      </c>
      <c r="D157" s="4" t="s">
        <v>837</v>
      </c>
      <c r="E157" s="37" t="s">
        <v>240</v>
      </c>
      <c r="F157" s="9">
        <v>3</v>
      </c>
      <c r="G157" s="9">
        <v>2</v>
      </c>
      <c r="H157" s="9">
        <f t="shared" si="8"/>
        <v>6</v>
      </c>
      <c r="I157" s="9"/>
      <c r="J157" s="58" t="s">
        <v>827</v>
      </c>
      <c r="K157" s="58" t="s">
        <v>827</v>
      </c>
      <c r="L157" s="55" t="s">
        <v>73</v>
      </c>
      <c r="M157" s="9" t="s">
        <v>25</v>
      </c>
      <c r="N157" s="4" t="s">
        <v>838</v>
      </c>
      <c r="O157" s="4"/>
      <c r="P157" s="4"/>
      <c r="Q157" s="4"/>
      <c r="R157"/>
      <c r="S157"/>
      <c r="T157"/>
      <c r="U157"/>
      <c r="V157"/>
      <c r="W157"/>
      <c r="X157"/>
      <c r="Y157"/>
      <c r="Z157"/>
      <c r="AA157"/>
      <c r="AB157"/>
      <c r="AC157"/>
      <c r="AD157"/>
      <c r="AE157"/>
      <c r="AF157"/>
      <c r="AG157"/>
      <c r="AH157"/>
      <c r="AI157"/>
      <c r="AJ157"/>
      <c r="AK157"/>
      <c r="AL157"/>
    </row>
    <row r="158" spans="1:38" s="3" customFormat="1" ht="30.75" customHeight="1">
      <c r="A158" s="37" t="s">
        <v>839</v>
      </c>
      <c r="B158" s="60" t="s">
        <v>840</v>
      </c>
      <c r="C158" s="4" t="s">
        <v>841</v>
      </c>
      <c r="D158" s="4" t="s">
        <v>842</v>
      </c>
      <c r="E158" s="37"/>
      <c r="F158" s="9"/>
      <c r="G158" s="9"/>
      <c r="H158" s="9">
        <f t="shared" si="8"/>
        <v>0</v>
      </c>
      <c r="I158" s="9"/>
      <c r="J158" s="58"/>
      <c r="K158" s="58"/>
      <c r="L158" s="8"/>
      <c r="M158" s="9" t="s">
        <v>25</v>
      </c>
      <c r="N158" s="4" t="s">
        <v>843</v>
      </c>
      <c r="O158" s="4"/>
      <c r="P158" s="4"/>
      <c r="Q158" s="4"/>
      <c r="R158"/>
      <c r="S158"/>
      <c r="T158"/>
      <c r="U158"/>
      <c r="V158"/>
      <c r="W158"/>
      <c r="X158"/>
      <c r="Y158"/>
      <c r="Z158"/>
      <c r="AA158"/>
      <c r="AB158"/>
      <c r="AC158"/>
      <c r="AD158"/>
      <c r="AE158"/>
      <c r="AF158"/>
      <c r="AG158"/>
      <c r="AH158"/>
      <c r="AI158"/>
      <c r="AJ158"/>
      <c r="AK158"/>
      <c r="AL158"/>
    </row>
    <row r="159" spans="1:38" s="3" customFormat="1" ht="30.75" customHeight="1">
      <c r="A159" s="37" t="s">
        <v>844</v>
      </c>
      <c r="B159" s="60" t="s">
        <v>845</v>
      </c>
      <c r="C159" s="4" t="s">
        <v>846</v>
      </c>
      <c r="D159" s="4" t="s">
        <v>847</v>
      </c>
      <c r="E159" s="37"/>
      <c r="F159" s="9"/>
      <c r="G159" s="9"/>
      <c r="H159" s="9">
        <f t="shared" si="8"/>
        <v>0</v>
      </c>
      <c r="I159" s="9"/>
      <c r="J159" s="58"/>
      <c r="K159" s="58"/>
      <c r="L159" s="8"/>
      <c r="M159" s="9" t="s">
        <v>25</v>
      </c>
      <c r="N159" s="4" t="s">
        <v>848</v>
      </c>
      <c r="O159" s="4"/>
      <c r="P159" s="4"/>
      <c r="Q159" s="4"/>
      <c r="R159"/>
      <c r="S159"/>
      <c r="T159"/>
      <c r="U159"/>
      <c r="V159"/>
      <c r="W159"/>
      <c r="X159"/>
      <c r="Y159"/>
      <c r="Z159"/>
      <c r="AA159"/>
      <c r="AB159"/>
      <c r="AC159"/>
      <c r="AD159"/>
      <c r="AE159"/>
      <c r="AF159"/>
      <c r="AG159"/>
      <c r="AH159"/>
      <c r="AI159"/>
      <c r="AJ159"/>
      <c r="AK159"/>
      <c r="AL159"/>
    </row>
    <row r="160" spans="1:38" s="3" customFormat="1" ht="30.75" customHeight="1">
      <c r="A160" s="4" t="s">
        <v>849</v>
      </c>
      <c r="B160" s="4" t="s">
        <v>705</v>
      </c>
      <c r="C160" s="4" t="s">
        <v>850</v>
      </c>
      <c r="D160" s="4" t="s">
        <v>851</v>
      </c>
      <c r="E160" s="52" t="s">
        <v>309</v>
      </c>
      <c r="F160" s="9">
        <v>3</v>
      </c>
      <c r="G160" s="9">
        <v>1</v>
      </c>
      <c r="H160" s="9">
        <f>F160*G160</f>
        <v>3</v>
      </c>
      <c r="I160" s="9" t="s">
        <v>72</v>
      </c>
      <c r="J160" s="58" t="s">
        <v>852</v>
      </c>
      <c r="K160" s="58" t="s">
        <v>853</v>
      </c>
      <c r="L160" s="8" t="s">
        <v>86</v>
      </c>
      <c r="M160" s="9" t="s">
        <v>60</v>
      </c>
      <c r="N160" s="4" t="s">
        <v>854</v>
      </c>
      <c r="O160" s="4"/>
      <c r="P160" s="4"/>
      <c r="Q160" s="4"/>
      <c r="R160"/>
      <c r="S160"/>
      <c r="T160"/>
      <c r="U160"/>
      <c r="V160"/>
      <c r="W160"/>
      <c r="X160"/>
      <c r="Y160"/>
      <c r="Z160"/>
      <c r="AA160"/>
      <c r="AB160"/>
      <c r="AC160"/>
      <c r="AD160"/>
      <c r="AE160"/>
      <c r="AF160"/>
      <c r="AG160"/>
      <c r="AH160"/>
      <c r="AI160"/>
      <c r="AJ160"/>
      <c r="AK160"/>
      <c r="AL160"/>
    </row>
    <row r="161" spans="1:38" s="3" customFormat="1" ht="30.75" customHeight="1">
      <c r="A161" s="37"/>
      <c r="B161" s="61" t="s">
        <v>855</v>
      </c>
      <c r="C161" s="4"/>
      <c r="D161" s="4"/>
      <c r="E161" s="37"/>
      <c r="F161" s="9"/>
      <c r="G161" s="9"/>
      <c r="H161" s="9">
        <f t="shared" si="8"/>
        <v>0</v>
      </c>
      <c r="I161" s="9"/>
      <c r="J161" s="58"/>
      <c r="K161" s="58"/>
      <c r="L161" s="8"/>
      <c r="M161" s="4"/>
      <c r="N161" s="4"/>
      <c r="O161" s="4"/>
      <c r="P161" s="4"/>
      <c r="Q161" s="4"/>
      <c r="R161"/>
      <c r="S161"/>
      <c r="T161"/>
      <c r="U161"/>
      <c r="V161"/>
      <c r="W161"/>
      <c r="X161"/>
      <c r="Y161"/>
      <c r="Z161"/>
      <c r="AA161"/>
      <c r="AB161"/>
      <c r="AC161"/>
      <c r="AD161"/>
      <c r="AE161"/>
      <c r="AF161"/>
      <c r="AG161"/>
      <c r="AH161"/>
      <c r="AI161"/>
      <c r="AJ161"/>
      <c r="AK161"/>
      <c r="AL161"/>
    </row>
    <row r="162" spans="1:38" s="3" customFormat="1" ht="30.75" customHeight="1">
      <c r="A162" s="37"/>
      <c r="B162" s="61" t="s">
        <v>855</v>
      </c>
      <c r="C162" s="4"/>
      <c r="D162" s="4"/>
      <c r="E162" s="37"/>
      <c r="F162" s="9"/>
      <c r="G162" s="9"/>
      <c r="H162" s="9">
        <f t="shared" si="8"/>
        <v>0</v>
      </c>
      <c r="I162" s="9"/>
      <c r="J162" s="58"/>
      <c r="K162" s="58"/>
      <c r="L162" s="8"/>
      <c r="M162" s="4"/>
      <c r="N162" s="4"/>
      <c r="O162" s="4"/>
      <c r="P162" s="4"/>
      <c r="Q162" s="4"/>
      <c r="R162"/>
      <c r="S162"/>
      <c r="T162"/>
      <c r="U162"/>
      <c r="V162"/>
      <c r="W162"/>
      <c r="X162"/>
      <c r="Y162"/>
      <c r="Z162"/>
      <c r="AA162"/>
      <c r="AB162"/>
      <c r="AC162"/>
      <c r="AD162"/>
      <c r="AE162"/>
      <c r="AF162"/>
      <c r="AG162"/>
      <c r="AH162"/>
      <c r="AI162"/>
      <c r="AJ162"/>
      <c r="AK162"/>
      <c r="AL162"/>
    </row>
    <row r="163" spans="1:38" s="5" customFormat="1" ht="15.6">
      <c r="A163" s="161" t="s">
        <v>856</v>
      </c>
      <c r="B163" s="161"/>
      <c r="C163" s="161"/>
      <c r="D163" s="161"/>
      <c r="E163" s="161"/>
      <c r="F163" s="161"/>
      <c r="G163" s="161"/>
      <c r="H163" s="161"/>
      <c r="I163" s="161"/>
      <c r="J163" s="161"/>
      <c r="K163" s="161"/>
      <c r="L163" s="161"/>
      <c r="M163" s="161"/>
      <c r="N163" s="161"/>
      <c r="O163" s="161"/>
      <c r="P163" s="161"/>
      <c r="Q163" s="161"/>
      <c r="R163"/>
      <c r="S163"/>
      <c r="T163"/>
      <c r="U163"/>
      <c r="V163"/>
      <c r="W163"/>
      <c r="X163"/>
      <c r="Y163"/>
      <c r="Z163"/>
      <c r="AA163"/>
      <c r="AB163"/>
      <c r="AC163"/>
      <c r="AD163"/>
      <c r="AE163"/>
      <c r="AF163"/>
      <c r="AG163"/>
      <c r="AH163"/>
      <c r="AI163"/>
      <c r="AJ163"/>
      <c r="AK163"/>
      <c r="AL163"/>
    </row>
    <row r="164" spans="1:38" s="3" customFormat="1" ht="29.25" customHeight="1">
      <c r="A164" s="4" t="s">
        <v>857</v>
      </c>
      <c r="B164" s="62" t="s">
        <v>858</v>
      </c>
      <c r="C164" s="63" t="s">
        <v>859</v>
      </c>
      <c r="D164" s="4" t="s">
        <v>860</v>
      </c>
      <c r="E164" s="4" t="s">
        <v>861</v>
      </c>
      <c r="F164" s="9">
        <v>3</v>
      </c>
      <c r="G164" s="9">
        <v>1</v>
      </c>
      <c r="H164" s="9">
        <f>F164*G164</f>
        <v>3</v>
      </c>
      <c r="I164" s="9" t="s">
        <v>72</v>
      </c>
      <c r="J164" s="4" t="s">
        <v>827</v>
      </c>
      <c r="K164" s="4" t="s">
        <v>827</v>
      </c>
      <c r="L164" s="8" t="s">
        <v>86</v>
      </c>
      <c r="M164" s="9" t="s">
        <v>60</v>
      </c>
      <c r="N164" s="4" t="s">
        <v>862</v>
      </c>
      <c r="O164" s="4"/>
      <c r="P164" s="4"/>
      <c r="Q164" s="4"/>
      <c r="R164" s="22"/>
      <c r="S164"/>
      <c r="T164"/>
      <c r="U164"/>
      <c r="V164"/>
      <c r="W164"/>
      <c r="X164"/>
      <c r="Y164"/>
      <c r="Z164"/>
      <c r="AA164"/>
      <c r="AB164"/>
      <c r="AC164"/>
      <c r="AD164"/>
      <c r="AE164"/>
      <c r="AF164"/>
      <c r="AG164"/>
      <c r="AH164"/>
      <c r="AI164"/>
      <c r="AJ164"/>
      <c r="AK164"/>
      <c r="AL164"/>
    </row>
    <row r="165" spans="1:38" s="3" customFormat="1" ht="28.9">
      <c r="A165" s="4" t="s">
        <v>863</v>
      </c>
      <c r="B165" s="62" t="s">
        <v>864</v>
      </c>
      <c r="C165" s="63" t="s">
        <v>865</v>
      </c>
      <c r="D165" s="4" t="s">
        <v>860</v>
      </c>
      <c r="E165" s="4" t="s">
        <v>387</v>
      </c>
      <c r="F165" s="9">
        <v>3</v>
      </c>
      <c r="G165" s="9">
        <v>1</v>
      </c>
      <c r="H165" s="9">
        <f t="shared" ref="H165:H177" si="9">F165*G165</f>
        <v>3</v>
      </c>
      <c r="I165" s="9" t="s">
        <v>72</v>
      </c>
      <c r="J165" s="4" t="s">
        <v>827</v>
      </c>
      <c r="K165" s="4" t="s">
        <v>827</v>
      </c>
      <c r="L165" s="55" t="s">
        <v>73</v>
      </c>
      <c r="M165" s="9" t="s">
        <v>60</v>
      </c>
      <c r="N165" s="4" t="s">
        <v>866</v>
      </c>
      <c r="O165" s="4"/>
      <c r="P165" s="4"/>
      <c r="Q165" s="4"/>
      <c r="R165" s="22"/>
      <c r="S165"/>
      <c r="T165"/>
      <c r="U165"/>
      <c r="V165"/>
      <c r="W165"/>
      <c r="X165"/>
      <c r="Y165"/>
      <c r="Z165"/>
      <c r="AA165"/>
      <c r="AB165"/>
      <c r="AC165"/>
      <c r="AD165"/>
      <c r="AE165"/>
      <c r="AF165"/>
      <c r="AG165"/>
      <c r="AH165"/>
      <c r="AI165"/>
      <c r="AJ165"/>
      <c r="AK165"/>
      <c r="AL165"/>
    </row>
    <row r="166" spans="1:38" s="3" customFormat="1" ht="28.9">
      <c r="A166" s="4" t="s">
        <v>867</v>
      </c>
      <c r="B166" s="62" t="s">
        <v>868</v>
      </c>
      <c r="C166" s="63" t="s">
        <v>869</v>
      </c>
      <c r="D166" s="4" t="s">
        <v>870</v>
      </c>
      <c r="E166" s="4" t="s">
        <v>871</v>
      </c>
      <c r="F166" s="9">
        <v>3</v>
      </c>
      <c r="G166" s="9">
        <v>3</v>
      </c>
      <c r="H166" s="9">
        <f t="shared" si="9"/>
        <v>9</v>
      </c>
      <c r="I166" s="9" t="s">
        <v>72</v>
      </c>
      <c r="J166" s="139">
        <v>0.3</v>
      </c>
      <c r="K166" s="139">
        <v>0.5</v>
      </c>
      <c r="L166" s="55" t="s">
        <v>73</v>
      </c>
      <c r="M166" s="9" t="s">
        <v>87</v>
      </c>
      <c r="N166" s="4" t="s">
        <v>872</v>
      </c>
      <c r="O166" s="4"/>
      <c r="P166" s="4"/>
      <c r="Q166" s="4"/>
      <c r="R166" s="22"/>
      <c r="S166"/>
      <c r="T166"/>
      <c r="U166"/>
      <c r="V166"/>
      <c r="W166"/>
      <c r="X166"/>
      <c r="Y166"/>
      <c r="Z166"/>
      <c r="AA166"/>
      <c r="AB166"/>
      <c r="AC166"/>
      <c r="AD166"/>
      <c r="AE166"/>
      <c r="AF166"/>
      <c r="AG166"/>
      <c r="AH166"/>
      <c r="AI166"/>
      <c r="AJ166"/>
      <c r="AK166"/>
      <c r="AL166"/>
    </row>
    <row r="167" spans="1:38" s="3" customFormat="1" ht="75.599999999999994" customHeight="1">
      <c r="A167" s="4" t="s">
        <v>873</v>
      </c>
      <c r="B167" s="63" t="s">
        <v>874</v>
      </c>
      <c r="C167" s="63" t="s">
        <v>875</v>
      </c>
      <c r="D167" s="63" t="s">
        <v>876</v>
      </c>
      <c r="E167" s="4" t="s">
        <v>166</v>
      </c>
      <c r="F167" s="9">
        <v>4</v>
      </c>
      <c r="G167" s="9">
        <v>2</v>
      </c>
      <c r="H167" s="9">
        <f t="shared" si="9"/>
        <v>8</v>
      </c>
      <c r="I167" s="9" t="s">
        <v>72</v>
      </c>
      <c r="J167" s="4" t="s">
        <v>827</v>
      </c>
      <c r="K167" s="4" t="s">
        <v>827</v>
      </c>
      <c r="L167" s="55" t="s">
        <v>73</v>
      </c>
      <c r="M167" s="9" t="s">
        <v>238</v>
      </c>
      <c r="N167" s="4" t="s">
        <v>877</v>
      </c>
      <c r="O167" s="4"/>
      <c r="P167" s="4"/>
      <c r="Q167" s="4"/>
      <c r="R167" s="22"/>
      <c r="S167"/>
      <c r="T167"/>
      <c r="U167"/>
      <c r="V167"/>
      <c r="W167"/>
      <c r="X167"/>
      <c r="Y167"/>
      <c r="Z167"/>
      <c r="AA167"/>
      <c r="AB167"/>
      <c r="AC167"/>
      <c r="AD167"/>
      <c r="AE167"/>
      <c r="AF167"/>
      <c r="AG167"/>
      <c r="AH167"/>
      <c r="AI167"/>
      <c r="AJ167"/>
      <c r="AK167"/>
      <c r="AL167"/>
    </row>
    <row r="168" spans="1:38" s="3" customFormat="1" ht="73.349999999999994" customHeight="1">
      <c r="A168" s="4" t="s">
        <v>878</v>
      </c>
      <c r="B168" s="63" t="s">
        <v>879</v>
      </c>
      <c r="C168" s="63" t="s">
        <v>880</v>
      </c>
      <c r="D168" s="63" t="s">
        <v>881</v>
      </c>
      <c r="E168" s="64" t="s">
        <v>166</v>
      </c>
      <c r="F168" s="9">
        <v>3</v>
      </c>
      <c r="G168" s="9">
        <v>2</v>
      </c>
      <c r="H168" s="9">
        <f t="shared" si="9"/>
        <v>6</v>
      </c>
      <c r="I168" s="9" t="s">
        <v>72</v>
      </c>
      <c r="J168" s="4" t="s">
        <v>827</v>
      </c>
      <c r="K168" s="4" t="s">
        <v>827</v>
      </c>
      <c r="L168" s="55" t="s">
        <v>73</v>
      </c>
      <c r="M168" s="9" t="s">
        <v>238</v>
      </c>
      <c r="N168" s="4" t="s">
        <v>882</v>
      </c>
      <c r="O168" s="4"/>
      <c r="P168" s="4"/>
      <c r="Q168" s="4"/>
      <c r="R168" s="22"/>
      <c r="S168"/>
      <c r="T168"/>
      <c r="U168"/>
      <c r="V168"/>
      <c r="W168"/>
      <c r="X168"/>
      <c r="Y168"/>
      <c r="Z168"/>
      <c r="AA168"/>
      <c r="AB168"/>
      <c r="AC168"/>
      <c r="AD168"/>
      <c r="AE168"/>
      <c r="AF168"/>
      <c r="AG168"/>
      <c r="AH168"/>
      <c r="AI168"/>
      <c r="AJ168"/>
      <c r="AK168"/>
      <c r="AL168"/>
    </row>
    <row r="169" spans="1:38" s="3" customFormat="1" ht="72" customHeight="1">
      <c r="A169" s="4" t="s">
        <v>883</v>
      </c>
      <c r="B169" s="63" t="s">
        <v>884</v>
      </c>
      <c r="C169" s="63" t="s">
        <v>885</v>
      </c>
      <c r="D169" s="63" t="s">
        <v>886</v>
      </c>
      <c r="E169" s="64" t="s">
        <v>166</v>
      </c>
      <c r="F169" s="9">
        <v>3</v>
      </c>
      <c r="G169" s="9">
        <v>2</v>
      </c>
      <c r="H169" s="9">
        <f t="shared" si="9"/>
        <v>6</v>
      </c>
      <c r="I169" s="9" t="s">
        <v>72</v>
      </c>
      <c r="J169" s="4" t="s">
        <v>827</v>
      </c>
      <c r="K169" s="4" t="s">
        <v>827</v>
      </c>
      <c r="L169" s="55" t="s">
        <v>73</v>
      </c>
      <c r="M169" s="9" t="s">
        <v>238</v>
      </c>
      <c r="N169" s="4" t="s">
        <v>887</v>
      </c>
      <c r="O169" s="4"/>
      <c r="P169" s="4"/>
      <c r="Q169" s="4"/>
      <c r="R169" s="22"/>
      <c r="S169"/>
      <c r="T169"/>
      <c r="U169"/>
      <c r="V169"/>
      <c r="W169"/>
      <c r="X169"/>
      <c r="Y169"/>
      <c r="Z169"/>
      <c r="AA169"/>
      <c r="AB169"/>
      <c r="AC169"/>
      <c r="AD169"/>
      <c r="AE169"/>
      <c r="AF169"/>
      <c r="AG169"/>
      <c r="AH169"/>
      <c r="AI169"/>
      <c r="AJ169"/>
      <c r="AK169"/>
      <c r="AL169"/>
    </row>
    <row r="170" spans="1:38" s="3" customFormat="1" ht="43.15">
      <c r="A170" s="4" t="s">
        <v>888</v>
      </c>
      <c r="B170" s="62" t="s">
        <v>889</v>
      </c>
      <c r="C170" s="62" t="s">
        <v>890</v>
      </c>
      <c r="D170" s="4" t="s">
        <v>891</v>
      </c>
      <c r="E170" s="4" t="s">
        <v>892</v>
      </c>
      <c r="F170" s="9">
        <v>5</v>
      </c>
      <c r="G170" s="9">
        <v>2</v>
      </c>
      <c r="H170" s="9">
        <f t="shared" si="9"/>
        <v>10</v>
      </c>
      <c r="I170" s="9" t="s">
        <v>72</v>
      </c>
      <c r="J170" s="4" t="s">
        <v>827</v>
      </c>
      <c r="K170" s="4" t="s">
        <v>827</v>
      </c>
      <c r="L170" s="55" t="s">
        <v>73</v>
      </c>
      <c r="M170" s="9" t="s">
        <v>238</v>
      </c>
      <c r="N170" s="4" t="s">
        <v>893</v>
      </c>
      <c r="O170" s="4"/>
      <c r="P170" s="4"/>
      <c r="Q170" s="4"/>
      <c r="R170" s="22"/>
      <c r="S170"/>
      <c r="T170"/>
      <c r="U170"/>
      <c r="V170"/>
      <c r="W170"/>
      <c r="X170"/>
      <c r="Y170"/>
      <c r="Z170"/>
      <c r="AA170"/>
      <c r="AB170"/>
      <c r="AC170"/>
      <c r="AD170"/>
      <c r="AE170"/>
      <c r="AF170"/>
      <c r="AG170"/>
      <c r="AH170"/>
      <c r="AI170"/>
      <c r="AJ170"/>
      <c r="AK170"/>
      <c r="AL170"/>
    </row>
    <row r="171" spans="1:38" s="3" customFormat="1" ht="28.9">
      <c r="A171" s="4" t="s">
        <v>894</v>
      </c>
      <c r="B171" s="62" t="s">
        <v>895</v>
      </c>
      <c r="C171" s="62" t="s">
        <v>896</v>
      </c>
      <c r="D171" s="4" t="s">
        <v>897</v>
      </c>
      <c r="E171" s="4" t="s">
        <v>892</v>
      </c>
      <c r="F171" s="9">
        <v>4</v>
      </c>
      <c r="G171" s="9">
        <v>2</v>
      </c>
      <c r="H171" s="9">
        <f t="shared" si="9"/>
        <v>8</v>
      </c>
      <c r="I171" s="9" t="s">
        <v>58</v>
      </c>
      <c r="J171" s="4" t="s">
        <v>827</v>
      </c>
      <c r="K171" s="4" t="s">
        <v>827</v>
      </c>
      <c r="L171" s="8" t="s">
        <v>86</v>
      </c>
      <c r="M171" s="9" t="s">
        <v>50</v>
      </c>
      <c r="N171" s="4" t="s">
        <v>898</v>
      </c>
      <c r="O171" s="4"/>
      <c r="P171" s="4"/>
      <c r="Q171" s="4"/>
      <c r="R171" s="22"/>
      <c r="S171"/>
      <c r="T171"/>
      <c r="U171"/>
      <c r="V171"/>
      <c r="W171"/>
      <c r="X171"/>
      <c r="Y171"/>
      <c r="Z171"/>
      <c r="AA171"/>
      <c r="AB171"/>
      <c r="AC171"/>
      <c r="AD171"/>
      <c r="AE171"/>
      <c r="AF171"/>
      <c r="AG171"/>
      <c r="AH171"/>
      <c r="AI171"/>
      <c r="AJ171"/>
      <c r="AK171"/>
      <c r="AL171"/>
    </row>
    <row r="172" spans="1:38" s="3" customFormat="1" ht="69.599999999999994" customHeight="1">
      <c r="A172" s="4" t="s">
        <v>899</v>
      </c>
      <c r="B172" s="62" t="s">
        <v>900</v>
      </c>
      <c r="C172" s="62" t="s">
        <v>901</v>
      </c>
      <c r="D172" s="4" t="s">
        <v>902</v>
      </c>
      <c r="E172" s="4" t="s">
        <v>903</v>
      </c>
      <c r="F172" s="9">
        <v>4</v>
      </c>
      <c r="G172" s="9">
        <v>3</v>
      </c>
      <c r="H172" s="9">
        <f t="shared" si="9"/>
        <v>12</v>
      </c>
      <c r="I172" s="9" t="s">
        <v>58</v>
      </c>
      <c r="J172" s="4" t="s">
        <v>827</v>
      </c>
      <c r="K172" s="4" t="s">
        <v>827</v>
      </c>
      <c r="L172" s="55" t="s">
        <v>73</v>
      </c>
      <c r="M172" s="9" t="s">
        <v>60</v>
      </c>
      <c r="N172" s="4" t="s">
        <v>904</v>
      </c>
      <c r="O172" s="4"/>
      <c r="P172" s="4"/>
      <c r="Q172" s="4"/>
      <c r="R172" s="22"/>
      <c r="S172"/>
      <c r="T172"/>
      <c r="U172"/>
      <c r="V172"/>
      <c r="W172"/>
      <c r="X172"/>
      <c r="Y172"/>
      <c r="Z172"/>
      <c r="AA172"/>
      <c r="AB172"/>
      <c r="AC172"/>
      <c r="AD172"/>
      <c r="AE172"/>
      <c r="AF172"/>
      <c r="AG172"/>
      <c r="AH172"/>
      <c r="AI172"/>
      <c r="AJ172"/>
      <c r="AK172"/>
      <c r="AL172"/>
    </row>
    <row r="173" spans="1:38" s="3" customFormat="1" ht="28.9">
      <c r="A173" s="4" t="s">
        <v>905</v>
      </c>
      <c r="B173" s="62" t="s">
        <v>906</v>
      </c>
      <c r="C173" s="4" t="s">
        <v>907</v>
      </c>
      <c r="D173" s="4" t="s">
        <v>908</v>
      </c>
      <c r="E173" s="4" t="s">
        <v>185</v>
      </c>
      <c r="F173" s="9">
        <v>1</v>
      </c>
      <c r="G173" s="9">
        <v>3</v>
      </c>
      <c r="H173" s="9">
        <f t="shared" si="9"/>
        <v>3</v>
      </c>
      <c r="I173" s="9" t="s">
        <v>596</v>
      </c>
      <c r="J173" s="4" t="s">
        <v>827</v>
      </c>
      <c r="K173" s="4" t="s">
        <v>827</v>
      </c>
      <c r="L173" s="8" t="s">
        <v>24</v>
      </c>
      <c r="M173" s="9" t="s">
        <v>60</v>
      </c>
      <c r="N173" s="4" t="s">
        <v>909</v>
      </c>
      <c r="O173" s="4"/>
      <c r="P173" s="4"/>
      <c r="Q173" s="4"/>
      <c r="R173" s="22"/>
      <c r="S173"/>
      <c r="T173"/>
      <c r="U173"/>
      <c r="V173"/>
      <c r="W173"/>
      <c r="X173"/>
      <c r="Y173"/>
      <c r="Z173"/>
      <c r="AA173"/>
      <c r="AB173"/>
      <c r="AC173"/>
      <c r="AD173"/>
      <c r="AE173"/>
      <c r="AF173"/>
      <c r="AG173"/>
      <c r="AH173"/>
      <c r="AI173"/>
      <c r="AJ173"/>
      <c r="AK173"/>
      <c r="AL173"/>
    </row>
    <row r="174" spans="1:38" s="3" customFormat="1" ht="78" customHeight="1">
      <c r="A174" s="4" t="s">
        <v>910</v>
      </c>
      <c r="B174" s="62" t="s">
        <v>911</v>
      </c>
      <c r="C174" s="62" t="s">
        <v>912</v>
      </c>
      <c r="D174" s="4" t="s">
        <v>913</v>
      </c>
      <c r="E174" s="4" t="s">
        <v>914</v>
      </c>
      <c r="F174" s="9">
        <v>5</v>
      </c>
      <c r="G174" s="9">
        <v>3</v>
      </c>
      <c r="H174" s="9">
        <f t="shared" si="9"/>
        <v>15</v>
      </c>
      <c r="I174" s="9" t="s">
        <v>72</v>
      </c>
      <c r="J174" s="4" t="s">
        <v>827</v>
      </c>
      <c r="K174" s="4" t="s">
        <v>827</v>
      </c>
      <c r="L174" s="8" t="s">
        <v>24</v>
      </c>
      <c r="M174" s="9" t="s">
        <v>60</v>
      </c>
      <c r="N174" s="63" t="s">
        <v>915</v>
      </c>
      <c r="O174" s="4"/>
      <c r="P174" s="4"/>
      <c r="Q174" s="4"/>
      <c r="R174" s="22"/>
      <c r="S174"/>
      <c r="T174"/>
      <c r="U174"/>
      <c r="V174"/>
      <c r="W174"/>
      <c r="X174"/>
      <c r="Y174"/>
      <c r="Z174"/>
      <c r="AA174"/>
      <c r="AB174"/>
      <c r="AC174"/>
      <c r="AD174"/>
      <c r="AE174"/>
      <c r="AF174"/>
      <c r="AG174"/>
      <c r="AH174"/>
      <c r="AI174"/>
      <c r="AJ174"/>
      <c r="AK174"/>
      <c r="AL174"/>
    </row>
    <row r="175" spans="1:38" s="3" customFormat="1" ht="28.9">
      <c r="A175" s="4" t="s">
        <v>916</v>
      </c>
      <c r="B175" s="62" t="s">
        <v>917</v>
      </c>
      <c r="C175" s="62" t="s">
        <v>918</v>
      </c>
      <c r="D175" s="4" t="s">
        <v>919</v>
      </c>
      <c r="E175" s="4" t="s">
        <v>387</v>
      </c>
      <c r="F175" s="9">
        <v>2</v>
      </c>
      <c r="G175" s="9">
        <v>1</v>
      </c>
      <c r="H175" s="9">
        <f t="shared" si="9"/>
        <v>2</v>
      </c>
      <c r="I175" s="9" t="s">
        <v>58</v>
      </c>
      <c r="J175" s="4" t="s">
        <v>827</v>
      </c>
      <c r="K175" s="4" t="s">
        <v>827</v>
      </c>
      <c r="L175" s="8" t="s">
        <v>24</v>
      </c>
      <c r="M175" s="9" t="s">
        <v>920</v>
      </c>
      <c r="N175" s="4" t="s">
        <v>921</v>
      </c>
      <c r="O175" s="4"/>
      <c r="P175" s="4"/>
      <c r="Q175" s="4"/>
      <c r="R175" s="22"/>
      <c r="S175"/>
      <c r="T175"/>
      <c r="U175"/>
      <c r="V175"/>
      <c r="W175"/>
      <c r="X175"/>
      <c r="Y175"/>
      <c r="Z175"/>
      <c r="AA175"/>
      <c r="AB175"/>
      <c r="AC175"/>
      <c r="AD175"/>
      <c r="AE175"/>
      <c r="AF175"/>
      <c r="AG175"/>
      <c r="AH175"/>
      <c r="AI175"/>
      <c r="AJ175"/>
      <c r="AK175"/>
      <c r="AL175"/>
    </row>
    <row r="176" spans="1:38" s="3" customFormat="1" ht="28.9">
      <c r="A176" s="4" t="s">
        <v>922</v>
      </c>
      <c r="B176" s="62" t="s">
        <v>923</v>
      </c>
      <c r="C176" s="62" t="s">
        <v>924</v>
      </c>
      <c r="D176" s="4" t="s">
        <v>925</v>
      </c>
      <c r="E176" s="4" t="s">
        <v>387</v>
      </c>
      <c r="F176" s="9">
        <v>2</v>
      </c>
      <c r="G176" s="9">
        <v>1</v>
      </c>
      <c r="H176" s="9">
        <f t="shared" si="9"/>
        <v>2</v>
      </c>
      <c r="I176" s="9" t="s">
        <v>58</v>
      </c>
      <c r="J176" s="4" t="s">
        <v>827</v>
      </c>
      <c r="K176" s="4" t="s">
        <v>827</v>
      </c>
      <c r="L176" s="8" t="s">
        <v>24</v>
      </c>
      <c r="M176" s="9" t="s">
        <v>920</v>
      </c>
      <c r="N176" s="4" t="s">
        <v>926</v>
      </c>
      <c r="O176" s="4"/>
      <c r="P176" s="4"/>
      <c r="Q176" s="4"/>
      <c r="R176" s="22"/>
      <c r="S176"/>
      <c r="T176"/>
      <c r="U176"/>
      <c r="V176"/>
      <c r="W176"/>
      <c r="X176"/>
      <c r="Y176"/>
      <c r="Z176"/>
      <c r="AA176"/>
      <c r="AB176"/>
      <c r="AC176"/>
      <c r="AD176"/>
      <c r="AE176"/>
      <c r="AF176"/>
      <c r="AG176"/>
      <c r="AH176"/>
      <c r="AI176"/>
      <c r="AJ176"/>
      <c r="AK176"/>
      <c r="AL176"/>
    </row>
    <row r="177" spans="1:38" s="3" customFormat="1" ht="28.9">
      <c r="A177" s="4" t="s">
        <v>927</v>
      </c>
      <c r="B177" s="62" t="s">
        <v>928</v>
      </c>
      <c r="C177" s="62" t="s">
        <v>929</v>
      </c>
      <c r="D177" s="4" t="s">
        <v>930</v>
      </c>
      <c r="E177" s="4" t="s">
        <v>387</v>
      </c>
      <c r="F177" s="9">
        <v>2</v>
      </c>
      <c r="G177" s="9">
        <v>1</v>
      </c>
      <c r="H177" s="9">
        <f t="shared" si="9"/>
        <v>2</v>
      </c>
      <c r="I177" s="9" t="s">
        <v>58</v>
      </c>
      <c r="J177" s="4" t="s">
        <v>827</v>
      </c>
      <c r="K177" s="4" t="s">
        <v>827</v>
      </c>
      <c r="L177" s="8" t="s">
        <v>24</v>
      </c>
      <c r="M177" s="9" t="s">
        <v>198</v>
      </c>
      <c r="N177" s="4" t="s">
        <v>931</v>
      </c>
      <c r="O177" s="4"/>
      <c r="P177" s="4"/>
      <c r="Q177" s="4"/>
      <c r="R177" s="22"/>
      <c r="S177"/>
      <c r="T177"/>
      <c r="U177"/>
      <c r="V177"/>
      <c r="W177"/>
      <c r="X177"/>
      <c r="Y177"/>
      <c r="Z177"/>
      <c r="AA177"/>
      <c r="AB177"/>
      <c r="AC177"/>
      <c r="AD177"/>
      <c r="AE177"/>
      <c r="AF177"/>
      <c r="AG177"/>
      <c r="AH177"/>
      <c r="AI177"/>
      <c r="AJ177"/>
      <c r="AK177"/>
      <c r="AL177"/>
    </row>
    <row r="178" spans="1:38" s="5" customFormat="1" ht="15.6">
      <c r="A178" s="161" t="s">
        <v>932</v>
      </c>
      <c r="B178" s="161"/>
      <c r="C178" s="161"/>
      <c r="D178" s="161"/>
      <c r="E178" s="161"/>
      <c r="F178" s="161"/>
      <c r="G178" s="161"/>
      <c r="H178" s="161"/>
      <c r="I178" s="161"/>
      <c r="J178" s="161"/>
      <c r="K178" s="161"/>
      <c r="L178" s="161"/>
      <c r="M178" s="161"/>
      <c r="N178" s="161"/>
      <c r="O178" s="161"/>
      <c r="P178" s="161"/>
      <c r="Q178" s="161"/>
      <c r="R178"/>
      <c r="S178"/>
      <c r="T178"/>
      <c r="U178"/>
      <c r="V178"/>
      <c r="W178"/>
      <c r="X178"/>
      <c r="Y178"/>
      <c r="Z178"/>
      <c r="AA178"/>
      <c r="AB178"/>
      <c r="AC178"/>
      <c r="AD178"/>
      <c r="AE178"/>
      <c r="AF178"/>
      <c r="AG178"/>
      <c r="AH178"/>
      <c r="AI178"/>
      <c r="AJ178"/>
      <c r="AK178"/>
      <c r="AL178"/>
    </row>
    <row r="179" spans="1:38" s="3" customFormat="1" ht="57" customHeight="1">
      <c r="A179" s="4" t="s">
        <v>933</v>
      </c>
      <c r="B179" s="4" t="s">
        <v>934</v>
      </c>
      <c r="C179" s="4" t="s">
        <v>935</v>
      </c>
      <c r="D179" s="4" t="s">
        <v>936</v>
      </c>
      <c r="E179" s="4" t="s">
        <v>502</v>
      </c>
      <c r="F179" s="9">
        <v>5</v>
      </c>
      <c r="G179" s="9">
        <v>2</v>
      </c>
      <c r="H179" s="9">
        <f>F179*G179</f>
        <v>10</v>
      </c>
      <c r="I179" s="9" t="s">
        <v>58</v>
      </c>
      <c r="J179" s="4"/>
      <c r="K179" s="4"/>
      <c r="L179" s="55" t="s">
        <v>86</v>
      </c>
      <c r="M179" s="9" t="s">
        <v>60</v>
      </c>
      <c r="N179" s="4" t="s">
        <v>937</v>
      </c>
      <c r="O179" s="4"/>
      <c r="P179" s="4"/>
      <c r="Q179" s="4"/>
      <c r="R179"/>
      <c r="S179"/>
      <c r="T179"/>
      <c r="U179"/>
      <c r="V179"/>
      <c r="W179"/>
      <c r="X179"/>
      <c r="Y179"/>
      <c r="Z179"/>
      <c r="AA179"/>
      <c r="AB179"/>
      <c r="AC179"/>
      <c r="AD179"/>
      <c r="AE179"/>
      <c r="AF179"/>
      <c r="AG179"/>
      <c r="AH179"/>
      <c r="AI179"/>
      <c r="AJ179"/>
      <c r="AK179"/>
      <c r="AL179"/>
    </row>
    <row r="180" spans="1:38" s="3" customFormat="1" ht="58.35" customHeight="1">
      <c r="A180" s="4" t="s">
        <v>938</v>
      </c>
      <c r="B180" s="4" t="s">
        <v>939</v>
      </c>
      <c r="C180" s="4" t="s">
        <v>940</v>
      </c>
      <c r="D180" s="4" t="s">
        <v>941</v>
      </c>
      <c r="E180" s="4" t="s">
        <v>522</v>
      </c>
      <c r="F180" s="9">
        <v>3</v>
      </c>
      <c r="G180" s="9">
        <v>2</v>
      </c>
      <c r="H180" s="9">
        <f>F180*G180</f>
        <v>6</v>
      </c>
      <c r="I180" s="9" t="s">
        <v>58</v>
      </c>
      <c r="J180" s="4"/>
      <c r="K180" s="4"/>
      <c r="L180" s="55" t="s">
        <v>86</v>
      </c>
      <c r="M180" s="9" t="s">
        <v>60</v>
      </c>
      <c r="N180" s="4" t="s">
        <v>942</v>
      </c>
      <c r="O180" s="4"/>
      <c r="P180" s="4"/>
      <c r="Q180" s="4"/>
      <c r="R180"/>
      <c r="S180"/>
      <c r="T180"/>
      <c r="U180"/>
      <c r="V180"/>
      <c r="W180"/>
      <c r="X180"/>
      <c r="Y180"/>
      <c r="Z180"/>
      <c r="AA180"/>
      <c r="AB180"/>
      <c r="AC180"/>
      <c r="AD180"/>
      <c r="AE180"/>
      <c r="AF180"/>
      <c r="AG180"/>
      <c r="AH180"/>
      <c r="AI180"/>
      <c r="AJ180"/>
      <c r="AK180"/>
      <c r="AL180"/>
    </row>
    <row r="181" spans="1:38" s="3" customFormat="1" ht="74.849999999999994" customHeight="1">
      <c r="A181" s="4" t="s">
        <v>943</v>
      </c>
      <c r="B181" s="4" t="s">
        <v>944</v>
      </c>
      <c r="C181" s="4" t="s">
        <v>945</v>
      </c>
      <c r="D181" s="4" t="s">
        <v>946</v>
      </c>
      <c r="E181" s="4" t="s">
        <v>522</v>
      </c>
      <c r="F181" s="9">
        <v>5</v>
      </c>
      <c r="G181" s="9">
        <v>3</v>
      </c>
      <c r="H181" s="9">
        <f t="shared" ref="H181:H199" si="10">F181*G181</f>
        <v>15</v>
      </c>
      <c r="I181" s="9" t="s">
        <v>72</v>
      </c>
      <c r="J181" s="4"/>
      <c r="K181" s="4"/>
      <c r="L181" s="55" t="s">
        <v>86</v>
      </c>
      <c r="M181" s="9" t="s">
        <v>60</v>
      </c>
      <c r="N181" s="4" t="s">
        <v>947</v>
      </c>
      <c r="O181" s="4"/>
      <c r="P181" s="4"/>
      <c r="Q181" s="4"/>
      <c r="R181"/>
      <c r="S181"/>
      <c r="T181"/>
      <c r="U181"/>
      <c r="V181"/>
      <c r="W181"/>
      <c r="X181"/>
      <c r="Y181"/>
      <c r="Z181"/>
      <c r="AA181"/>
      <c r="AB181"/>
      <c r="AC181"/>
      <c r="AD181"/>
      <c r="AE181"/>
      <c r="AF181"/>
      <c r="AG181"/>
      <c r="AH181"/>
      <c r="AI181"/>
      <c r="AJ181"/>
      <c r="AK181"/>
      <c r="AL181"/>
    </row>
    <row r="182" spans="1:38" s="3" customFormat="1" ht="76.349999999999994" customHeight="1">
      <c r="A182" s="4" t="s">
        <v>948</v>
      </c>
      <c r="B182" s="4" t="s">
        <v>949</v>
      </c>
      <c r="C182" s="4" t="s">
        <v>950</v>
      </c>
      <c r="D182" s="4" t="s">
        <v>951</v>
      </c>
      <c r="E182" s="4" t="s">
        <v>564</v>
      </c>
      <c r="F182" s="9">
        <v>4</v>
      </c>
      <c r="G182" s="9">
        <v>2</v>
      </c>
      <c r="H182" s="9">
        <f t="shared" si="10"/>
        <v>8</v>
      </c>
      <c r="I182" s="9" t="s">
        <v>72</v>
      </c>
      <c r="J182" s="4"/>
      <c r="K182" s="4"/>
      <c r="L182" s="55" t="s">
        <v>86</v>
      </c>
      <c r="M182" s="9" t="s">
        <v>60</v>
      </c>
      <c r="N182" s="4" t="s">
        <v>952</v>
      </c>
      <c r="O182" s="4"/>
      <c r="P182" s="4"/>
      <c r="Q182" s="4"/>
      <c r="R182"/>
      <c r="S182"/>
      <c r="T182"/>
      <c r="U182"/>
      <c r="V182"/>
      <c r="W182"/>
      <c r="X182"/>
      <c r="Y182"/>
      <c r="Z182"/>
      <c r="AA182"/>
      <c r="AB182"/>
      <c r="AC182"/>
      <c r="AD182"/>
      <c r="AE182"/>
      <c r="AF182"/>
      <c r="AG182"/>
      <c r="AH182"/>
      <c r="AI182"/>
      <c r="AJ182"/>
      <c r="AK182"/>
      <c r="AL182"/>
    </row>
    <row r="183" spans="1:38" s="3" customFormat="1" ht="84.6" customHeight="1">
      <c r="A183" s="4" t="s">
        <v>953</v>
      </c>
      <c r="B183" s="4" t="s">
        <v>954</v>
      </c>
      <c r="C183" s="4" t="s">
        <v>955</v>
      </c>
      <c r="D183" s="4" t="s">
        <v>956</v>
      </c>
      <c r="E183" s="4" t="s">
        <v>522</v>
      </c>
      <c r="F183" s="9">
        <v>3</v>
      </c>
      <c r="G183" s="9">
        <v>2</v>
      </c>
      <c r="H183" s="9">
        <f t="shared" si="10"/>
        <v>6</v>
      </c>
      <c r="I183" s="9" t="s">
        <v>58</v>
      </c>
      <c r="J183" s="4"/>
      <c r="K183" s="4"/>
      <c r="L183" s="55" t="s">
        <v>86</v>
      </c>
      <c r="M183" s="9" t="s">
        <v>60</v>
      </c>
      <c r="N183" s="4" t="s">
        <v>957</v>
      </c>
      <c r="O183" s="4"/>
      <c r="P183" s="4"/>
      <c r="Q183" s="4"/>
      <c r="R183"/>
      <c r="S183"/>
      <c r="T183"/>
      <c r="U183"/>
      <c r="V183"/>
      <c r="W183"/>
      <c r="X183"/>
      <c r="Y183"/>
      <c r="Z183"/>
      <c r="AA183"/>
      <c r="AB183"/>
      <c r="AC183"/>
      <c r="AD183"/>
      <c r="AE183"/>
      <c r="AF183"/>
      <c r="AG183"/>
      <c r="AH183"/>
      <c r="AI183"/>
      <c r="AJ183"/>
      <c r="AK183"/>
      <c r="AL183"/>
    </row>
    <row r="184" spans="1:38" s="3" customFormat="1" ht="74.849999999999994" customHeight="1">
      <c r="A184" s="4" t="s">
        <v>958</v>
      </c>
      <c r="B184" s="4" t="s">
        <v>959</v>
      </c>
      <c r="C184" s="4" t="s">
        <v>960</v>
      </c>
      <c r="D184" s="4" t="s">
        <v>961</v>
      </c>
      <c r="E184" s="4" t="s">
        <v>156</v>
      </c>
      <c r="F184" s="9">
        <v>3</v>
      </c>
      <c r="G184" s="9">
        <v>1</v>
      </c>
      <c r="H184" s="9">
        <f t="shared" si="10"/>
        <v>3</v>
      </c>
      <c r="I184" s="9" t="s">
        <v>58</v>
      </c>
      <c r="J184" s="4"/>
      <c r="K184" s="4"/>
      <c r="L184" s="8" t="s">
        <v>86</v>
      </c>
      <c r="M184" s="9" t="s">
        <v>60</v>
      </c>
      <c r="N184" s="4" t="s">
        <v>962</v>
      </c>
      <c r="O184" s="4"/>
      <c r="P184" s="4"/>
      <c r="Q184" s="4"/>
      <c r="R184"/>
      <c r="S184"/>
      <c r="T184"/>
      <c r="U184"/>
      <c r="V184"/>
      <c r="W184"/>
      <c r="X184"/>
      <c r="Y184"/>
      <c r="Z184"/>
      <c r="AA184"/>
      <c r="AB184"/>
      <c r="AC184"/>
      <c r="AD184"/>
      <c r="AE184"/>
      <c r="AF184"/>
      <c r="AG184"/>
      <c r="AH184"/>
      <c r="AI184"/>
      <c r="AJ184"/>
      <c r="AK184"/>
      <c r="AL184"/>
    </row>
    <row r="185" spans="1:38" s="3" customFormat="1" ht="48" customHeight="1">
      <c r="A185" s="4" t="s">
        <v>963</v>
      </c>
      <c r="B185" s="4" t="s">
        <v>964</v>
      </c>
      <c r="C185" s="4" t="s">
        <v>965</v>
      </c>
      <c r="D185" s="4" t="s">
        <v>966</v>
      </c>
      <c r="E185" s="4" t="s">
        <v>124</v>
      </c>
      <c r="F185" s="9">
        <v>3</v>
      </c>
      <c r="G185" s="9">
        <v>2</v>
      </c>
      <c r="H185" s="9">
        <f t="shared" si="10"/>
        <v>6</v>
      </c>
      <c r="I185" s="9" t="s">
        <v>58</v>
      </c>
      <c r="J185" s="4"/>
      <c r="K185" s="4"/>
      <c r="L185" s="55" t="s">
        <v>86</v>
      </c>
      <c r="M185" s="9" t="s">
        <v>60</v>
      </c>
      <c r="N185" s="4" t="s">
        <v>967</v>
      </c>
      <c r="O185" s="4"/>
      <c r="P185" s="4"/>
      <c r="Q185" s="4"/>
      <c r="R185"/>
      <c r="S185"/>
      <c r="T185"/>
      <c r="U185"/>
      <c r="V185"/>
      <c r="W185"/>
      <c r="X185"/>
      <c r="Y185"/>
      <c r="Z185"/>
      <c r="AA185"/>
      <c r="AB185"/>
      <c r="AC185"/>
      <c r="AD185"/>
      <c r="AE185"/>
      <c r="AF185"/>
      <c r="AG185"/>
      <c r="AH185"/>
      <c r="AI185"/>
      <c r="AJ185"/>
      <c r="AK185"/>
      <c r="AL185"/>
    </row>
    <row r="186" spans="1:38" s="3" customFormat="1" ht="57.6">
      <c r="A186" s="4" t="s">
        <v>968</v>
      </c>
      <c r="B186" s="4" t="s">
        <v>167</v>
      </c>
      <c r="C186" s="4" t="s">
        <v>969</v>
      </c>
      <c r="D186" s="4" t="s">
        <v>970</v>
      </c>
      <c r="E186" s="63" t="s">
        <v>166</v>
      </c>
      <c r="F186" s="9">
        <v>4</v>
      </c>
      <c r="G186" s="9">
        <v>3</v>
      </c>
      <c r="H186" s="9">
        <f t="shared" si="10"/>
        <v>12</v>
      </c>
      <c r="I186" s="9" t="s">
        <v>72</v>
      </c>
      <c r="J186" s="4"/>
      <c r="K186" s="4"/>
      <c r="L186" s="55" t="s">
        <v>86</v>
      </c>
      <c r="M186" s="9" t="s">
        <v>60</v>
      </c>
      <c r="N186" s="4" t="s">
        <v>971</v>
      </c>
      <c r="O186" s="4"/>
      <c r="P186" s="4"/>
      <c r="Q186" s="4"/>
      <c r="R186"/>
      <c r="S186"/>
      <c r="T186"/>
      <c r="U186"/>
      <c r="V186"/>
      <c r="W186"/>
      <c r="X186"/>
      <c r="Y186"/>
      <c r="Z186"/>
      <c r="AA186"/>
      <c r="AB186"/>
      <c r="AC186"/>
      <c r="AD186"/>
      <c r="AE186"/>
      <c r="AF186"/>
      <c r="AG186"/>
      <c r="AH186"/>
      <c r="AI186"/>
      <c r="AJ186"/>
      <c r="AK186"/>
      <c r="AL186"/>
    </row>
    <row r="187" spans="1:38" s="3" customFormat="1" ht="86.45">
      <c r="A187" s="4" t="s">
        <v>972</v>
      </c>
      <c r="B187" s="4" t="s">
        <v>973</v>
      </c>
      <c r="C187" s="4" t="s">
        <v>974</v>
      </c>
      <c r="D187" s="4" t="s">
        <v>975</v>
      </c>
      <c r="E187" s="4" t="s">
        <v>522</v>
      </c>
      <c r="F187" s="9">
        <v>3</v>
      </c>
      <c r="G187" s="9">
        <v>3</v>
      </c>
      <c r="H187" s="9">
        <f t="shared" si="10"/>
        <v>9</v>
      </c>
      <c r="I187" s="9" t="s">
        <v>72</v>
      </c>
      <c r="J187" s="4"/>
      <c r="K187" s="4"/>
      <c r="L187" s="55" t="s">
        <v>86</v>
      </c>
      <c r="M187" s="9" t="s">
        <v>60</v>
      </c>
      <c r="N187" s="4" t="s">
        <v>976</v>
      </c>
      <c r="O187" s="4"/>
      <c r="P187" s="4"/>
      <c r="Q187" s="4"/>
      <c r="R187"/>
      <c r="S187"/>
      <c r="T187"/>
      <c r="U187"/>
      <c r="V187"/>
      <c r="W187"/>
      <c r="X187"/>
      <c r="Y187"/>
      <c r="Z187"/>
      <c r="AA187"/>
      <c r="AB187"/>
      <c r="AC187"/>
      <c r="AD187"/>
      <c r="AE187"/>
      <c r="AF187"/>
      <c r="AG187"/>
      <c r="AH187"/>
      <c r="AI187"/>
      <c r="AJ187"/>
      <c r="AK187"/>
      <c r="AL187"/>
    </row>
    <row r="188" spans="1:38" s="5" customFormat="1" ht="15.6">
      <c r="A188" s="161" t="s">
        <v>977</v>
      </c>
      <c r="B188" s="161"/>
      <c r="C188" s="161"/>
      <c r="D188" s="161"/>
      <c r="E188" s="161"/>
      <c r="F188" s="161"/>
      <c r="G188" s="161"/>
      <c r="H188" s="161"/>
      <c r="I188" s="161"/>
      <c r="J188" s="161"/>
      <c r="K188" s="161"/>
      <c r="L188" s="161"/>
      <c r="M188" s="161"/>
      <c r="N188" s="161"/>
      <c r="O188" s="161"/>
      <c r="P188" s="161"/>
      <c r="Q188" s="161"/>
      <c r="R188"/>
      <c r="S188"/>
      <c r="T188"/>
      <c r="U188"/>
      <c r="V188"/>
      <c r="W188"/>
      <c r="X188"/>
      <c r="Y188"/>
      <c r="Z188"/>
      <c r="AA188"/>
      <c r="AB188"/>
      <c r="AC188"/>
      <c r="AD188"/>
      <c r="AE188"/>
      <c r="AF188"/>
      <c r="AG188"/>
      <c r="AH188"/>
      <c r="AI188"/>
      <c r="AJ188"/>
      <c r="AK188"/>
      <c r="AL188"/>
    </row>
    <row r="189" spans="1:38" s="3" customFormat="1" ht="80.099999999999994" customHeight="1">
      <c r="A189" s="4" t="s">
        <v>978</v>
      </c>
      <c r="B189" s="4" t="s">
        <v>979</v>
      </c>
      <c r="C189" s="4" t="s">
        <v>980</v>
      </c>
      <c r="D189" s="4" t="s">
        <v>981</v>
      </c>
      <c r="E189" s="4" t="s">
        <v>151</v>
      </c>
      <c r="F189" s="9">
        <v>4</v>
      </c>
      <c r="G189" s="9">
        <v>1</v>
      </c>
      <c r="H189" s="9">
        <f t="shared" si="10"/>
        <v>4</v>
      </c>
      <c r="I189" s="9" t="s">
        <v>58</v>
      </c>
      <c r="J189" s="4" t="s">
        <v>982</v>
      </c>
      <c r="K189" s="4" t="s">
        <v>24</v>
      </c>
      <c r="L189" s="8" t="s">
        <v>86</v>
      </c>
      <c r="M189" s="9" t="s">
        <v>87</v>
      </c>
      <c r="N189" s="4" t="s">
        <v>983</v>
      </c>
      <c r="O189" s="4"/>
      <c r="P189" s="4"/>
      <c r="Q189" s="4"/>
      <c r="R189"/>
      <c r="S189"/>
      <c r="T189"/>
      <c r="U189"/>
      <c r="V189"/>
      <c r="W189"/>
      <c r="X189"/>
      <c r="Y189"/>
      <c r="Z189"/>
      <c r="AA189"/>
      <c r="AB189"/>
      <c r="AC189"/>
      <c r="AD189"/>
      <c r="AE189"/>
      <c r="AF189"/>
      <c r="AG189"/>
      <c r="AH189"/>
      <c r="AI189"/>
      <c r="AJ189"/>
      <c r="AK189"/>
      <c r="AL189"/>
    </row>
    <row r="190" spans="1:38" s="3" customFormat="1" ht="43.15">
      <c r="A190" s="4" t="s">
        <v>984</v>
      </c>
      <c r="B190" s="63" t="s">
        <v>985</v>
      </c>
      <c r="C190" s="4" t="s">
        <v>986</v>
      </c>
      <c r="D190" s="4" t="s">
        <v>987</v>
      </c>
      <c r="E190" s="4" t="s">
        <v>191</v>
      </c>
      <c r="F190" s="9">
        <v>4</v>
      </c>
      <c r="G190" s="9">
        <v>2</v>
      </c>
      <c r="H190" s="9">
        <f t="shared" si="10"/>
        <v>8</v>
      </c>
      <c r="I190" s="9" t="s">
        <v>72</v>
      </c>
      <c r="J190" s="4" t="s">
        <v>988</v>
      </c>
      <c r="K190" s="4"/>
      <c r="L190" s="8" t="s">
        <v>80</v>
      </c>
      <c r="M190" s="9" t="s">
        <v>748</v>
      </c>
      <c r="N190" s="4" t="s">
        <v>989</v>
      </c>
      <c r="O190" s="4"/>
      <c r="P190" s="4"/>
      <c r="Q190" s="4"/>
      <c r="R190"/>
      <c r="S190"/>
      <c r="T190"/>
      <c r="U190"/>
      <c r="V190"/>
      <c r="W190"/>
      <c r="X190"/>
      <c r="Y190"/>
      <c r="Z190"/>
      <c r="AA190"/>
      <c r="AB190"/>
      <c r="AC190"/>
      <c r="AD190"/>
      <c r="AE190"/>
      <c r="AF190"/>
      <c r="AG190"/>
      <c r="AH190"/>
      <c r="AI190"/>
      <c r="AJ190"/>
      <c r="AK190"/>
      <c r="AL190"/>
    </row>
    <row r="191" spans="1:38" s="3" customFormat="1" ht="28.9">
      <c r="A191" s="4" t="s">
        <v>990</v>
      </c>
      <c r="B191" s="4" t="s">
        <v>991</v>
      </c>
      <c r="C191" s="4" t="s">
        <v>992</v>
      </c>
      <c r="D191" s="4" t="s">
        <v>993</v>
      </c>
      <c r="E191" s="4" t="s">
        <v>387</v>
      </c>
      <c r="F191" s="9">
        <v>5</v>
      </c>
      <c r="G191" s="9">
        <v>1</v>
      </c>
      <c r="H191" s="9">
        <f t="shared" si="10"/>
        <v>5</v>
      </c>
      <c r="I191" s="9" t="s">
        <v>58</v>
      </c>
      <c r="J191" s="4" t="s">
        <v>59</v>
      </c>
      <c r="K191" s="4"/>
      <c r="L191" s="8" t="s">
        <v>80</v>
      </c>
      <c r="M191" s="9" t="s">
        <v>60</v>
      </c>
      <c r="N191" s="4" t="s">
        <v>994</v>
      </c>
      <c r="O191" s="4"/>
      <c r="P191" s="4"/>
      <c r="Q191" s="4"/>
      <c r="R191"/>
      <c r="S191"/>
      <c r="T191"/>
      <c r="U191"/>
      <c r="V191"/>
      <c r="W191"/>
      <c r="X191"/>
      <c r="Y191"/>
      <c r="Z191"/>
      <c r="AA191"/>
      <c r="AB191"/>
      <c r="AC191"/>
      <c r="AD191"/>
      <c r="AE191"/>
      <c r="AF191"/>
      <c r="AG191"/>
      <c r="AH191"/>
      <c r="AI191"/>
      <c r="AJ191"/>
      <c r="AK191"/>
      <c r="AL191"/>
    </row>
    <row r="192" spans="1:38" s="3" customFormat="1" ht="56.85" customHeight="1">
      <c r="A192" s="4" t="s">
        <v>995</v>
      </c>
      <c r="B192" s="4" t="s">
        <v>996</v>
      </c>
      <c r="C192" s="4" t="s">
        <v>997</v>
      </c>
      <c r="D192" s="63" t="s">
        <v>998</v>
      </c>
      <c r="E192" s="4" t="s">
        <v>999</v>
      </c>
      <c r="F192" s="9">
        <v>4</v>
      </c>
      <c r="G192" s="9">
        <v>2</v>
      </c>
      <c r="H192" s="9">
        <f t="shared" si="10"/>
        <v>8</v>
      </c>
      <c r="I192" s="9" t="s">
        <v>72</v>
      </c>
      <c r="J192" s="4" t="s">
        <v>1000</v>
      </c>
      <c r="K192" s="4" t="s">
        <v>1001</v>
      </c>
      <c r="L192" s="8" t="s">
        <v>86</v>
      </c>
      <c r="M192" s="9" t="s">
        <v>198</v>
      </c>
      <c r="N192" s="4" t="s">
        <v>1002</v>
      </c>
      <c r="O192" s="4"/>
      <c r="P192" s="4"/>
      <c r="Q192" s="4"/>
      <c r="R192"/>
      <c r="S192"/>
      <c r="T192"/>
      <c r="U192"/>
      <c r="V192"/>
      <c r="W192"/>
      <c r="X192"/>
      <c r="Y192"/>
      <c r="Z192"/>
      <c r="AA192"/>
      <c r="AB192"/>
      <c r="AC192"/>
      <c r="AD192"/>
      <c r="AE192"/>
      <c r="AF192"/>
      <c r="AG192"/>
      <c r="AH192"/>
      <c r="AI192"/>
      <c r="AJ192"/>
      <c r="AK192"/>
      <c r="AL192"/>
    </row>
    <row r="193" spans="1:38" s="3" customFormat="1" ht="28.9">
      <c r="A193" s="4" t="s">
        <v>1003</v>
      </c>
      <c r="B193" s="4" t="s">
        <v>1004</v>
      </c>
      <c r="C193" s="4" t="s">
        <v>1005</v>
      </c>
      <c r="D193" s="4" t="s">
        <v>1006</v>
      </c>
      <c r="E193" s="4" t="s">
        <v>89</v>
      </c>
      <c r="F193" s="9">
        <v>4</v>
      </c>
      <c r="G193" s="9">
        <v>2</v>
      </c>
      <c r="H193" s="9">
        <f t="shared" si="10"/>
        <v>8</v>
      </c>
      <c r="I193" s="9" t="s">
        <v>72</v>
      </c>
      <c r="J193" s="4" t="s">
        <v>1007</v>
      </c>
      <c r="K193" s="4"/>
      <c r="L193" s="55" t="s">
        <v>86</v>
      </c>
      <c r="M193" s="9" t="s">
        <v>198</v>
      </c>
      <c r="N193" s="4" t="s">
        <v>1008</v>
      </c>
      <c r="O193" s="4"/>
      <c r="P193" s="4"/>
      <c r="Q193" s="4"/>
      <c r="R193"/>
      <c r="S193"/>
      <c r="T193"/>
      <c r="U193"/>
      <c r="V193"/>
      <c r="W193"/>
      <c r="X193"/>
      <c r="Y193"/>
      <c r="Z193"/>
      <c r="AA193"/>
      <c r="AB193"/>
      <c r="AC193"/>
      <c r="AD193"/>
      <c r="AE193"/>
      <c r="AF193"/>
      <c r="AG193"/>
      <c r="AH193"/>
      <c r="AI193"/>
      <c r="AJ193"/>
      <c r="AK193"/>
      <c r="AL193"/>
    </row>
    <row r="194" spans="1:38" s="3" customFormat="1" ht="60" customHeight="1">
      <c r="A194" s="4" t="s">
        <v>1009</v>
      </c>
      <c r="B194" s="4" t="s">
        <v>1010</v>
      </c>
      <c r="C194" s="4" t="s">
        <v>1011</v>
      </c>
      <c r="D194" s="4" t="s">
        <v>1012</v>
      </c>
      <c r="E194" s="4" t="s">
        <v>89</v>
      </c>
      <c r="F194" s="9">
        <v>3</v>
      </c>
      <c r="G194" s="9">
        <v>1</v>
      </c>
      <c r="H194" s="9">
        <f t="shared" si="10"/>
        <v>3</v>
      </c>
      <c r="I194" s="9" t="s">
        <v>58</v>
      </c>
      <c r="J194" s="4" t="s">
        <v>1013</v>
      </c>
      <c r="K194" s="4"/>
      <c r="L194" s="8" t="s">
        <v>86</v>
      </c>
      <c r="M194" s="9" t="s">
        <v>198</v>
      </c>
      <c r="N194" s="4" t="s">
        <v>1014</v>
      </c>
      <c r="O194" s="4"/>
      <c r="P194" s="4"/>
      <c r="Q194" s="4"/>
      <c r="R194"/>
      <c r="S194"/>
      <c r="T194"/>
      <c r="U194"/>
      <c r="V194"/>
      <c r="W194"/>
      <c r="X194"/>
      <c r="Y194"/>
      <c r="Z194"/>
      <c r="AA194"/>
      <c r="AB194"/>
      <c r="AC194"/>
      <c r="AD194"/>
      <c r="AE194"/>
      <c r="AF194"/>
      <c r="AG194"/>
      <c r="AH194"/>
      <c r="AI194"/>
      <c r="AJ194"/>
      <c r="AK194"/>
      <c r="AL194"/>
    </row>
    <row r="195" spans="1:38" s="3" customFormat="1" ht="28.9">
      <c r="A195" s="4" t="s">
        <v>1015</v>
      </c>
      <c r="B195" s="4" t="s">
        <v>1016</v>
      </c>
      <c r="C195" s="4" t="s">
        <v>1017</v>
      </c>
      <c r="D195" s="4" t="s">
        <v>1018</v>
      </c>
      <c r="E195" s="4" t="s">
        <v>89</v>
      </c>
      <c r="F195" s="9">
        <v>3</v>
      </c>
      <c r="G195" s="9">
        <v>2</v>
      </c>
      <c r="H195" s="9">
        <f t="shared" si="10"/>
        <v>6</v>
      </c>
      <c r="I195" s="9" t="s">
        <v>72</v>
      </c>
      <c r="J195" s="4" t="s">
        <v>1019</v>
      </c>
      <c r="K195" s="4"/>
      <c r="L195" s="8" t="s">
        <v>86</v>
      </c>
      <c r="M195" s="9" t="s">
        <v>198</v>
      </c>
      <c r="N195" s="4" t="s">
        <v>1020</v>
      </c>
      <c r="O195" s="4"/>
      <c r="P195" s="4"/>
      <c r="Q195" s="4"/>
      <c r="R195"/>
      <c r="S195"/>
      <c r="T195"/>
      <c r="U195"/>
      <c r="V195"/>
      <c r="W195"/>
      <c r="X195"/>
      <c r="Y195"/>
      <c r="Z195"/>
      <c r="AA195"/>
      <c r="AB195"/>
      <c r="AC195"/>
      <c r="AD195"/>
      <c r="AE195"/>
      <c r="AF195"/>
      <c r="AG195"/>
      <c r="AH195"/>
      <c r="AI195"/>
      <c r="AJ195"/>
      <c r="AK195"/>
      <c r="AL195"/>
    </row>
    <row r="196" spans="1:38" s="3" customFormat="1" ht="53.25" customHeight="1">
      <c r="A196" s="4" t="s">
        <v>1021</v>
      </c>
      <c r="B196" s="4" t="s">
        <v>1022</v>
      </c>
      <c r="C196" s="4" t="s">
        <v>1023</v>
      </c>
      <c r="D196" s="4" t="s">
        <v>1012</v>
      </c>
      <c r="E196" s="4" t="s">
        <v>89</v>
      </c>
      <c r="F196" s="9">
        <v>3</v>
      </c>
      <c r="G196" s="9">
        <v>2</v>
      </c>
      <c r="H196" s="9">
        <f t="shared" si="10"/>
        <v>6</v>
      </c>
      <c r="I196" s="9" t="s">
        <v>72</v>
      </c>
      <c r="J196" s="4" t="s">
        <v>1024</v>
      </c>
      <c r="K196" s="4"/>
      <c r="L196" s="8" t="s">
        <v>86</v>
      </c>
      <c r="M196" s="9" t="s">
        <v>198</v>
      </c>
      <c r="N196" s="4" t="s">
        <v>1025</v>
      </c>
      <c r="O196" s="4"/>
      <c r="P196" s="4"/>
      <c r="Q196" s="4"/>
      <c r="R196"/>
      <c r="S196"/>
      <c r="T196"/>
      <c r="U196"/>
      <c r="V196"/>
      <c r="W196"/>
      <c r="X196"/>
      <c r="Y196"/>
      <c r="Z196"/>
      <c r="AA196"/>
      <c r="AB196"/>
      <c r="AC196"/>
      <c r="AD196"/>
      <c r="AE196"/>
      <c r="AF196"/>
      <c r="AG196"/>
      <c r="AH196"/>
      <c r="AI196"/>
      <c r="AJ196"/>
      <c r="AK196"/>
      <c r="AL196"/>
    </row>
    <row r="197" spans="1:38" s="3" customFormat="1" ht="28.9">
      <c r="A197" s="4" t="s">
        <v>1026</v>
      </c>
      <c r="B197" s="4" t="s">
        <v>1027</v>
      </c>
      <c r="C197" s="4" t="s">
        <v>1028</v>
      </c>
      <c r="D197" s="4" t="s">
        <v>1012</v>
      </c>
      <c r="E197" s="4" t="s">
        <v>1029</v>
      </c>
      <c r="F197" s="9">
        <v>3</v>
      </c>
      <c r="G197" s="9">
        <v>2</v>
      </c>
      <c r="H197" s="9">
        <f t="shared" si="10"/>
        <v>6</v>
      </c>
      <c r="I197" s="9" t="s">
        <v>58</v>
      </c>
      <c r="J197" s="4" t="s">
        <v>1030</v>
      </c>
      <c r="K197" s="4"/>
      <c r="L197" s="8" t="s">
        <v>86</v>
      </c>
      <c r="M197" s="9" t="s">
        <v>198</v>
      </c>
      <c r="N197" s="4" t="s">
        <v>1031</v>
      </c>
      <c r="O197" s="4"/>
      <c r="P197" s="4"/>
      <c r="Q197" s="4"/>
      <c r="R197"/>
      <c r="S197"/>
      <c r="T197"/>
      <c r="U197"/>
      <c r="V197"/>
      <c r="W197"/>
      <c r="X197"/>
      <c r="Y197"/>
      <c r="Z197"/>
      <c r="AA197"/>
      <c r="AB197"/>
      <c r="AC197"/>
      <c r="AD197"/>
      <c r="AE197"/>
      <c r="AF197"/>
      <c r="AG197"/>
      <c r="AH197"/>
      <c r="AI197"/>
      <c r="AJ197"/>
      <c r="AK197"/>
      <c r="AL197"/>
    </row>
    <row r="198" spans="1:38" s="3" customFormat="1" ht="28.9">
      <c r="A198" s="4" t="s">
        <v>1032</v>
      </c>
      <c r="B198" s="4" t="s">
        <v>1033</v>
      </c>
      <c r="C198" s="4" t="s">
        <v>1034</v>
      </c>
      <c r="D198" s="4" t="s">
        <v>1012</v>
      </c>
      <c r="E198" s="4" t="s">
        <v>89</v>
      </c>
      <c r="F198" s="9">
        <v>3</v>
      </c>
      <c r="G198" s="9">
        <v>1</v>
      </c>
      <c r="H198" s="9">
        <f t="shared" si="10"/>
        <v>3</v>
      </c>
      <c r="I198" s="9" t="s">
        <v>58</v>
      </c>
      <c r="J198" s="4" t="s">
        <v>1035</v>
      </c>
      <c r="K198" s="4"/>
      <c r="L198" s="8" t="s">
        <v>86</v>
      </c>
      <c r="M198" s="9" t="s">
        <v>198</v>
      </c>
      <c r="N198" s="4" t="s">
        <v>1036</v>
      </c>
      <c r="O198" s="4"/>
      <c r="P198" s="4"/>
      <c r="Q198" s="4"/>
      <c r="R198"/>
      <c r="S198"/>
      <c r="T198"/>
      <c r="U198"/>
      <c r="V198"/>
      <c r="W198"/>
      <c r="X198"/>
      <c r="Y198"/>
      <c r="Z198"/>
      <c r="AA198"/>
      <c r="AB198"/>
      <c r="AC198"/>
      <c r="AD198"/>
      <c r="AE198"/>
      <c r="AF198"/>
      <c r="AG198"/>
      <c r="AH198"/>
      <c r="AI198"/>
      <c r="AJ198"/>
      <c r="AK198"/>
      <c r="AL198"/>
    </row>
    <row r="199" spans="1:38" s="3" customFormat="1" ht="28.9">
      <c r="A199" s="4" t="s">
        <v>1037</v>
      </c>
      <c r="B199" s="4" t="s">
        <v>1038</v>
      </c>
      <c r="C199" s="4" t="s">
        <v>1039</v>
      </c>
      <c r="D199" s="4" t="s">
        <v>1040</v>
      </c>
      <c r="E199" s="4" t="s">
        <v>316</v>
      </c>
      <c r="F199" s="9">
        <v>5</v>
      </c>
      <c r="G199" s="9">
        <v>2</v>
      </c>
      <c r="H199" s="9">
        <f t="shared" si="10"/>
        <v>10</v>
      </c>
      <c r="I199" s="9" t="s">
        <v>72</v>
      </c>
      <c r="J199" s="4"/>
      <c r="K199" s="4"/>
      <c r="L199" s="8" t="s">
        <v>80</v>
      </c>
      <c r="M199" s="9" t="s">
        <v>198</v>
      </c>
      <c r="N199" s="4" t="s">
        <v>1041</v>
      </c>
      <c r="O199" s="4"/>
      <c r="P199" s="4"/>
      <c r="Q199" s="4"/>
      <c r="R199"/>
      <c r="S199"/>
      <c r="T199"/>
      <c r="U199"/>
      <c r="V199"/>
      <c r="W199"/>
      <c r="X199"/>
      <c r="Y199"/>
      <c r="Z199"/>
      <c r="AA199"/>
      <c r="AB199"/>
      <c r="AC199"/>
      <c r="AD199"/>
      <c r="AE199"/>
      <c r="AF199"/>
      <c r="AG199"/>
      <c r="AH199"/>
      <c r="AI199"/>
      <c r="AJ199"/>
      <c r="AK199"/>
      <c r="AL199"/>
    </row>
    <row r="200" spans="1:38" s="5" customFormat="1" ht="15.6">
      <c r="A200" s="161" t="s">
        <v>1042</v>
      </c>
      <c r="B200" s="161"/>
      <c r="C200" s="161"/>
      <c r="D200" s="161"/>
      <c r="E200" s="161"/>
      <c r="F200" s="161"/>
      <c r="G200" s="161"/>
      <c r="H200" s="161"/>
      <c r="I200" s="161"/>
      <c r="J200" s="161"/>
      <c r="K200" s="161"/>
      <c r="L200" s="161"/>
      <c r="M200" s="161"/>
      <c r="N200" s="161"/>
      <c r="O200" s="161"/>
      <c r="P200" s="161"/>
      <c r="Q200" s="161"/>
      <c r="R200"/>
      <c r="S200"/>
      <c r="T200"/>
      <c r="U200"/>
      <c r="V200"/>
      <c r="W200"/>
      <c r="X200"/>
      <c r="Y200"/>
      <c r="Z200"/>
      <c r="AA200"/>
      <c r="AB200"/>
      <c r="AC200"/>
      <c r="AD200"/>
      <c r="AE200"/>
      <c r="AF200"/>
      <c r="AG200"/>
      <c r="AH200"/>
      <c r="AI200"/>
      <c r="AJ200"/>
      <c r="AK200"/>
      <c r="AL200"/>
    </row>
    <row r="201" spans="1:38" s="3" customFormat="1" ht="60" customHeight="1">
      <c r="A201" s="4" t="s">
        <v>1043</v>
      </c>
      <c r="B201" s="4" t="s">
        <v>1044</v>
      </c>
      <c r="C201" s="4" t="s">
        <v>1045</v>
      </c>
      <c r="D201" s="4" t="s">
        <v>1046</v>
      </c>
      <c r="E201" s="4" t="s">
        <v>354</v>
      </c>
      <c r="F201" s="9">
        <v>2</v>
      </c>
      <c r="G201" s="9">
        <v>1</v>
      </c>
      <c r="H201" s="9">
        <f t="shared" ref="H201:H208" si="11">F201*G201</f>
        <v>2</v>
      </c>
      <c r="I201" s="9"/>
      <c r="J201" s="65">
        <v>0.105</v>
      </c>
      <c r="K201" s="65" t="s">
        <v>1047</v>
      </c>
      <c r="L201" s="8" t="s">
        <v>86</v>
      </c>
      <c r="M201" s="9" t="s">
        <v>1048</v>
      </c>
      <c r="N201" s="4" t="s">
        <v>1049</v>
      </c>
      <c r="O201" s="4"/>
      <c r="P201" s="4"/>
      <c r="Q201" s="4"/>
      <c r="R201"/>
      <c r="S201"/>
      <c r="T201"/>
      <c r="U201"/>
      <c r="V201"/>
      <c r="W201"/>
      <c r="X201"/>
      <c r="Y201"/>
      <c r="Z201"/>
      <c r="AA201"/>
      <c r="AB201"/>
      <c r="AC201"/>
      <c r="AD201"/>
      <c r="AE201"/>
      <c r="AF201"/>
      <c r="AG201"/>
      <c r="AH201"/>
      <c r="AI201"/>
      <c r="AJ201"/>
      <c r="AK201"/>
      <c r="AL201"/>
    </row>
    <row r="202" spans="1:38" s="3" customFormat="1" ht="28.9">
      <c r="A202" s="4" t="s">
        <v>1050</v>
      </c>
      <c r="B202" s="4" t="s">
        <v>1051</v>
      </c>
      <c r="C202" s="4" t="s">
        <v>1052</v>
      </c>
      <c r="D202" s="4" t="s">
        <v>1053</v>
      </c>
      <c r="E202" s="4" t="s">
        <v>354</v>
      </c>
      <c r="F202" s="9">
        <v>3</v>
      </c>
      <c r="G202" s="9">
        <v>1</v>
      </c>
      <c r="H202" s="9">
        <f t="shared" si="11"/>
        <v>3</v>
      </c>
      <c r="I202" s="9"/>
      <c r="J202" s="4" t="s">
        <v>1054</v>
      </c>
      <c r="K202" s="4" t="s">
        <v>1055</v>
      </c>
      <c r="L202" s="8" t="s">
        <v>86</v>
      </c>
      <c r="M202" s="9" t="s">
        <v>198</v>
      </c>
      <c r="N202" s="4" t="s">
        <v>1056</v>
      </c>
      <c r="O202" s="4"/>
      <c r="P202" s="4"/>
      <c r="Q202" s="4"/>
      <c r="R202"/>
      <c r="S202"/>
      <c r="T202"/>
      <c r="U202"/>
      <c r="V202"/>
      <c r="W202"/>
      <c r="X202"/>
      <c r="Y202"/>
      <c r="Z202"/>
      <c r="AA202"/>
      <c r="AB202"/>
      <c r="AC202"/>
      <c r="AD202"/>
      <c r="AE202"/>
      <c r="AF202"/>
      <c r="AG202"/>
      <c r="AH202"/>
      <c r="AI202"/>
      <c r="AJ202"/>
      <c r="AK202"/>
      <c r="AL202"/>
    </row>
    <row r="203" spans="1:38" s="3" customFormat="1" ht="65.849999999999994" customHeight="1">
      <c r="A203" s="4" t="s">
        <v>1057</v>
      </c>
      <c r="B203" s="4" t="s">
        <v>1058</v>
      </c>
      <c r="C203" s="4" t="s">
        <v>1059</v>
      </c>
      <c r="D203" s="4" t="s">
        <v>1060</v>
      </c>
      <c r="E203" s="4" t="s">
        <v>360</v>
      </c>
      <c r="F203" s="9">
        <v>4</v>
      </c>
      <c r="G203" s="9">
        <v>3</v>
      </c>
      <c r="H203" s="9">
        <f t="shared" si="11"/>
        <v>12</v>
      </c>
      <c r="I203" s="9"/>
      <c r="J203" s="4" t="s">
        <v>1061</v>
      </c>
      <c r="K203" s="4" t="s">
        <v>790</v>
      </c>
      <c r="L203" s="8" t="s">
        <v>80</v>
      </c>
      <c r="M203" s="9" t="s">
        <v>238</v>
      </c>
      <c r="N203" s="4" t="s">
        <v>1062</v>
      </c>
      <c r="O203" s="4"/>
      <c r="P203" s="4"/>
      <c r="Q203" s="4"/>
      <c r="R203"/>
      <c r="S203"/>
      <c r="T203"/>
      <c r="U203"/>
      <c r="V203"/>
      <c r="W203"/>
      <c r="X203"/>
      <c r="Y203"/>
      <c r="Z203"/>
      <c r="AA203"/>
      <c r="AB203"/>
      <c r="AC203"/>
      <c r="AD203"/>
      <c r="AE203"/>
      <c r="AF203"/>
      <c r="AG203"/>
      <c r="AH203"/>
      <c r="AI203"/>
      <c r="AJ203"/>
      <c r="AK203"/>
      <c r="AL203"/>
    </row>
    <row r="204" spans="1:38" s="3" customFormat="1" ht="91.35" customHeight="1">
      <c r="A204" s="4" t="s">
        <v>1063</v>
      </c>
      <c r="B204" s="4" t="s">
        <v>1064</v>
      </c>
      <c r="C204" s="4" t="s">
        <v>1065</v>
      </c>
      <c r="D204" s="4" t="s">
        <v>1066</v>
      </c>
      <c r="E204" s="4" t="s">
        <v>1067</v>
      </c>
      <c r="F204" s="9">
        <v>5</v>
      </c>
      <c r="G204" s="9">
        <v>2</v>
      </c>
      <c r="H204" s="9">
        <f t="shared" si="11"/>
        <v>10</v>
      </c>
      <c r="I204" s="9"/>
      <c r="J204" s="4" t="s">
        <v>1068</v>
      </c>
      <c r="K204" s="4" t="s">
        <v>790</v>
      </c>
      <c r="L204" s="8" t="s">
        <v>80</v>
      </c>
      <c r="M204" s="9" t="s">
        <v>87</v>
      </c>
      <c r="N204" s="4" t="s">
        <v>1069</v>
      </c>
      <c r="O204" s="4"/>
      <c r="P204" s="4"/>
      <c r="Q204" s="4"/>
      <c r="R204"/>
      <c r="S204"/>
      <c r="T204"/>
      <c r="U204"/>
      <c r="V204"/>
      <c r="W204"/>
      <c r="X204"/>
      <c r="Y204"/>
      <c r="Z204"/>
      <c r="AA204"/>
      <c r="AB204"/>
      <c r="AC204"/>
      <c r="AD204"/>
      <c r="AE204"/>
      <c r="AF204"/>
      <c r="AG204"/>
      <c r="AH204"/>
      <c r="AI204"/>
      <c r="AJ204"/>
      <c r="AK204"/>
      <c r="AL204"/>
    </row>
    <row r="205" spans="1:38" s="3" customFormat="1" ht="77.099999999999994" customHeight="1">
      <c r="A205" s="4" t="s">
        <v>1070</v>
      </c>
      <c r="B205" s="4" t="s">
        <v>1071</v>
      </c>
      <c r="C205" s="4" t="s">
        <v>1072</v>
      </c>
      <c r="D205" s="4" t="s">
        <v>1073</v>
      </c>
      <c r="E205" s="4" t="s">
        <v>360</v>
      </c>
      <c r="F205" s="9">
        <v>5</v>
      </c>
      <c r="G205" s="9">
        <v>2</v>
      </c>
      <c r="H205" s="9">
        <f t="shared" si="11"/>
        <v>10</v>
      </c>
      <c r="I205" s="9"/>
      <c r="J205" s="4" t="s">
        <v>1074</v>
      </c>
      <c r="K205" s="4" t="s">
        <v>790</v>
      </c>
      <c r="L205" s="8" t="s">
        <v>80</v>
      </c>
      <c r="M205" s="9" t="s">
        <v>87</v>
      </c>
      <c r="N205" s="4" t="s">
        <v>1075</v>
      </c>
      <c r="O205" s="4"/>
      <c r="P205" s="4"/>
      <c r="Q205" s="4"/>
      <c r="R205"/>
      <c r="S205"/>
      <c r="T205"/>
      <c r="U205"/>
      <c r="V205"/>
      <c r="W205"/>
      <c r="X205"/>
      <c r="Y205"/>
      <c r="Z205"/>
      <c r="AA205"/>
      <c r="AB205"/>
      <c r="AC205"/>
      <c r="AD205"/>
      <c r="AE205"/>
      <c r="AF205"/>
      <c r="AG205"/>
      <c r="AH205"/>
      <c r="AI205"/>
      <c r="AJ205"/>
      <c r="AK205"/>
      <c r="AL205"/>
    </row>
    <row r="206" spans="1:38" s="3" customFormat="1" ht="78" customHeight="1">
      <c r="A206" s="4" t="s">
        <v>1076</v>
      </c>
      <c r="B206" s="4" t="s">
        <v>1077</v>
      </c>
      <c r="C206" s="4" t="s">
        <v>1078</v>
      </c>
      <c r="D206" s="4" t="s">
        <v>1079</v>
      </c>
      <c r="E206" s="4" t="s">
        <v>365</v>
      </c>
      <c r="F206" s="9">
        <v>5</v>
      </c>
      <c r="G206" s="9">
        <v>2</v>
      </c>
      <c r="H206" s="9">
        <f t="shared" si="11"/>
        <v>10</v>
      </c>
      <c r="I206" s="9"/>
      <c r="J206" s="4" t="s">
        <v>1080</v>
      </c>
      <c r="K206" s="4" t="s">
        <v>790</v>
      </c>
      <c r="L206" s="8" t="s">
        <v>80</v>
      </c>
      <c r="M206" s="9" t="s">
        <v>87</v>
      </c>
      <c r="N206" s="4" t="s">
        <v>1081</v>
      </c>
      <c r="O206" s="4"/>
      <c r="P206" s="4"/>
      <c r="Q206" s="4"/>
      <c r="R206"/>
      <c r="S206"/>
      <c r="T206"/>
      <c r="U206"/>
      <c r="V206"/>
      <c r="W206"/>
      <c r="X206"/>
      <c r="Y206"/>
      <c r="Z206"/>
      <c r="AA206"/>
      <c r="AB206"/>
      <c r="AC206"/>
      <c r="AD206"/>
      <c r="AE206"/>
      <c r="AF206"/>
      <c r="AG206"/>
      <c r="AH206"/>
      <c r="AI206"/>
      <c r="AJ206"/>
      <c r="AK206"/>
      <c r="AL206"/>
    </row>
    <row r="207" spans="1:38" s="3" customFormat="1" ht="43.15">
      <c r="A207" s="4" t="s">
        <v>1082</v>
      </c>
      <c r="B207" s="4" t="s">
        <v>1083</v>
      </c>
      <c r="C207" s="4" t="s">
        <v>1084</v>
      </c>
      <c r="D207" s="4" t="s">
        <v>1085</v>
      </c>
      <c r="E207" s="4" t="s">
        <v>360</v>
      </c>
      <c r="F207" s="9">
        <v>4</v>
      </c>
      <c r="G207" s="9">
        <v>1</v>
      </c>
      <c r="H207" s="9">
        <f t="shared" si="11"/>
        <v>4</v>
      </c>
      <c r="I207" s="9"/>
      <c r="J207" s="4" t="s">
        <v>1086</v>
      </c>
      <c r="K207" s="4" t="s">
        <v>790</v>
      </c>
      <c r="L207" s="8" t="s">
        <v>86</v>
      </c>
      <c r="M207" s="9" t="s">
        <v>60</v>
      </c>
      <c r="N207" s="4" t="s">
        <v>1087</v>
      </c>
      <c r="O207" s="4"/>
      <c r="P207" s="4"/>
      <c r="Q207" s="4"/>
      <c r="R207"/>
      <c r="S207"/>
      <c r="T207"/>
      <c r="U207"/>
      <c r="V207"/>
      <c r="W207"/>
      <c r="X207"/>
      <c r="Y207"/>
      <c r="Z207"/>
      <c r="AA207"/>
      <c r="AB207"/>
      <c r="AC207"/>
      <c r="AD207"/>
      <c r="AE207"/>
      <c r="AF207"/>
      <c r="AG207"/>
      <c r="AH207"/>
      <c r="AI207"/>
      <c r="AJ207"/>
      <c r="AK207"/>
      <c r="AL207"/>
    </row>
    <row r="208" spans="1:38" s="3" customFormat="1" ht="43.15">
      <c r="A208" s="4" t="s">
        <v>1088</v>
      </c>
      <c r="B208" s="4" t="s">
        <v>1089</v>
      </c>
      <c r="C208" s="4" t="s">
        <v>1090</v>
      </c>
      <c r="D208" s="4" t="s">
        <v>1091</v>
      </c>
      <c r="E208" s="4" t="s">
        <v>360</v>
      </c>
      <c r="F208" s="9">
        <v>3</v>
      </c>
      <c r="G208" s="9">
        <v>3</v>
      </c>
      <c r="H208" s="9">
        <f t="shared" si="11"/>
        <v>9</v>
      </c>
      <c r="I208" s="9"/>
      <c r="J208" s="4" t="s">
        <v>790</v>
      </c>
      <c r="K208" s="4" t="s">
        <v>790</v>
      </c>
      <c r="L208" s="8" t="s">
        <v>80</v>
      </c>
      <c r="M208" s="9" t="s">
        <v>87</v>
      </c>
      <c r="N208" s="4" t="s">
        <v>1092</v>
      </c>
      <c r="O208" s="4"/>
      <c r="P208" s="4"/>
      <c r="Q208" s="4"/>
      <c r="R208"/>
      <c r="S208"/>
      <c r="T208"/>
      <c r="U208"/>
      <c r="V208"/>
      <c r="W208"/>
      <c r="X208"/>
      <c r="Y208"/>
      <c r="Z208"/>
      <c r="AA208"/>
      <c r="AB208"/>
      <c r="AC208"/>
      <c r="AD208"/>
      <c r="AE208"/>
      <c r="AF208"/>
      <c r="AG208"/>
      <c r="AH208"/>
      <c r="AI208"/>
      <c r="AJ208"/>
      <c r="AK208"/>
      <c r="AL208"/>
    </row>
    <row r="209" spans="1:38" s="5" customFormat="1" ht="15.6">
      <c r="A209" s="161" t="s">
        <v>1093</v>
      </c>
      <c r="B209" s="161"/>
      <c r="C209" s="161"/>
      <c r="D209" s="161"/>
      <c r="E209" s="161"/>
      <c r="F209" s="161"/>
      <c r="G209" s="161"/>
      <c r="H209" s="161"/>
      <c r="I209" s="161"/>
      <c r="J209" s="161"/>
      <c r="K209" s="161"/>
      <c r="L209" s="161"/>
      <c r="M209" s="161"/>
      <c r="N209" s="161"/>
      <c r="O209" s="161"/>
      <c r="P209" s="161"/>
      <c r="Q209" s="161"/>
      <c r="R209"/>
      <c r="S209"/>
      <c r="T209"/>
      <c r="U209"/>
      <c r="V209"/>
      <c r="W209"/>
      <c r="X209"/>
      <c r="Y209"/>
      <c r="Z209"/>
      <c r="AA209"/>
      <c r="AB209"/>
      <c r="AC209"/>
      <c r="AD209"/>
      <c r="AE209"/>
      <c r="AF209"/>
      <c r="AG209"/>
      <c r="AH209"/>
      <c r="AI209"/>
      <c r="AJ209"/>
      <c r="AK209"/>
      <c r="AL209"/>
    </row>
    <row r="210" spans="1:38" s="3" customFormat="1" ht="43.15">
      <c r="A210" s="4" t="s">
        <v>1094</v>
      </c>
      <c r="B210" s="4" t="s">
        <v>1095</v>
      </c>
      <c r="C210" s="4" t="s">
        <v>1096</v>
      </c>
      <c r="D210" s="4" t="s">
        <v>1097</v>
      </c>
      <c r="E210" s="4" t="s">
        <v>465</v>
      </c>
      <c r="F210" s="9">
        <v>5</v>
      </c>
      <c r="G210" s="9">
        <v>2</v>
      </c>
      <c r="H210" s="9">
        <f t="shared" ref="H210:H216" si="12">F210*G210</f>
        <v>10</v>
      </c>
      <c r="I210" s="9" t="s">
        <v>72</v>
      </c>
      <c r="J210" s="4"/>
      <c r="K210" s="4"/>
      <c r="L210" s="8" t="s">
        <v>86</v>
      </c>
      <c r="M210" s="9" t="s">
        <v>25</v>
      </c>
      <c r="N210" s="4" t="s">
        <v>1098</v>
      </c>
      <c r="O210" s="4"/>
      <c r="P210" s="4"/>
      <c r="Q210" s="4"/>
      <c r="R210"/>
      <c r="S210"/>
      <c r="T210"/>
      <c r="U210"/>
      <c r="V210"/>
      <c r="W210"/>
      <c r="X210"/>
      <c r="Y210"/>
      <c r="Z210"/>
      <c r="AA210"/>
      <c r="AB210"/>
      <c r="AC210"/>
      <c r="AD210"/>
      <c r="AE210"/>
      <c r="AF210"/>
      <c r="AG210"/>
      <c r="AH210"/>
      <c r="AI210"/>
      <c r="AJ210"/>
      <c r="AK210"/>
      <c r="AL210"/>
    </row>
    <row r="211" spans="1:38" s="3" customFormat="1" ht="28.9">
      <c r="A211" s="4" t="s">
        <v>1099</v>
      </c>
      <c r="B211" s="4" t="s">
        <v>1100</v>
      </c>
      <c r="C211" s="4" t="s">
        <v>1101</v>
      </c>
      <c r="D211" s="4" t="s">
        <v>1102</v>
      </c>
      <c r="E211" s="4" t="s">
        <v>472</v>
      </c>
      <c r="F211" s="9">
        <v>5</v>
      </c>
      <c r="G211" s="9">
        <v>2</v>
      </c>
      <c r="H211" s="9">
        <f t="shared" si="12"/>
        <v>10</v>
      </c>
      <c r="I211" s="9" t="s">
        <v>72</v>
      </c>
      <c r="J211" s="4" t="s">
        <v>790</v>
      </c>
      <c r="K211" s="4"/>
      <c r="L211" s="8" t="s">
        <v>80</v>
      </c>
      <c r="M211" s="9" t="s">
        <v>25</v>
      </c>
      <c r="N211" s="4" t="s">
        <v>1103</v>
      </c>
      <c r="O211" s="4"/>
      <c r="P211" s="4"/>
      <c r="Q211" s="4"/>
      <c r="R211"/>
      <c r="S211"/>
      <c r="T211"/>
      <c r="U211"/>
      <c r="V211"/>
      <c r="W211"/>
      <c r="X211"/>
      <c r="Y211"/>
      <c r="Z211"/>
      <c r="AA211"/>
      <c r="AB211"/>
      <c r="AC211"/>
      <c r="AD211"/>
      <c r="AE211"/>
      <c r="AF211"/>
      <c r="AG211"/>
      <c r="AH211"/>
      <c r="AI211"/>
      <c r="AJ211"/>
      <c r="AK211"/>
      <c r="AL211"/>
    </row>
    <row r="212" spans="1:38" s="3" customFormat="1" ht="43.15">
      <c r="A212" s="4" t="s">
        <v>1104</v>
      </c>
      <c r="B212" s="4" t="s">
        <v>1105</v>
      </c>
      <c r="C212" s="4" t="s">
        <v>1106</v>
      </c>
      <c r="D212" s="4" t="s">
        <v>1107</v>
      </c>
      <c r="E212" s="4" t="s">
        <v>1108</v>
      </c>
      <c r="F212" s="9">
        <v>2</v>
      </c>
      <c r="G212" s="9">
        <v>2</v>
      </c>
      <c r="H212" s="9">
        <f t="shared" si="12"/>
        <v>4</v>
      </c>
      <c r="I212" s="9" t="s">
        <v>72</v>
      </c>
      <c r="J212" s="4"/>
      <c r="K212" s="4"/>
      <c r="L212" s="8" t="s">
        <v>86</v>
      </c>
      <c r="M212" s="9" t="s">
        <v>25</v>
      </c>
      <c r="N212" s="4" t="s">
        <v>1109</v>
      </c>
      <c r="O212" s="4"/>
      <c r="P212" s="4"/>
      <c r="Q212" s="4"/>
      <c r="R212"/>
      <c r="S212"/>
      <c r="T212"/>
      <c r="U212"/>
      <c r="V212"/>
      <c r="W212"/>
      <c r="X212"/>
      <c r="Y212"/>
      <c r="Z212"/>
      <c r="AA212"/>
      <c r="AB212"/>
      <c r="AC212"/>
      <c r="AD212"/>
      <c r="AE212"/>
      <c r="AF212"/>
      <c r="AG212"/>
      <c r="AH212"/>
      <c r="AI212"/>
      <c r="AJ212"/>
      <c r="AK212"/>
      <c r="AL212"/>
    </row>
    <row r="213" spans="1:38" s="3" customFormat="1" ht="28.9">
      <c r="A213" s="4" t="s">
        <v>1110</v>
      </c>
      <c r="B213" s="4" t="s">
        <v>758</v>
      </c>
      <c r="C213" s="4" t="s">
        <v>1111</v>
      </c>
      <c r="D213" s="4" t="s">
        <v>1112</v>
      </c>
      <c r="E213" s="4"/>
      <c r="F213" s="9">
        <v>3</v>
      </c>
      <c r="G213" s="9">
        <v>3</v>
      </c>
      <c r="H213" s="9">
        <f t="shared" si="12"/>
        <v>9</v>
      </c>
      <c r="I213" s="9" t="s">
        <v>72</v>
      </c>
      <c r="J213" s="4" t="s">
        <v>790</v>
      </c>
      <c r="K213" s="4"/>
      <c r="L213" s="8" t="s">
        <v>80</v>
      </c>
      <c r="M213" s="9" t="s">
        <v>1113</v>
      </c>
      <c r="N213" s="4" t="s">
        <v>1114</v>
      </c>
      <c r="O213" s="4"/>
      <c r="P213" s="4"/>
      <c r="Q213" s="4"/>
      <c r="R213"/>
      <c r="S213"/>
      <c r="T213"/>
      <c r="U213"/>
      <c r="V213"/>
      <c r="W213"/>
      <c r="X213"/>
      <c r="Y213"/>
      <c r="Z213"/>
      <c r="AA213"/>
      <c r="AB213"/>
      <c r="AC213"/>
      <c r="AD213"/>
      <c r="AE213"/>
      <c r="AF213"/>
      <c r="AG213"/>
      <c r="AH213"/>
      <c r="AI213"/>
      <c r="AJ213"/>
      <c r="AK213"/>
      <c r="AL213"/>
    </row>
    <row r="214" spans="1:38" s="3" customFormat="1" ht="28.9">
      <c r="A214" s="4" t="s">
        <v>1115</v>
      </c>
      <c r="B214" s="4" t="s">
        <v>1116</v>
      </c>
      <c r="C214" s="4" t="s">
        <v>1117</v>
      </c>
      <c r="D214" s="4" t="s">
        <v>1118</v>
      </c>
      <c r="E214" s="4" t="s">
        <v>1119</v>
      </c>
      <c r="F214" s="9">
        <v>5</v>
      </c>
      <c r="G214" s="9">
        <v>2</v>
      </c>
      <c r="H214" s="9">
        <f t="shared" si="12"/>
        <v>10</v>
      </c>
      <c r="I214" s="9" t="s">
        <v>72</v>
      </c>
      <c r="J214" s="4"/>
      <c r="K214" s="4"/>
      <c r="L214" s="8" t="s">
        <v>80</v>
      </c>
      <c r="M214" s="9" t="s">
        <v>25</v>
      </c>
      <c r="N214" s="4" t="s">
        <v>1120</v>
      </c>
      <c r="O214" s="4"/>
      <c r="P214" s="4"/>
      <c r="Q214" s="4"/>
      <c r="R214"/>
      <c r="S214"/>
      <c r="T214"/>
      <c r="U214"/>
      <c r="V214"/>
      <c r="W214"/>
      <c r="X214"/>
      <c r="Y214"/>
      <c r="Z214"/>
      <c r="AA214"/>
      <c r="AB214"/>
      <c r="AC214"/>
      <c r="AD214"/>
      <c r="AE214"/>
      <c r="AF214"/>
      <c r="AG214"/>
      <c r="AH214"/>
      <c r="AI214"/>
      <c r="AJ214"/>
      <c r="AK214"/>
      <c r="AL214"/>
    </row>
    <row r="215" spans="1:38" s="3" customFormat="1" ht="28.9">
      <c r="A215" s="4" t="s">
        <v>1108</v>
      </c>
      <c r="B215" s="4" t="s">
        <v>1121</v>
      </c>
      <c r="C215" s="4" t="s">
        <v>1122</v>
      </c>
      <c r="D215" s="4" t="s">
        <v>1123</v>
      </c>
      <c r="E215" s="4"/>
      <c r="F215" s="9">
        <v>2</v>
      </c>
      <c r="G215" s="9">
        <v>1</v>
      </c>
      <c r="H215" s="9">
        <f t="shared" si="12"/>
        <v>2</v>
      </c>
      <c r="I215" s="9" t="s">
        <v>72</v>
      </c>
      <c r="J215" s="4"/>
      <c r="K215" s="4"/>
      <c r="L215" s="8" t="s">
        <v>80</v>
      </c>
      <c r="M215" s="9" t="s">
        <v>25</v>
      </c>
      <c r="N215" s="4" t="s">
        <v>1124</v>
      </c>
      <c r="O215" s="4"/>
      <c r="P215" s="4"/>
      <c r="Q215" s="4"/>
      <c r="R215"/>
      <c r="S215"/>
      <c r="T215"/>
      <c r="U215"/>
      <c r="V215"/>
      <c r="W215"/>
      <c r="X215"/>
      <c r="Y215"/>
      <c r="Z215"/>
      <c r="AA215"/>
      <c r="AB215"/>
      <c r="AC215"/>
      <c r="AD215"/>
      <c r="AE215"/>
      <c r="AF215"/>
      <c r="AG215"/>
      <c r="AH215"/>
      <c r="AI215"/>
      <c r="AJ215"/>
      <c r="AK215"/>
      <c r="AL215"/>
    </row>
    <row r="216" spans="1:38" s="3" customFormat="1" ht="28.9">
      <c r="A216" s="4" t="s">
        <v>1125</v>
      </c>
      <c r="B216" s="4" t="s">
        <v>1126</v>
      </c>
      <c r="C216" s="4" t="s">
        <v>1127</v>
      </c>
      <c r="D216" s="4" t="s">
        <v>1128</v>
      </c>
      <c r="E216" s="4" t="s">
        <v>1129</v>
      </c>
      <c r="F216" s="9">
        <v>3</v>
      </c>
      <c r="G216" s="9">
        <v>4</v>
      </c>
      <c r="H216" s="9">
        <f t="shared" si="12"/>
        <v>12</v>
      </c>
      <c r="I216" s="9" t="s">
        <v>72</v>
      </c>
      <c r="J216" s="4" t="s">
        <v>1130</v>
      </c>
      <c r="K216" s="4"/>
      <c r="L216" s="8" t="s">
        <v>80</v>
      </c>
      <c r="M216" s="9" t="s">
        <v>87</v>
      </c>
      <c r="N216" s="4" t="s">
        <v>1131</v>
      </c>
      <c r="O216" s="4"/>
      <c r="P216" s="4"/>
      <c r="Q216" s="4"/>
      <c r="R216"/>
      <c r="S216"/>
      <c r="T216"/>
      <c r="U216"/>
      <c r="V216"/>
      <c r="W216"/>
      <c r="X216"/>
      <c r="Y216"/>
      <c r="Z216"/>
      <c r="AA216"/>
      <c r="AB216"/>
      <c r="AC216"/>
      <c r="AD216"/>
      <c r="AE216"/>
      <c r="AF216"/>
      <c r="AG216"/>
      <c r="AH216"/>
      <c r="AI216"/>
      <c r="AJ216"/>
      <c r="AK216"/>
      <c r="AL216"/>
    </row>
    <row r="217" spans="1:38" s="5" customFormat="1" ht="15.6">
      <c r="A217" s="161" t="s">
        <v>1132</v>
      </c>
      <c r="B217" s="161"/>
      <c r="C217" s="161"/>
      <c r="D217" s="161"/>
      <c r="E217" s="161"/>
      <c r="F217" s="161"/>
      <c r="G217" s="161"/>
      <c r="H217" s="161"/>
      <c r="I217" s="161"/>
      <c r="J217" s="161"/>
      <c r="K217" s="161"/>
      <c r="L217" s="161"/>
      <c r="M217" s="161"/>
      <c r="N217" s="161"/>
      <c r="O217" s="161"/>
      <c r="P217" s="161"/>
      <c r="Q217" s="161"/>
      <c r="R217"/>
      <c r="S217"/>
      <c r="T217"/>
      <c r="U217"/>
      <c r="V217"/>
      <c r="W217"/>
      <c r="X217"/>
      <c r="Y217"/>
      <c r="Z217"/>
      <c r="AA217"/>
      <c r="AB217"/>
      <c r="AC217"/>
      <c r="AD217"/>
      <c r="AE217"/>
      <c r="AF217"/>
      <c r="AG217"/>
      <c r="AH217"/>
      <c r="AI217"/>
      <c r="AJ217"/>
      <c r="AK217"/>
      <c r="AL217"/>
    </row>
    <row r="218" spans="1:38" s="3" customFormat="1" ht="28.9">
      <c r="A218" s="4" t="s">
        <v>1133</v>
      </c>
      <c r="B218" s="4" t="s">
        <v>1134</v>
      </c>
      <c r="C218" s="4" t="s">
        <v>1135</v>
      </c>
      <c r="D218" s="4" t="s">
        <v>1136</v>
      </c>
      <c r="E218" s="4" t="s">
        <v>465</v>
      </c>
      <c r="F218" s="9">
        <v>5</v>
      </c>
      <c r="G218" s="9">
        <v>3</v>
      </c>
      <c r="H218" s="9">
        <f t="shared" ref="H218:H224" si="13">F218*G218</f>
        <v>15</v>
      </c>
      <c r="I218" s="9"/>
      <c r="J218" s="4"/>
      <c r="K218" s="4"/>
      <c r="L218" s="8" t="s">
        <v>24</v>
      </c>
      <c r="M218" s="9" t="s">
        <v>1137</v>
      </c>
      <c r="N218" s="4" t="s">
        <v>1138</v>
      </c>
      <c r="O218" s="4"/>
      <c r="P218" s="4"/>
      <c r="Q218" s="4"/>
      <c r="R218"/>
      <c r="S218"/>
      <c r="T218"/>
      <c r="U218"/>
      <c r="V218"/>
      <c r="W218"/>
      <c r="X218"/>
      <c r="Y218"/>
      <c r="Z218"/>
      <c r="AA218"/>
      <c r="AB218"/>
      <c r="AC218"/>
      <c r="AD218"/>
      <c r="AE218"/>
      <c r="AF218"/>
      <c r="AG218"/>
      <c r="AH218"/>
      <c r="AI218"/>
      <c r="AJ218"/>
      <c r="AK218"/>
      <c r="AL218"/>
    </row>
    <row r="219" spans="1:38" s="3" customFormat="1" ht="28.9">
      <c r="A219" s="4" t="s">
        <v>1139</v>
      </c>
      <c r="B219" s="4" t="s">
        <v>1140</v>
      </c>
      <c r="C219" s="4" t="s">
        <v>1141</v>
      </c>
      <c r="D219" s="4" t="s">
        <v>1142</v>
      </c>
      <c r="E219" s="4" t="s">
        <v>465</v>
      </c>
      <c r="F219" s="9">
        <v>5</v>
      </c>
      <c r="G219" s="9">
        <v>3</v>
      </c>
      <c r="H219" s="9">
        <f t="shared" si="13"/>
        <v>15</v>
      </c>
      <c r="I219" s="9"/>
      <c r="J219" s="4"/>
      <c r="K219" s="4"/>
      <c r="L219" s="8" t="s">
        <v>24</v>
      </c>
      <c r="M219" s="9" t="s">
        <v>25</v>
      </c>
      <c r="N219" s="4" t="s">
        <v>1143</v>
      </c>
      <c r="O219" s="4"/>
      <c r="P219" s="4"/>
      <c r="Q219" s="4"/>
      <c r="R219"/>
      <c r="S219"/>
      <c r="T219"/>
      <c r="U219"/>
      <c r="V219"/>
      <c r="W219"/>
      <c r="X219"/>
      <c r="Y219"/>
      <c r="Z219"/>
      <c r="AA219"/>
      <c r="AB219"/>
      <c r="AC219"/>
      <c r="AD219"/>
      <c r="AE219"/>
      <c r="AF219"/>
      <c r="AG219"/>
      <c r="AH219"/>
      <c r="AI219"/>
      <c r="AJ219"/>
      <c r="AK219"/>
      <c r="AL219"/>
    </row>
    <row r="220" spans="1:38" s="3" customFormat="1" ht="57.6">
      <c r="A220" s="37" t="s">
        <v>1144</v>
      </c>
      <c r="B220" s="37" t="s">
        <v>824</v>
      </c>
      <c r="C220" s="37" t="s">
        <v>1145</v>
      </c>
      <c r="D220" s="37" t="s">
        <v>1146</v>
      </c>
      <c r="E220" s="37" t="s">
        <v>465</v>
      </c>
      <c r="F220" s="9">
        <v>2</v>
      </c>
      <c r="G220" s="9">
        <v>2</v>
      </c>
      <c r="H220" s="9">
        <f t="shared" si="13"/>
        <v>4</v>
      </c>
      <c r="I220" s="9"/>
      <c r="J220" s="4"/>
      <c r="K220" s="4"/>
      <c r="L220" s="8" t="s">
        <v>24</v>
      </c>
      <c r="M220" s="9" t="s">
        <v>1113</v>
      </c>
      <c r="N220" s="4" t="s">
        <v>1147</v>
      </c>
      <c r="O220" s="4"/>
      <c r="P220" s="66"/>
      <c r="Q220" s="4"/>
      <c r="R220"/>
      <c r="S220"/>
      <c r="T220"/>
      <c r="U220"/>
      <c r="V220"/>
      <c r="W220"/>
      <c r="X220"/>
      <c r="Y220"/>
      <c r="Z220"/>
      <c r="AA220"/>
      <c r="AB220"/>
      <c r="AC220"/>
      <c r="AD220"/>
      <c r="AE220"/>
      <c r="AF220"/>
      <c r="AG220"/>
      <c r="AH220"/>
      <c r="AI220"/>
      <c r="AJ220"/>
      <c r="AK220"/>
      <c r="AL220"/>
    </row>
    <row r="221" spans="1:38" s="3" customFormat="1" ht="28.9">
      <c r="A221" s="4" t="s">
        <v>1148</v>
      </c>
      <c r="B221" s="4" t="s">
        <v>1149</v>
      </c>
      <c r="C221" s="4" t="s">
        <v>1150</v>
      </c>
      <c r="D221" s="4" t="s">
        <v>1151</v>
      </c>
      <c r="E221" s="4" t="s">
        <v>1152</v>
      </c>
      <c r="F221" s="9">
        <v>3</v>
      </c>
      <c r="G221" s="9">
        <v>3</v>
      </c>
      <c r="H221" s="9">
        <f t="shared" si="13"/>
        <v>9</v>
      </c>
      <c r="I221" s="9"/>
      <c r="J221" s="4"/>
      <c r="K221" s="4"/>
      <c r="L221" s="8" t="s">
        <v>24</v>
      </c>
      <c r="M221" s="9" t="s">
        <v>25</v>
      </c>
      <c r="N221" s="4" t="s">
        <v>1153</v>
      </c>
      <c r="O221" s="4"/>
      <c r="P221" s="4"/>
      <c r="Q221" s="4"/>
      <c r="R221"/>
      <c r="S221"/>
      <c r="T221"/>
      <c r="U221"/>
      <c r="V221"/>
      <c r="W221"/>
      <c r="X221"/>
      <c r="Y221"/>
      <c r="Z221"/>
      <c r="AA221"/>
      <c r="AB221"/>
      <c r="AC221"/>
      <c r="AD221"/>
      <c r="AE221"/>
      <c r="AF221"/>
      <c r="AG221"/>
      <c r="AH221"/>
      <c r="AI221"/>
      <c r="AJ221"/>
      <c r="AK221"/>
      <c r="AL221"/>
    </row>
    <row r="222" spans="1:38" s="3" customFormat="1" ht="72">
      <c r="A222" s="4" t="s">
        <v>1154</v>
      </c>
      <c r="B222" s="4" t="s">
        <v>1155</v>
      </c>
      <c r="C222" s="4" t="s">
        <v>1156</v>
      </c>
      <c r="D222" s="4" t="s">
        <v>1157</v>
      </c>
      <c r="E222" s="4" t="s">
        <v>477</v>
      </c>
      <c r="F222" s="9">
        <v>3</v>
      </c>
      <c r="G222" s="9">
        <v>2</v>
      </c>
      <c r="H222" s="9">
        <f t="shared" si="13"/>
        <v>6</v>
      </c>
      <c r="I222" s="9"/>
      <c r="J222" s="4"/>
      <c r="K222" s="4"/>
      <c r="L222" s="8"/>
      <c r="M222" s="9" t="s">
        <v>25</v>
      </c>
      <c r="N222" s="4" t="s">
        <v>1158</v>
      </c>
      <c r="O222" s="4"/>
      <c r="P222" s="4"/>
      <c r="Q222" s="4"/>
      <c r="R222"/>
      <c r="S222"/>
      <c r="T222"/>
      <c r="U222"/>
      <c r="V222"/>
      <c r="W222"/>
      <c r="X222"/>
      <c r="Y222"/>
      <c r="Z222"/>
      <c r="AA222"/>
      <c r="AB222"/>
      <c r="AC222"/>
      <c r="AD222"/>
      <c r="AE222"/>
      <c r="AF222"/>
      <c r="AG222"/>
      <c r="AH222"/>
      <c r="AI222"/>
      <c r="AJ222"/>
      <c r="AK222"/>
      <c r="AL222"/>
    </row>
    <row r="223" spans="1:38" s="3" customFormat="1" ht="28.9">
      <c r="A223" s="4" t="s">
        <v>1159</v>
      </c>
      <c r="B223" s="4" t="s">
        <v>1160</v>
      </c>
      <c r="C223" s="4" t="s">
        <v>1161</v>
      </c>
      <c r="D223" s="4"/>
      <c r="E223" s="4" t="s">
        <v>477</v>
      </c>
      <c r="F223" s="9">
        <v>5</v>
      </c>
      <c r="G223" s="9">
        <v>3</v>
      </c>
      <c r="H223" s="9">
        <f t="shared" si="13"/>
        <v>15</v>
      </c>
      <c r="I223" s="9"/>
      <c r="J223" s="4"/>
      <c r="K223" s="4"/>
      <c r="L223" s="8" t="s">
        <v>24</v>
      </c>
      <c r="M223" s="9" t="s">
        <v>25</v>
      </c>
      <c r="N223" s="4" t="s">
        <v>1162</v>
      </c>
      <c r="O223" s="4"/>
      <c r="P223" s="4"/>
      <c r="Q223" s="4"/>
      <c r="R223"/>
      <c r="S223"/>
      <c r="T223"/>
      <c r="U223"/>
      <c r="V223"/>
      <c r="W223"/>
      <c r="X223"/>
      <c r="Y223"/>
      <c r="Z223"/>
      <c r="AA223"/>
      <c r="AB223"/>
      <c r="AC223"/>
      <c r="AD223"/>
      <c r="AE223"/>
      <c r="AF223"/>
      <c r="AG223"/>
      <c r="AH223"/>
      <c r="AI223"/>
      <c r="AJ223"/>
      <c r="AK223"/>
      <c r="AL223"/>
    </row>
    <row r="224" spans="1:38" s="3" customFormat="1" ht="43.15">
      <c r="A224" s="4" t="s">
        <v>1163</v>
      </c>
      <c r="B224" s="4" t="s">
        <v>1164</v>
      </c>
      <c r="C224" s="4" t="s">
        <v>1165</v>
      </c>
      <c r="D224" s="4" t="s">
        <v>1166</v>
      </c>
      <c r="E224" s="4" t="s">
        <v>185</v>
      </c>
      <c r="F224" s="9">
        <v>2</v>
      </c>
      <c r="G224" s="9">
        <v>2</v>
      </c>
      <c r="H224" s="9">
        <f t="shared" si="13"/>
        <v>4</v>
      </c>
      <c r="I224" s="9"/>
      <c r="J224" s="4"/>
      <c r="K224" s="4"/>
      <c r="L224" s="8"/>
      <c r="M224" s="9" t="s">
        <v>1137</v>
      </c>
      <c r="N224" s="4" t="s">
        <v>1167</v>
      </c>
      <c r="O224" s="4"/>
      <c r="P224" s="4"/>
      <c r="Q224" s="4"/>
      <c r="R224"/>
      <c r="S224"/>
      <c r="T224"/>
      <c r="U224"/>
      <c r="V224"/>
      <c r="W224"/>
      <c r="X224"/>
      <c r="Y224"/>
      <c r="Z224"/>
      <c r="AA224"/>
      <c r="AB224"/>
      <c r="AC224"/>
      <c r="AD224"/>
      <c r="AE224"/>
      <c r="AF224"/>
      <c r="AG224"/>
      <c r="AH224"/>
      <c r="AI224"/>
      <c r="AJ224"/>
      <c r="AK224"/>
      <c r="AL224"/>
    </row>
    <row r="225" spans="1:38" s="3" customFormat="1" ht="13.5" customHeight="1">
      <c r="A225" s="161" t="s">
        <v>1168</v>
      </c>
      <c r="B225" s="161"/>
      <c r="C225" s="161"/>
      <c r="D225" s="161"/>
      <c r="E225" s="161"/>
      <c r="F225" s="161"/>
      <c r="G225" s="161"/>
      <c r="H225" s="161"/>
      <c r="I225" s="161"/>
      <c r="J225" s="161"/>
      <c r="K225" s="161"/>
      <c r="L225" s="161"/>
      <c r="M225" s="161"/>
      <c r="N225" s="161"/>
      <c r="O225" s="161"/>
      <c r="P225" s="161"/>
      <c r="Q225" s="161"/>
      <c r="R225"/>
      <c r="S225"/>
      <c r="T225"/>
      <c r="U225"/>
      <c r="V225"/>
      <c r="W225"/>
      <c r="X225"/>
      <c r="Y225"/>
      <c r="Z225"/>
      <c r="AA225"/>
      <c r="AB225"/>
      <c r="AC225"/>
      <c r="AD225"/>
      <c r="AE225"/>
      <c r="AF225"/>
      <c r="AG225"/>
      <c r="AH225"/>
      <c r="AI225"/>
      <c r="AJ225"/>
      <c r="AK225"/>
      <c r="AL225"/>
    </row>
    <row r="226" spans="1:38" s="3" customFormat="1" ht="29.1" customHeight="1">
      <c r="A226" s="4" t="s">
        <v>1169</v>
      </c>
      <c r="B226" s="4"/>
      <c r="C226" s="4"/>
      <c r="D226" s="4"/>
      <c r="E226" s="4"/>
      <c r="F226" s="4"/>
      <c r="G226" s="4"/>
      <c r="H226" s="4"/>
      <c r="I226" s="9"/>
      <c r="J226" s="4"/>
      <c r="K226" s="4"/>
      <c r="L226" s="8" t="s">
        <v>24</v>
      </c>
      <c r="M226" s="4"/>
      <c r="N226" s="4"/>
      <c r="O226" s="4"/>
      <c r="P226" s="4"/>
      <c r="Q226" s="4"/>
      <c r="R226"/>
      <c r="S226"/>
      <c r="T226"/>
      <c r="U226"/>
      <c r="V226"/>
      <c r="W226"/>
      <c r="X226"/>
      <c r="Y226"/>
      <c r="Z226"/>
      <c r="AA226"/>
      <c r="AB226"/>
      <c r="AC226"/>
      <c r="AD226"/>
      <c r="AE226"/>
      <c r="AF226"/>
      <c r="AG226"/>
      <c r="AH226"/>
      <c r="AI226"/>
      <c r="AJ226"/>
      <c r="AK226"/>
      <c r="AL226"/>
    </row>
    <row r="227" spans="1:38" s="3" customFormat="1" ht="14.45">
      <c r="A227" s="4" t="s">
        <v>1170</v>
      </c>
      <c r="B227" s="4"/>
      <c r="C227" s="4"/>
      <c r="D227" s="4"/>
      <c r="E227" s="4"/>
      <c r="F227" s="9"/>
      <c r="G227" s="9"/>
      <c r="H227" s="9"/>
      <c r="I227" s="9"/>
      <c r="J227" s="4"/>
      <c r="K227" s="4"/>
      <c r="L227" s="8" t="s">
        <v>24</v>
      </c>
      <c r="M227" s="4"/>
      <c r="N227" s="4"/>
      <c r="O227" s="4"/>
      <c r="P227" s="4"/>
      <c r="Q227" s="4"/>
      <c r="R227"/>
      <c r="S227"/>
      <c r="T227"/>
      <c r="U227"/>
      <c r="V227"/>
      <c r="W227"/>
      <c r="X227"/>
      <c r="Y227"/>
      <c r="Z227"/>
      <c r="AA227"/>
      <c r="AB227"/>
      <c r="AC227"/>
      <c r="AD227"/>
      <c r="AE227"/>
      <c r="AF227"/>
      <c r="AG227"/>
      <c r="AH227"/>
      <c r="AI227"/>
      <c r="AJ227"/>
      <c r="AK227"/>
      <c r="AL227"/>
    </row>
    <row r="228" spans="1:38" s="3" customFormat="1" ht="14.45">
      <c r="A228" s="4" t="s">
        <v>1171</v>
      </c>
      <c r="B228" s="4"/>
      <c r="C228" s="4"/>
      <c r="D228" s="4"/>
      <c r="E228" s="4"/>
      <c r="F228" s="9"/>
      <c r="G228" s="9"/>
      <c r="H228" s="9"/>
      <c r="I228" s="9"/>
      <c r="J228" s="4"/>
      <c r="K228" s="4"/>
      <c r="L228" s="8" t="s">
        <v>24</v>
      </c>
      <c r="M228" s="4"/>
      <c r="N228" s="4"/>
      <c r="O228" s="4"/>
      <c r="P228" s="4"/>
      <c r="Q228" s="4"/>
      <c r="R228"/>
      <c r="S228"/>
      <c r="T228"/>
      <c r="U228"/>
      <c r="V228"/>
      <c r="W228"/>
      <c r="X228"/>
      <c r="Y228"/>
      <c r="Z228"/>
      <c r="AA228"/>
      <c r="AB228"/>
      <c r="AC228"/>
      <c r="AD228"/>
      <c r="AE228"/>
      <c r="AF228"/>
      <c r="AG228"/>
      <c r="AH228"/>
      <c r="AI228"/>
      <c r="AJ228"/>
      <c r="AK228"/>
      <c r="AL228"/>
    </row>
    <row r="229" spans="1:38" s="3" customFormat="1" ht="14.45">
      <c r="A229" s="4" t="s">
        <v>1172</v>
      </c>
      <c r="B229" s="4"/>
      <c r="C229" s="4"/>
      <c r="D229" s="4"/>
      <c r="E229" s="4"/>
      <c r="F229" s="9"/>
      <c r="G229" s="9"/>
      <c r="H229" s="9"/>
      <c r="I229" s="9"/>
      <c r="J229" s="4"/>
      <c r="K229" s="4"/>
      <c r="L229" s="8" t="s">
        <v>24</v>
      </c>
      <c r="M229" s="4"/>
      <c r="N229" s="4"/>
      <c r="O229" s="4"/>
      <c r="P229" s="4"/>
      <c r="Q229" s="4"/>
      <c r="R229"/>
      <c r="S229"/>
      <c r="T229"/>
      <c r="U229"/>
      <c r="V229"/>
      <c r="W229"/>
      <c r="X229"/>
      <c r="Y229"/>
      <c r="Z229"/>
      <c r="AA229"/>
      <c r="AB229"/>
      <c r="AC229"/>
      <c r="AD229"/>
      <c r="AE229"/>
      <c r="AF229"/>
      <c r="AG229"/>
      <c r="AH229"/>
      <c r="AI229"/>
      <c r="AJ229"/>
      <c r="AK229"/>
      <c r="AL229"/>
    </row>
    <row r="230" spans="1:38" s="3" customFormat="1" ht="14.45">
      <c r="A230" s="4" t="s">
        <v>1173</v>
      </c>
      <c r="B230" s="4"/>
      <c r="C230" s="4"/>
      <c r="D230" s="4"/>
      <c r="E230" s="4"/>
      <c r="F230" s="9"/>
      <c r="G230" s="9"/>
      <c r="H230" s="9"/>
      <c r="I230" s="9"/>
      <c r="J230" s="4"/>
      <c r="K230" s="4"/>
      <c r="L230" s="8" t="s">
        <v>24</v>
      </c>
      <c r="M230" s="4"/>
      <c r="N230" s="4"/>
      <c r="O230" s="4"/>
      <c r="P230" s="4"/>
      <c r="Q230" s="4"/>
      <c r="R230"/>
      <c r="S230"/>
      <c r="T230"/>
      <c r="U230"/>
      <c r="V230"/>
      <c r="W230"/>
      <c r="X230"/>
      <c r="Y230"/>
      <c r="Z230"/>
      <c r="AA230"/>
      <c r="AB230"/>
      <c r="AC230"/>
      <c r="AD230"/>
      <c r="AE230"/>
      <c r="AF230"/>
      <c r="AG230"/>
      <c r="AH230"/>
      <c r="AI230"/>
      <c r="AJ230"/>
      <c r="AK230"/>
      <c r="AL230"/>
    </row>
    <row r="231" spans="1:38" s="3" customFormat="1" ht="15.6">
      <c r="A231" s="161" t="s">
        <v>1174</v>
      </c>
      <c r="B231" s="161"/>
      <c r="C231" s="161"/>
      <c r="D231" s="161"/>
      <c r="E231" s="161"/>
      <c r="F231" s="161"/>
      <c r="G231" s="161"/>
      <c r="H231" s="161"/>
      <c r="I231" s="161"/>
      <c r="J231" s="161"/>
      <c r="K231" s="161"/>
      <c r="L231" s="161"/>
      <c r="M231" s="161"/>
      <c r="N231" s="161"/>
      <c r="O231" s="161"/>
      <c r="P231" s="161"/>
      <c r="Q231" s="161"/>
      <c r="R231"/>
      <c r="S231"/>
      <c r="T231"/>
      <c r="U231"/>
      <c r="V231"/>
      <c r="W231"/>
      <c r="X231"/>
      <c r="Y231"/>
      <c r="Z231"/>
      <c r="AA231"/>
      <c r="AB231"/>
      <c r="AC231"/>
      <c r="AD231"/>
      <c r="AE231"/>
      <c r="AF231"/>
      <c r="AG231"/>
      <c r="AH231"/>
      <c r="AI231"/>
      <c r="AJ231"/>
      <c r="AK231"/>
      <c r="AL231"/>
    </row>
    <row r="232" spans="1:38" s="3" customFormat="1" ht="28.9">
      <c r="A232" s="4" t="s">
        <v>1175</v>
      </c>
      <c r="B232" s="4" t="s">
        <v>1176</v>
      </c>
      <c r="C232" s="4" t="s">
        <v>1177</v>
      </c>
      <c r="D232" s="4" t="s">
        <v>1178</v>
      </c>
      <c r="E232" s="4" t="s">
        <v>999</v>
      </c>
      <c r="F232" s="9">
        <v>4</v>
      </c>
      <c r="G232" s="9">
        <v>1</v>
      </c>
      <c r="H232" s="9">
        <f t="shared" ref="H232" si="14">F232*G232</f>
        <v>4</v>
      </c>
      <c r="I232" s="9" t="s">
        <v>72</v>
      </c>
      <c r="J232" s="4" t="s">
        <v>735</v>
      </c>
      <c r="K232" s="4" t="s">
        <v>1179</v>
      </c>
      <c r="L232" s="55" t="s">
        <v>73</v>
      </c>
      <c r="M232" s="9" t="s">
        <v>87</v>
      </c>
      <c r="N232" s="4" t="s">
        <v>1180</v>
      </c>
      <c r="O232" s="4"/>
      <c r="P232" s="4"/>
      <c r="Q232" s="4"/>
      <c r="R232"/>
      <c r="S232"/>
      <c r="T232"/>
      <c r="U232"/>
      <c r="V232"/>
      <c r="W232"/>
      <c r="X232"/>
      <c r="Y232"/>
      <c r="Z232"/>
      <c r="AA232"/>
      <c r="AB232"/>
      <c r="AC232"/>
      <c r="AD232"/>
      <c r="AE232"/>
      <c r="AF232"/>
      <c r="AG232"/>
      <c r="AH232"/>
      <c r="AI232"/>
      <c r="AJ232"/>
      <c r="AK232"/>
      <c r="AL232"/>
    </row>
    <row r="233" spans="1:38" s="3" customFormat="1" ht="64.349999999999994" customHeight="1">
      <c r="A233" s="4" t="s">
        <v>1181</v>
      </c>
      <c r="B233" s="4" t="s">
        <v>1182</v>
      </c>
      <c r="C233" s="4" t="s">
        <v>1183</v>
      </c>
      <c r="D233" s="4" t="s">
        <v>1184</v>
      </c>
      <c r="E233" s="4" t="s">
        <v>999</v>
      </c>
      <c r="F233" s="9">
        <v>5</v>
      </c>
      <c r="G233" s="9">
        <v>1</v>
      </c>
      <c r="H233" s="9">
        <f t="shared" ref="H233:H236" si="15">F233*G233</f>
        <v>5</v>
      </c>
      <c r="I233" s="9" t="s">
        <v>72</v>
      </c>
      <c r="J233" s="58" t="s">
        <v>1185</v>
      </c>
      <c r="K233" s="58" t="s">
        <v>1185</v>
      </c>
      <c r="L233" s="8" t="s">
        <v>86</v>
      </c>
      <c r="M233" s="9" t="s">
        <v>1113</v>
      </c>
      <c r="N233" s="4" t="s">
        <v>1186</v>
      </c>
      <c r="O233" s="4"/>
      <c r="P233" s="4"/>
      <c r="Q233" s="4"/>
      <c r="R233"/>
      <c r="S233"/>
      <c r="T233"/>
      <c r="U233"/>
      <c r="V233"/>
      <c r="W233"/>
      <c r="X233"/>
      <c r="Y233"/>
      <c r="Z233"/>
      <c r="AA233"/>
      <c r="AB233"/>
      <c r="AC233"/>
      <c r="AD233"/>
      <c r="AE233"/>
      <c r="AF233"/>
      <c r="AG233"/>
      <c r="AH233"/>
      <c r="AI233"/>
      <c r="AJ233"/>
      <c r="AK233"/>
      <c r="AL233"/>
    </row>
    <row r="234" spans="1:38" s="3" customFormat="1" ht="47.1" customHeight="1">
      <c r="A234" s="4" t="s">
        <v>1187</v>
      </c>
      <c r="B234" s="4" t="s">
        <v>1188</v>
      </c>
      <c r="C234" s="4" t="s">
        <v>1189</v>
      </c>
      <c r="D234" s="4" t="s">
        <v>1190</v>
      </c>
      <c r="E234" s="4" t="s">
        <v>999</v>
      </c>
      <c r="F234" s="9">
        <v>5</v>
      </c>
      <c r="G234" s="9">
        <v>1</v>
      </c>
      <c r="H234" s="9">
        <f t="shared" si="15"/>
        <v>5</v>
      </c>
      <c r="I234" s="9" t="s">
        <v>72</v>
      </c>
      <c r="J234" s="4" t="s">
        <v>1191</v>
      </c>
      <c r="K234" s="4" t="s">
        <v>1192</v>
      </c>
      <c r="L234" s="8" t="s">
        <v>86</v>
      </c>
      <c r="M234" s="9" t="s">
        <v>25</v>
      </c>
      <c r="N234" s="4" t="s">
        <v>1193</v>
      </c>
      <c r="O234" s="4"/>
      <c r="P234" s="4"/>
      <c r="Q234" s="4"/>
      <c r="R234"/>
      <c r="S234"/>
      <c r="T234"/>
      <c r="U234"/>
      <c r="V234"/>
      <c r="W234"/>
      <c r="X234"/>
      <c r="Y234"/>
      <c r="Z234"/>
      <c r="AA234"/>
      <c r="AB234"/>
      <c r="AC234"/>
      <c r="AD234"/>
      <c r="AE234"/>
      <c r="AF234"/>
      <c r="AG234"/>
      <c r="AH234"/>
      <c r="AI234"/>
      <c r="AJ234"/>
      <c r="AK234"/>
      <c r="AL234"/>
    </row>
    <row r="235" spans="1:38" s="3" customFormat="1" ht="28.9">
      <c r="A235" s="4" t="s">
        <v>1194</v>
      </c>
      <c r="B235" s="4" t="s">
        <v>1195</v>
      </c>
      <c r="C235" s="4" t="s">
        <v>1196</v>
      </c>
      <c r="D235" s="4" t="s">
        <v>1197</v>
      </c>
      <c r="E235" s="4" t="s">
        <v>999</v>
      </c>
      <c r="F235" s="9">
        <v>5</v>
      </c>
      <c r="G235" s="9">
        <v>1</v>
      </c>
      <c r="H235" s="9">
        <f t="shared" si="15"/>
        <v>5</v>
      </c>
      <c r="I235" s="9" t="s">
        <v>72</v>
      </c>
      <c r="J235" s="4" t="s">
        <v>59</v>
      </c>
      <c r="K235" s="4" t="s">
        <v>59</v>
      </c>
      <c r="L235" s="55" t="s">
        <v>73</v>
      </c>
      <c r="M235" s="9" t="s">
        <v>25</v>
      </c>
      <c r="N235" s="4" t="s">
        <v>1198</v>
      </c>
      <c r="O235" s="4"/>
      <c r="P235" s="4"/>
      <c r="Q235" s="4"/>
      <c r="R235"/>
      <c r="S235"/>
      <c r="T235"/>
      <c r="U235"/>
      <c r="V235"/>
      <c r="W235"/>
      <c r="X235"/>
      <c r="Y235"/>
      <c r="Z235"/>
      <c r="AA235"/>
      <c r="AB235"/>
      <c r="AC235"/>
      <c r="AD235"/>
      <c r="AE235"/>
      <c r="AF235"/>
      <c r="AG235"/>
      <c r="AH235"/>
      <c r="AI235"/>
      <c r="AJ235"/>
      <c r="AK235"/>
      <c r="AL235"/>
    </row>
    <row r="236" spans="1:38" s="3" customFormat="1" ht="28.9">
      <c r="A236" s="4" t="s">
        <v>1199</v>
      </c>
      <c r="B236" s="4" t="s">
        <v>765</v>
      </c>
      <c r="C236" s="4" t="s">
        <v>1200</v>
      </c>
      <c r="D236" s="4" t="s">
        <v>1201</v>
      </c>
      <c r="E236" s="4" t="s">
        <v>999</v>
      </c>
      <c r="F236" s="9">
        <v>3</v>
      </c>
      <c r="G236" s="9">
        <v>1</v>
      </c>
      <c r="H236" s="9">
        <f t="shared" si="15"/>
        <v>3</v>
      </c>
      <c r="I236" s="9" t="s">
        <v>72</v>
      </c>
      <c r="J236" s="4" t="s">
        <v>1202</v>
      </c>
      <c r="K236" s="4" t="s">
        <v>1202</v>
      </c>
      <c r="L236" s="8" t="s">
        <v>24</v>
      </c>
      <c r="M236" s="9" t="s">
        <v>25</v>
      </c>
      <c r="N236" s="4" t="s">
        <v>1203</v>
      </c>
      <c r="O236" s="4"/>
      <c r="P236" s="4"/>
      <c r="Q236" s="4"/>
      <c r="R236"/>
      <c r="S236"/>
      <c r="T236"/>
      <c r="U236"/>
      <c r="V236"/>
      <c r="W236"/>
      <c r="X236"/>
      <c r="Y236"/>
      <c r="Z236"/>
      <c r="AA236"/>
      <c r="AB236"/>
      <c r="AC236"/>
      <c r="AD236"/>
      <c r="AE236"/>
      <c r="AF236"/>
      <c r="AG236"/>
      <c r="AH236"/>
      <c r="AI236"/>
      <c r="AJ236"/>
      <c r="AK236"/>
      <c r="AL236"/>
    </row>
    <row r="237" spans="1:38" s="3" customFormat="1" ht="15.6">
      <c r="A237" s="161" t="s">
        <v>1204</v>
      </c>
      <c r="B237" s="161"/>
      <c r="C237" s="161"/>
      <c r="D237" s="161"/>
      <c r="E237" s="161"/>
      <c r="F237" s="161"/>
      <c r="G237" s="161"/>
      <c r="H237" s="161"/>
      <c r="I237" s="161"/>
      <c r="J237" s="161"/>
      <c r="K237" s="161"/>
      <c r="L237" s="161"/>
      <c r="M237" s="161"/>
      <c r="N237" s="161"/>
      <c r="O237" s="161"/>
      <c r="P237" s="161"/>
      <c r="Q237" s="161"/>
      <c r="R237"/>
      <c r="S237"/>
      <c r="T237"/>
      <c r="U237"/>
      <c r="V237"/>
      <c r="W237"/>
      <c r="X237"/>
      <c r="Y237"/>
      <c r="Z237"/>
      <c r="AA237"/>
      <c r="AB237"/>
      <c r="AC237"/>
      <c r="AD237"/>
      <c r="AE237"/>
      <c r="AF237"/>
      <c r="AG237"/>
      <c r="AH237"/>
      <c r="AI237"/>
      <c r="AJ237"/>
      <c r="AK237"/>
      <c r="AL237"/>
    </row>
    <row r="238" spans="1:38" s="3" customFormat="1" ht="28.9">
      <c r="A238" s="4" t="s">
        <v>1205</v>
      </c>
      <c r="B238" s="4" t="s">
        <v>1095</v>
      </c>
      <c r="C238" s="4" t="s">
        <v>1206</v>
      </c>
      <c r="D238" s="4" t="s">
        <v>1207</v>
      </c>
      <c r="E238" s="4" t="s">
        <v>67</v>
      </c>
      <c r="F238" s="4">
        <v>1</v>
      </c>
      <c r="G238" s="4">
        <v>1</v>
      </c>
      <c r="H238" s="4">
        <f>F238*G238</f>
        <v>1</v>
      </c>
      <c r="I238" s="9"/>
      <c r="J238" s="4"/>
      <c r="K238" s="4"/>
      <c r="L238" s="8"/>
      <c r="M238" s="9" t="s">
        <v>1208</v>
      </c>
      <c r="N238" s="4" t="s">
        <v>1209</v>
      </c>
      <c r="O238" s="4"/>
      <c r="P238" s="4"/>
      <c r="Q238" s="4"/>
      <c r="R238"/>
      <c r="S238"/>
      <c r="T238"/>
      <c r="U238"/>
      <c r="V238"/>
      <c r="W238"/>
      <c r="X238"/>
      <c r="Y238"/>
      <c r="Z238"/>
      <c r="AA238"/>
      <c r="AB238"/>
      <c r="AC238"/>
      <c r="AD238"/>
      <c r="AE238"/>
      <c r="AF238"/>
      <c r="AG238"/>
      <c r="AH238"/>
      <c r="AI238"/>
      <c r="AJ238"/>
      <c r="AK238"/>
      <c r="AL238"/>
    </row>
    <row r="239" spans="1:38" s="3" customFormat="1" ht="28.9">
      <c r="A239" s="4" t="s">
        <v>1210</v>
      </c>
      <c r="B239" s="4" t="s">
        <v>1105</v>
      </c>
      <c r="C239" s="4" t="s">
        <v>1211</v>
      </c>
      <c r="D239" s="4" t="s">
        <v>1212</v>
      </c>
      <c r="E239" s="4" t="s">
        <v>67</v>
      </c>
      <c r="F239" s="9">
        <v>1</v>
      </c>
      <c r="G239" s="9">
        <v>1</v>
      </c>
      <c r="H239" s="9">
        <f t="shared" ref="H239:H241" si="16">F239*G239</f>
        <v>1</v>
      </c>
      <c r="I239" s="9"/>
      <c r="J239" s="4"/>
      <c r="K239" s="4"/>
      <c r="L239" s="8"/>
      <c r="M239" s="9" t="s">
        <v>25</v>
      </c>
      <c r="N239" s="4" t="s">
        <v>1213</v>
      </c>
      <c r="O239" s="4"/>
      <c r="P239" s="4"/>
      <c r="Q239" s="4"/>
      <c r="R239"/>
      <c r="S239"/>
      <c r="T239"/>
      <c r="U239"/>
      <c r="V239"/>
      <c r="W239"/>
      <c r="X239"/>
      <c r="Y239"/>
      <c r="Z239"/>
      <c r="AA239"/>
      <c r="AB239"/>
      <c r="AC239"/>
      <c r="AD239"/>
      <c r="AE239"/>
      <c r="AF239"/>
      <c r="AG239"/>
      <c r="AH239"/>
      <c r="AI239"/>
      <c r="AJ239"/>
      <c r="AK239"/>
      <c r="AL239"/>
    </row>
    <row r="240" spans="1:38" s="3" customFormat="1" ht="28.9">
      <c r="A240" s="4" t="s">
        <v>1214</v>
      </c>
      <c r="B240" s="4" t="s">
        <v>1215</v>
      </c>
      <c r="C240" s="4" t="s">
        <v>1216</v>
      </c>
      <c r="D240" s="4" t="s">
        <v>1217</v>
      </c>
      <c r="E240" s="4" t="s">
        <v>483</v>
      </c>
      <c r="F240" s="9">
        <v>1</v>
      </c>
      <c r="G240" s="9">
        <v>1</v>
      </c>
      <c r="H240" s="9">
        <f t="shared" si="16"/>
        <v>1</v>
      </c>
      <c r="I240" s="9"/>
      <c r="J240" s="4"/>
      <c r="K240" s="4"/>
      <c r="L240" s="8"/>
      <c r="M240" s="9" t="s">
        <v>1113</v>
      </c>
      <c r="N240" s="4" t="s">
        <v>1218</v>
      </c>
      <c r="O240" s="4"/>
      <c r="P240" s="4"/>
      <c r="Q240" s="4"/>
      <c r="R240"/>
      <c r="S240"/>
      <c r="T240"/>
      <c r="U240"/>
      <c r="V240"/>
      <c r="W240"/>
      <c r="X240"/>
      <c r="Y240"/>
      <c r="Z240"/>
      <c r="AA240"/>
      <c r="AB240"/>
      <c r="AC240"/>
      <c r="AD240"/>
      <c r="AE240"/>
      <c r="AF240"/>
      <c r="AG240"/>
      <c r="AH240"/>
      <c r="AI240"/>
      <c r="AJ240"/>
      <c r="AK240"/>
      <c r="AL240"/>
    </row>
    <row r="241" spans="1:38" s="3" customFormat="1" ht="28.9">
      <c r="A241" s="4" t="s">
        <v>1219</v>
      </c>
      <c r="B241" s="4" t="s">
        <v>1220</v>
      </c>
      <c r="C241" s="4" t="s">
        <v>1221</v>
      </c>
      <c r="D241" s="4" t="s">
        <v>1222</v>
      </c>
      <c r="E241" s="4" t="s">
        <v>483</v>
      </c>
      <c r="F241" s="9">
        <v>1</v>
      </c>
      <c r="G241" s="9">
        <v>1</v>
      </c>
      <c r="H241" s="9">
        <f t="shared" si="16"/>
        <v>1</v>
      </c>
      <c r="I241" s="9"/>
      <c r="J241" s="4"/>
      <c r="K241" s="4"/>
      <c r="L241" s="8"/>
      <c r="M241" s="9" t="s">
        <v>1208</v>
      </c>
      <c r="N241" s="4" t="s">
        <v>1223</v>
      </c>
      <c r="O241" s="4"/>
      <c r="P241" s="4"/>
      <c r="Q241" s="4"/>
      <c r="R241"/>
      <c r="S241"/>
      <c r="T241"/>
      <c r="U241"/>
      <c r="V241"/>
      <c r="W241"/>
      <c r="X241"/>
      <c r="Y241"/>
      <c r="Z241"/>
      <c r="AA241"/>
      <c r="AB241"/>
      <c r="AC241"/>
      <c r="AD241"/>
      <c r="AE241"/>
      <c r="AF241"/>
      <c r="AG241"/>
      <c r="AH241"/>
      <c r="AI241"/>
      <c r="AJ241"/>
      <c r="AK241"/>
      <c r="AL241"/>
    </row>
    <row r="242" spans="1:38" s="3" customFormat="1" ht="14.45">
      <c r="A242" s="4" t="s">
        <v>1224</v>
      </c>
      <c r="B242" s="4" t="s">
        <v>1225</v>
      </c>
      <c r="C242" s="4" t="s">
        <v>1226</v>
      </c>
      <c r="D242" s="4" t="s">
        <v>1227</v>
      </c>
      <c r="E242" s="4" t="s">
        <v>483</v>
      </c>
      <c r="F242" s="9">
        <v>1</v>
      </c>
      <c r="G242" s="9">
        <v>1</v>
      </c>
      <c r="H242" s="9">
        <v>1</v>
      </c>
      <c r="I242" s="9"/>
      <c r="J242" s="4"/>
      <c r="K242" s="4"/>
      <c r="L242" s="8"/>
      <c r="M242" s="9" t="s">
        <v>25</v>
      </c>
      <c r="N242" s="4" t="s">
        <v>1228</v>
      </c>
      <c r="O242" s="4"/>
      <c r="P242" s="4"/>
      <c r="Q242" s="4"/>
      <c r="R242"/>
      <c r="S242"/>
      <c r="T242"/>
      <c r="U242"/>
      <c r="V242"/>
      <c r="W242"/>
      <c r="X242"/>
      <c r="Y242"/>
      <c r="Z242"/>
      <c r="AA242"/>
      <c r="AB242"/>
      <c r="AC242"/>
      <c r="AD242"/>
      <c r="AE242"/>
      <c r="AF242"/>
      <c r="AG242"/>
      <c r="AH242"/>
      <c r="AI242"/>
      <c r="AJ242"/>
      <c r="AK242"/>
      <c r="AL242"/>
    </row>
    <row r="243" spans="1:38" s="3" customFormat="1" ht="15.6">
      <c r="A243" s="161" t="s">
        <v>1229</v>
      </c>
      <c r="B243" s="161"/>
      <c r="C243" s="161"/>
      <c r="D243" s="161"/>
      <c r="E243" s="161"/>
      <c r="F243" s="161"/>
      <c r="G243" s="161"/>
      <c r="H243" s="161"/>
      <c r="I243" s="161"/>
      <c r="J243" s="161"/>
      <c r="K243" s="161"/>
      <c r="L243" s="161"/>
      <c r="M243" s="161"/>
      <c r="N243" s="161"/>
      <c r="O243" s="161"/>
      <c r="P243" s="161"/>
      <c r="Q243" s="161"/>
      <c r="R243"/>
      <c r="S243"/>
      <c r="T243"/>
      <c r="U243"/>
      <c r="V243"/>
      <c r="W243"/>
      <c r="X243"/>
      <c r="Y243"/>
      <c r="Z243"/>
      <c r="AA243"/>
      <c r="AB243"/>
      <c r="AC243"/>
      <c r="AD243"/>
      <c r="AE243"/>
      <c r="AF243"/>
      <c r="AG243"/>
      <c r="AH243"/>
      <c r="AI243"/>
      <c r="AJ243"/>
      <c r="AK243"/>
      <c r="AL243"/>
    </row>
    <row r="244" spans="1:38" s="3" customFormat="1" ht="93" customHeight="1">
      <c r="A244" s="4" t="s">
        <v>1230</v>
      </c>
      <c r="B244" s="4" t="s">
        <v>1231</v>
      </c>
      <c r="C244" s="4" t="s">
        <v>1232</v>
      </c>
      <c r="D244" s="4" t="s">
        <v>1233</v>
      </c>
      <c r="E244" s="50" t="s">
        <v>387</v>
      </c>
      <c r="F244" s="9"/>
      <c r="G244" s="9"/>
      <c r="H244" s="9">
        <f>F244*G244</f>
        <v>0</v>
      </c>
      <c r="I244" s="9"/>
      <c r="J244" s="4"/>
      <c r="K244" s="4"/>
      <c r="L244" s="8"/>
      <c r="M244" s="9" t="s">
        <v>1234</v>
      </c>
      <c r="N244" s="4" t="s">
        <v>1235</v>
      </c>
      <c r="O244" s="4"/>
      <c r="P244" s="4"/>
      <c r="Q244" s="4"/>
      <c r="R244"/>
      <c r="S244"/>
      <c r="T244"/>
      <c r="U244"/>
      <c r="V244"/>
      <c r="W244"/>
      <c r="X244"/>
      <c r="Y244"/>
      <c r="Z244"/>
      <c r="AA244"/>
      <c r="AB244"/>
      <c r="AC244"/>
      <c r="AD244"/>
      <c r="AE244"/>
      <c r="AF244"/>
      <c r="AG244"/>
      <c r="AH244"/>
      <c r="AI244"/>
      <c r="AJ244"/>
      <c r="AK244"/>
      <c r="AL244"/>
    </row>
    <row r="245" spans="1:38" s="3" customFormat="1" ht="28.9">
      <c r="A245" s="4" t="s">
        <v>1236</v>
      </c>
      <c r="B245" s="4" t="s">
        <v>1237</v>
      </c>
      <c r="C245" s="4" t="s">
        <v>1238</v>
      </c>
      <c r="D245" s="4" t="s">
        <v>1239</v>
      </c>
      <c r="E245" s="4" t="s">
        <v>1230</v>
      </c>
      <c r="F245" s="4"/>
      <c r="G245" s="4"/>
      <c r="H245" s="4">
        <v>0</v>
      </c>
      <c r="I245" s="9"/>
      <c r="J245" s="4"/>
      <c r="K245" s="4"/>
      <c r="L245" s="8"/>
      <c r="M245" s="9" t="s">
        <v>1234</v>
      </c>
      <c r="N245" s="4" t="s">
        <v>1240</v>
      </c>
      <c r="O245" s="4"/>
      <c r="P245" s="4"/>
      <c r="Q245" s="4"/>
      <c r="R245"/>
      <c r="S245"/>
      <c r="T245"/>
      <c r="U245"/>
      <c r="V245"/>
      <c r="W245"/>
      <c r="X245"/>
      <c r="Y245"/>
      <c r="Z245"/>
      <c r="AA245"/>
      <c r="AB245"/>
      <c r="AC245"/>
      <c r="AD245"/>
      <c r="AE245"/>
      <c r="AF245"/>
      <c r="AG245"/>
      <c r="AH245"/>
      <c r="AI245"/>
      <c r="AJ245"/>
      <c r="AK245"/>
      <c r="AL245"/>
    </row>
    <row r="246" spans="1:38" s="3" customFormat="1" ht="28.9">
      <c r="A246" s="4" t="s">
        <v>1241</v>
      </c>
      <c r="B246" s="4" t="s">
        <v>1242</v>
      </c>
      <c r="C246" s="4" t="s">
        <v>1243</v>
      </c>
      <c r="D246" s="4" t="s">
        <v>1244</v>
      </c>
      <c r="E246" s="4" t="s">
        <v>1245</v>
      </c>
      <c r="F246" s="9"/>
      <c r="G246" s="9"/>
      <c r="H246" s="9">
        <v>0</v>
      </c>
      <c r="I246" s="9"/>
      <c r="J246" s="4"/>
      <c r="K246" s="4"/>
      <c r="L246" s="8"/>
      <c r="M246" s="9" t="s">
        <v>25</v>
      </c>
      <c r="N246" s="4" t="s">
        <v>1246</v>
      </c>
      <c r="O246" s="4"/>
      <c r="P246" s="4"/>
      <c r="Q246" s="4"/>
      <c r="R246"/>
      <c r="S246"/>
      <c r="T246"/>
      <c r="U246"/>
      <c r="V246"/>
      <c r="W246"/>
      <c r="X246"/>
      <c r="Y246"/>
      <c r="Z246"/>
      <c r="AA246"/>
      <c r="AB246"/>
      <c r="AC246"/>
      <c r="AD246"/>
      <c r="AE246"/>
      <c r="AF246"/>
      <c r="AG246"/>
      <c r="AH246"/>
      <c r="AI246"/>
      <c r="AJ246"/>
      <c r="AK246"/>
      <c r="AL246"/>
    </row>
    <row r="247" spans="1:38" s="3" customFormat="1" ht="14.45">
      <c r="A247" s="4" t="s">
        <v>1247</v>
      </c>
      <c r="B247" s="4" t="s">
        <v>1248</v>
      </c>
      <c r="C247" s="4" t="s">
        <v>1249</v>
      </c>
      <c r="D247" s="4" t="s">
        <v>1250</v>
      </c>
      <c r="E247" s="4" t="s">
        <v>1245</v>
      </c>
      <c r="F247" s="9"/>
      <c r="G247" s="9"/>
      <c r="H247" s="9">
        <v>0</v>
      </c>
      <c r="I247" s="9"/>
      <c r="J247" s="4"/>
      <c r="K247" s="4"/>
      <c r="L247" s="8"/>
      <c r="M247" s="9" t="s">
        <v>60</v>
      </c>
      <c r="N247" s="4" t="s">
        <v>1251</v>
      </c>
      <c r="O247" s="4"/>
      <c r="P247" s="4"/>
      <c r="Q247" s="4"/>
      <c r="R247"/>
      <c r="S247"/>
      <c r="T247"/>
      <c r="U247"/>
      <c r="V247"/>
      <c r="W247"/>
      <c r="X247"/>
      <c r="Y247"/>
      <c r="Z247"/>
      <c r="AA247"/>
      <c r="AB247"/>
      <c r="AC247"/>
      <c r="AD247"/>
      <c r="AE247"/>
      <c r="AF247"/>
      <c r="AG247"/>
      <c r="AH247"/>
      <c r="AI247"/>
      <c r="AJ247"/>
      <c r="AK247"/>
      <c r="AL247"/>
    </row>
    <row r="248" spans="1:38" s="3" customFormat="1" ht="14.45">
      <c r="A248" s="4" t="s">
        <v>1252</v>
      </c>
      <c r="B248" s="4" t="s">
        <v>1253</v>
      </c>
      <c r="C248" s="4" t="s">
        <v>1254</v>
      </c>
      <c r="D248" s="4" t="s">
        <v>1255</v>
      </c>
      <c r="E248" s="4" t="s">
        <v>1245</v>
      </c>
      <c r="F248" s="4"/>
      <c r="G248" s="4"/>
      <c r="H248" s="4">
        <v>0</v>
      </c>
      <c r="I248" s="9"/>
      <c r="J248" s="4"/>
      <c r="K248" s="4"/>
      <c r="L248" s="8"/>
      <c r="M248" s="9" t="s">
        <v>1234</v>
      </c>
      <c r="N248" s="4" t="s">
        <v>1256</v>
      </c>
      <c r="O248" s="4"/>
      <c r="P248" s="4"/>
      <c r="Q248" s="4"/>
      <c r="R248"/>
      <c r="S248"/>
      <c r="T248"/>
      <c r="U248"/>
      <c r="V248"/>
      <c r="W248"/>
      <c r="X248"/>
      <c r="Y248"/>
      <c r="Z248"/>
      <c r="AA248"/>
      <c r="AB248"/>
      <c r="AC248"/>
      <c r="AD248"/>
      <c r="AE248"/>
      <c r="AF248"/>
      <c r="AG248"/>
      <c r="AH248"/>
      <c r="AI248"/>
      <c r="AJ248"/>
      <c r="AK248"/>
      <c r="AL248"/>
    </row>
    <row r="249" spans="1:38" s="3" customFormat="1" ht="14.45">
      <c r="A249" s="4" t="s">
        <v>1257</v>
      </c>
      <c r="B249" s="4"/>
      <c r="C249" s="4"/>
      <c r="D249" s="4"/>
      <c r="E249" s="4"/>
      <c r="F249" s="4"/>
      <c r="G249" s="4"/>
      <c r="H249" s="4"/>
      <c r="I249" s="9"/>
      <c r="J249" s="4"/>
      <c r="K249" s="4"/>
      <c r="L249" s="8"/>
      <c r="M249" s="4"/>
      <c r="N249" s="4"/>
      <c r="O249" s="4"/>
      <c r="P249" s="4"/>
      <c r="Q249" s="4"/>
      <c r="R249"/>
      <c r="S249"/>
      <c r="T249"/>
      <c r="U249"/>
      <c r="V249"/>
      <c r="W249"/>
      <c r="X249"/>
      <c r="Y249"/>
      <c r="Z249"/>
      <c r="AA249"/>
      <c r="AB249"/>
      <c r="AC249"/>
      <c r="AD249"/>
      <c r="AE249"/>
      <c r="AF249"/>
      <c r="AG249"/>
      <c r="AH249"/>
      <c r="AI249"/>
      <c r="AJ249"/>
      <c r="AK249"/>
      <c r="AL249"/>
    </row>
    <row r="250" spans="1:38" s="3" customFormat="1" ht="15.75" customHeight="1">
      <c r="A250" s="4"/>
      <c r="B250" s="4"/>
      <c r="C250" s="4"/>
      <c r="D250" s="4"/>
      <c r="E250" s="4"/>
      <c r="F250" s="9"/>
      <c r="G250" s="9"/>
      <c r="H250" s="9"/>
      <c r="I250" s="9"/>
      <c r="J250" s="4"/>
      <c r="K250" s="4"/>
      <c r="L250" s="8"/>
      <c r="M250" s="4"/>
      <c r="N250" s="4"/>
      <c r="O250" s="4"/>
      <c r="P250" s="4"/>
      <c r="Q250" s="4"/>
      <c r="R250"/>
      <c r="S250"/>
      <c r="T250"/>
      <c r="U250"/>
      <c r="V250"/>
      <c r="W250"/>
      <c r="X250"/>
      <c r="Y250"/>
      <c r="Z250"/>
      <c r="AA250"/>
      <c r="AB250"/>
      <c r="AC250"/>
      <c r="AD250"/>
      <c r="AE250"/>
      <c r="AF250"/>
      <c r="AG250"/>
      <c r="AH250"/>
      <c r="AI250"/>
      <c r="AJ250"/>
      <c r="AK250"/>
      <c r="AL250"/>
    </row>
    <row r="251" spans="1:38" s="3" customFormat="1" ht="17.25" customHeight="1">
      <c r="A251" s="163" t="s">
        <v>1258</v>
      </c>
      <c r="B251" s="163"/>
      <c r="C251" s="163"/>
      <c r="D251" s="163"/>
      <c r="E251" s="163"/>
      <c r="F251" s="163"/>
      <c r="G251" s="163"/>
      <c r="H251" s="163"/>
      <c r="I251" s="163"/>
      <c r="J251" s="163"/>
      <c r="K251" s="163"/>
      <c r="L251" s="163"/>
      <c r="M251" s="163"/>
      <c r="N251" s="163"/>
      <c r="O251" s="163"/>
      <c r="P251" s="163"/>
      <c r="Q251" s="163"/>
      <c r="R251"/>
      <c r="S251"/>
      <c r="T251"/>
      <c r="U251"/>
      <c r="V251"/>
      <c r="W251"/>
      <c r="X251"/>
      <c r="Y251"/>
      <c r="Z251"/>
      <c r="AA251"/>
      <c r="AB251"/>
      <c r="AC251"/>
      <c r="AD251"/>
      <c r="AE251"/>
      <c r="AF251"/>
      <c r="AG251"/>
      <c r="AH251"/>
      <c r="AI251"/>
      <c r="AJ251"/>
      <c r="AK251"/>
      <c r="AL251"/>
    </row>
    <row r="252" spans="1:38" s="3" customFormat="1" ht="14.85" customHeight="1">
      <c r="A252" s="161" t="s">
        <v>1259</v>
      </c>
      <c r="B252" s="161"/>
      <c r="C252" s="161"/>
      <c r="D252" s="161"/>
      <c r="E252" s="161"/>
      <c r="F252" s="161"/>
      <c r="G252" s="161"/>
      <c r="H252" s="161"/>
      <c r="I252" s="161"/>
      <c r="J252" s="161"/>
      <c r="K252" s="161"/>
      <c r="L252" s="161"/>
      <c r="M252" s="161"/>
      <c r="N252" s="161"/>
      <c r="O252" s="161"/>
      <c r="P252" s="161"/>
      <c r="Q252" s="161"/>
      <c r="R252"/>
      <c r="S252"/>
      <c r="T252"/>
      <c r="U252"/>
      <c r="V252"/>
      <c r="W252"/>
      <c r="X252"/>
      <c r="Y252"/>
      <c r="Z252"/>
      <c r="AA252"/>
      <c r="AB252"/>
      <c r="AC252"/>
      <c r="AD252"/>
      <c r="AE252"/>
      <c r="AF252"/>
      <c r="AG252"/>
      <c r="AH252"/>
      <c r="AI252"/>
      <c r="AJ252"/>
      <c r="AK252"/>
      <c r="AL252"/>
    </row>
    <row r="253" spans="1:38" s="3" customFormat="1" ht="14.45">
      <c r="A253" s="4" t="s">
        <v>1260</v>
      </c>
      <c r="B253" s="4"/>
      <c r="C253" s="4"/>
      <c r="D253" s="4"/>
      <c r="E253" s="4"/>
      <c r="F253" s="9"/>
      <c r="G253" s="9"/>
      <c r="H253" s="9"/>
      <c r="I253" s="9"/>
      <c r="J253" s="4"/>
      <c r="K253" s="4"/>
      <c r="L253" s="8"/>
      <c r="M253" s="9"/>
      <c r="N253" s="4"/>
      <c r="O253" s="4"/>
      <c r="P253" s="4"/>
      <c r="Q253" s="4"/>
      <c r="R253"/>
      <c r="S253"/>
      <c r="T253"/>
      <c r="U253"/>
      <c r="V253"/>
      <c r="W253"/>
      <c r="X253"/>
      <c r="Y253"/>
      <c r="Z253"/>
      <c r="AA253"/>
      <c r="AB253"/>
      <c r="AC253"/>
      <c r="AD253"/>
      <c r="AE253"/>
      <c r="AF253"/>
      <c r="AG253"/>
      <c r="AH253"/>
      <c r="AI253"/>
      <c r="AJ253"/>
      <c r="AK253"/>
      <c r="AL253"/>
    </row>
    <row r="254" spans="1:38" s="3" customFormat="1" ht="14.45">
      <c r="A254" s="4"/>
      <c r="B254" s="4"/>
      <c r="C254" s="4"/>
      <c r="D254" s="4"/>
      <c r="E254" s="4"/>
      <c r="F254" s="9"/>
      <c r="G254" s="9"/>
      <c r="H254" s="9"/>
      <c r="I254" s="9"/>
      <c r="J254" s="4"/>
      <c r="K254" s="4"/>
      <c r="L254" s="8"/>
      <c r="M254" s="9"/>
      <c r="N254" s="4"/>
      <c r="O254" s="4"/>
      <c r="P254" s="4"/>
      <c r="Q254" s="4"/>
      <c r="R254"/>
      <c r="S254"/>
      <c r="T254"/>
      <c r="U254"/>
      <c r="V254"/>
      <c r="W254"/>
      <c r="X254"/>
      <c r="Y254"/>
      <c r="Z254"/>
      <c r="AA254"/>
      <c r="AB254"/>
      <c r="AC254"/>
      <c r="AD254"/>
      <c r="AE254"/>
      <c r="AF254"/>
      <c r="AG254"/>
      <c r="AH254"/>
      <c r="AI254"/>
      <c r="AJ254"/>
      <c r="AK254"/>
      <c r="AL254"/>
    </row>
    <row r="255" spans="1:38" s="3" customFormat="1" ht="14.45">
      <c r="A255" s="4"/>
      <c r="B255" s="4"/>
      <c r="C255" s="4"/>
      <c r="D255" s="4"/>
      <c r="E255" s="4"/>
      <c r="F255" s="9"/>
      <c r="G255" s="9"/>
      <c r="H255" s="9"/>
      <c r="I255" s="9"/>
      <c r="J255" s="4"/>
      <c r="K255" s="4"/>
      <c r="L255" s="8"/>
      <c r="M255" s="9"/>
      <c r="N255" s="4"/>
      <c r="O255" s="4"/>
      <c r="P255" s="4"/>
      <c r="Q255" s="4"/>
      <c r="R255"/>
      <c r="S255"/>
      <c r="T255"/>
      <c r="U255"/>
      <c r="V255"/>
      <c r="W255"/>
      <c r="X255"/>
      <c r="Y255"/>
      <c r="Z255"/>
      <c r="AA255"/>
      <c r="AB255"/>
      <c r="AC255"/>
      <c r="AD255"/>
      <c r="AE255"/>
      <c r="AF255"/>
      <c r="AG255"/>
      <c r="AH255"/>
      <c r="AI255"/>
      <c r="AJ255"/>
      <c r="AK255"/>
      <c r="AL255"/>
    </row>
    <row r="256" spans="1:38" s="3" customFormat="1" ht="14.85" customHeight="1">
      <c r="A256" s="161" t="s">
        <v>1261</v>
      </c>
      <c r="B256" s="161"/>
      <c r="C256" s="161"/>
      <c r="D256" s="161"/>
      <c r="E256" s="161"/>
      <c r="F256" s="161"/>
      <c r="G256" s="161"/>
      <c r="H256" s="161"/>
      <c r="I256" s="161"/>
      <c r="J256" s="161"/>
      <c r="K256" s="161"/>
      <c r="L256" s="161"/>
      <c r="M256" s="161"/>
      <c r="N256" s="161"/>
      <c r="O256" s="161"/>
      <c r="P256" s="161"/>
      <c r="Q256" s="161"/>
      <c r="R256"/>
      <c r="S256"/>
      <c r="T256"/>
      <c r="U256"/>
      <c r="V256"/>
      <c r="W256"/>
      <c r="X256"/>
      <c r="Y256"/>
      <c r="Z256"/>
      <c r="AA256"/>
      <c r="AB256"/>
      <c r="AC256"/>
      <c r="AD256"/>
      <c r="AE256"/>
      <c r="AF256"/>
      <c r="AG256"/>
      <c r="AH256"/>
      <c r="AI256"/>
      <c r="AJ256"/>
      <c r="AK256"/>
      <c r="AL256"/>
    </row>
    <row r="257" spans="1:38" s="3" customFormat="1" ht="57.6">
      <c r="A257" s="4" t="s">
        <v>1262</v>
      </c>
      <c r="B257" s="4" t="s">
        <v>1263</v>
      </c>
      <c r="C257" s="4" t="s">
        <v>1264</v>
      </c>
      <c r="D257" s="4" t="s">
        <v>1265</v>
      </c>
      <c r="E257" s="4" t="s">
        <v>628</v>
      </c>
      <c r="F257" s="9">
        <v>4</v>
      </c>
      <c r="G257" s="9">
        <v>2</v>
      </c>
      <c r="H257" s="9">
        <f>F257*G257</f>
        <v>8</v>
      </c>
      <c r="I257" s="9"/>
      <c r="J257" s="4"/>
      <c r="K257" s="4"/>
      <c r="L257" s="8"/>
      <c r="M257" s="9" t="s">
        <v>25</v>
      </c>
      <c r="N257" s="4" t="s">
        <v>1266</v>
      </c>
      <c r="O257" s="4"/>
      <c r="P257" s="4"/>
      <c r="Q257" s="4"/>
      <c r="R257"/>
      <c r="S257"/>
      <c r="T257"/>
      <c r="U257"/>
      <c r="V257"/>
      <c r="W257"/>
      <c r="X257"/>
      <c r="Y257"/>
      <c r="Z257"/>
      <c r="AA257"/>
      <c r="AB257"/>
      <c r="AC257"/>
      <c r="AD257"/>
      <c r="AE257"/>
      <c r="AF257"/>
      <c r="AG257"/>
      <c r="AH257"/>
      <c r="AI257"/>
      <c r="AJ257"/>
      <c r="AK257"/>
      <c r="AL257"/>
    </row>
    <row r="258" spans="1:38" s="3" customFormat="1" ht="43.15">
      <c r="A258" s="4" t="s">
        <v>1267</v>
      </c>
      <c r="B258" s="4" t="s">
        <v>1268</v>
      </c>
      <c r="C258" s="4" t="s">
        <v>1269</v>
      </c>
      <c r="D258" s="4" t="s">
        <v>1270</v>
      </c>
      <c r="E258" s="4" t="s">
        <v>656</v>
      </c>
      <c r="F258" s="9">
        <v>4</v>
      </c>
      <c r="G258" s="9">
        <v>2</v>
      </c>
      <c r="H258" s="9">
        <f t="shared" ref="H258:H265" si="17">F258*G258</f>
        <v>8</v>
      </c>
      <c r="I258" s="9"/>
      <c r="J258" s="4"/>
      <c r="K258" s="4"/>
      <c r="L258" s="8"/>
      <c r="M258" s="9" t="s">
        <v>25</v>
      </c>
      <c r="N258" s="4" t="s">
        <v>1271</v>
      </c>
      <c r="O258" s="4"/>
      <c r="P258" s="4"/>
      <c r="Q258" s="4"/>
      <c r="R258"/>
      <c r="S258"/>
      <c r="T258"/>
      <c r="U258"/>
      <c r="V258"/>
      <c r="W258"/>
      <c r="X258"/>
      <c r="Y258"/>
      <c r="Z258"/>
      <c r="AA258"/>
      <c r="AB258"/>
      <c r="AC258"/>
      <c r="AD258"/>
      <c r="AE258"/>
      <c r="AF258"/>
      <c r="AG258"/>
      <c r="AH258"/>
      <c r="AI258"/>
      <c r="AJ258"/>
      <c r="AK258"/>
      <c r="AL258"/>
    </row>
    <row r="259" spans="1:38" s="3" customFormat="1" ht="28.9">
      <c r="A259" s="4" t="s">
        <v>1272</v>
      </c>
      <c r="B259" s="4" t="s">
        <v>1273</v>
      </c>
      <c r="C259" s="63" t="s">
        <v>1274</v>
      </c>
      <c r="D259" s="4" t="s">
        <v>1275</v>
      </c>
      <c r="E259" s="4" t="s">
        <v>641</v>
      </c>
      <c r="F259" s="9">
        <v>3</v>
      </c>
      <c r="G259" s="9">
        <v>3</v>
      </c>
      <c r="H259" s="9">
        <f t="shared" si="17"/>
        <v>9</v>
      </c>
      <c r="I259" s="9"/>
      <c r="J259" s="4"/>
      <c r="K259" s="4"/>
      <c r="L259" s="8"/>
      <c r="M259" s="9" t="s">
        <v>25</v>
      </c>
      <c r="N259" s="4" t="s">
        <v>1276</v>
      </c>
      <c r="O259" s="4"/>
      <c r="P259" s="4"/>
      <c r="Q259" s="4"/>
      <c r="R259"/>
      <c r="S259"/>
      <c r="T259"/>
      <c r="U259"/>
      <c r="V259"/>
      <c r="W259"/>
      <c r="X259"/>
      <c r="Y259"/>
      <c r="Z259"/>
      <c r="AA259"/>
      <c r="AB259"/>
      <c r="AC259"/>
      <c r="AD259"/>
      <c r="AE259"/>
      <c r="AF259"/>
      <c r="AG259"/>
      <c r="AH259"/>
      <c r="AI259"/>
      <c r="AJ259"/>
      <c r="AK259"/>
      <c r="AL259"/>
    </row>
    <row r="260" spans="1:38" s="3" customFormat="1" ht="28.9">
      <c r="A260" s="4" t="s">
        <v>1277</v>
      </c>
      <c r="B260" s="4" t="s">
        <v>1278</v>
      </c>
      <c r="C260" s="4" t="s">
        <v>1279</v>
      </c>
      <c r="D260" s="4" t="s">
        <v>1280</v>
      </c>
      <c r="E260" s="4" t="s">
        <v>613</v>
      </c>
      <c r="F260" s="9">
        <v>3</v>
      </c>
      <c r="G260" s="9">
        <v>3</v>
      </c>
      <c r="H260" s="9">
        <f t="shared" si="17"/>
        <v>9</v>
      </c>
      <c r="I260" s="9"/>
      <c r="J260" s="4"/>
      <c r="K260" s="4"/>
      <c r="L260" s="8"/>
      <c r="M260" s="9" t="s">
        <v>25</v>
      </c>
      <c r="N260" s="4" t="s">
        <v>1281</v>
      </c>
      <c r="O260" s="4"/>
      <c r="P260" s="4"/>
      <c r="Q260" s="4"/>
      <c r="R260"/>
      <c r="S260"/>
      <c r="T260"/>
      <c r="U260"/>
      <c r="V260"/>
      <c r="W260"/>
      <c r="X260"/>
      <c r="Y260"/>
      <c r="Z260"/>
      <c r="AA260"/>
      <c r="AB260"/>
      <c r="AC260"/>
      <c r="AD260"/>
      <c r="AE260"/>
      <c r="AF260"/>
      <c r="AG260"/>
      <c r="AH260"/>
      <c r="AI260"/>
      <c r="AJ260"/>
      <c r="AK260"/>
      <c r="AL260"/>
    </row>
    <row r="261" spans="1:38" s="3" customFormat="1" ht="72">
      <c r="A261" s="4" t="s">
        <v>1282</v>
      </c>
      <c r="B261" s="4" t="s">
        <v>1283</v>
      </c>
      <c r="C261" s="4" t="s">
        <v>1284</v>
      </c>
      <c r="D261" s="4" t="s">
        <v>1285</v>
      </c>
      <c r="E261" s="4" t="s">
        <v>1286</v>
      </c>
      <c r="F261" s="9">
        <v>4</v>
      </c>
      <c r="G261" s="9">
        <v>4</v>
      </c>
      <c r="H261" s="9">
        <f t="shared" si="17"/>
        <v>16</v>
      </c>
      <c r="I261" s="9"/>
      <c r="J261" s="4"/>
      <c r="K261" s="4"/>
      <c r="L261" s="8"/>
      <c r="M261" s="9" t="s">
        <v>25</v>
      </c>
      <c r="N261" s="4" t="s">
        <v>1287</v>
      </c>
      <c r="O261" s="4"/>
      <c r="P261" s="4"/>
      <c r="Q261" s="4"/>
      <c r="R261"/>
      <c r="S261"/>
      <c r="T261"/>
      <c r="U261"/>
      <c r="V261"/>
      <c r="W261"/>
      <c r="X261"/>
      <c r="Y261"/>
      <c r="Z261"/>
      <c r="AA261"/>
      <c r="AB261"/>
      <c r="AC261"/>
      <c r="AD261"/>
      <c r="AE261"/>
      <c r="AF261"/>
      <c r="AG261"/>
      <c r="AH261"/>
      <c r="AI261"/>
      <c r="AJ261"/>
      <c r="AK261"/>
      <c r="AL261"/>
    </row>
    <row r="262" spans="1:38" s="3" customFormat="1" ht="57.6">
      <c r="A262" s="4" t="s">
        <v>1288</v>
      </c>
      <c r="B262" s="4" t="s">
        <v>1289</v>
      </c>
      <c r="C262" s="4" t="s">
        <v>1290</v>
      </c>
      <c r="D262" s="4" t="s">
        <v>1291</v>
      </c>
      <c r="E262" s="4" t="s">
        <v>613</v>
      </c>
      <c r="F262" s="9">
        <v>4</v>
      </c>
      <c r="G262" s="9">
        <v>4</v>
      </c>
      <c r="H262" s="9">
        <f t="shared" si="17"/>
        <v>16</v>
      </c>
      <c r="I262" s="9"/>
      <c r="J262" s="4"/>
      <c r="K262" s="4"/>
      <c r="L262" s="8"/>
      <c r="M262" s="9" t="s">
        <v>25</v>
      </c>
      <c r="N262" s="4" t="s">
        <v>1292</v>
      </c>
      <c r="O262" s="4"/>
      <c r="P262" s="4"/>
      <c r="Q262" s="4"/>
      <c r="R262"/>
      <c r="S262"/>
      <c r="T262"/>
      <c r="U262"/>
      <c r="V262"/>
      <c r="W262"/>
      <c r="X262"/>
      <c r="Y262"/>
      <c r="Z262"/>
      <c r="AA262"/>
      <c r="AB262"/>
      <c r="AC262"/>
      <c r="AD262"/>
      <c r="AE262"/>
      <c r="AF262"/>
      <c r="AG262"/>
      <c r="AH262"/>
      <c r="AI262"/>
      <c r="AJ262"/>
      <c r="AK262"/>
      <c r="AL262"/>
    </row>
    <row r="263" spans="1:38" s="3" customFormat="1" ht="57.6">
      <c r="A263" s="4" t="s">
        <v>1293</v>
      </c>
      <c r="B263" s="4" t="s">
        <v>1294</v>
      </c>
      <c r="C263" s="4" t="s">
        <v>1295</v>
      </c>
      <c r="D263" s="4" t="s">
        <v>1296</v>
      </c>
      <c r="E263" s="4" t="s">
        <v>1297</v>
      </c>
      <c r="F263" s="9">
        <v>3</v>
      </c>
      <c r="G263" s="9">
        <v>1</v>
      </c>
      <c r="H263" s="9">
        <f t="shared" si="17"/>
        <v>3</v>
      </c>
      <c r="I263" s="9"/>
      <c r="J263" s="4"/>
      <c r="K263" s="4"/>
      <c r="L263" s="8"/>
      <c r="M263" s="9" t="s">
        <v>60</v>
      </c>
      <c r="N263" s="4" t="s">
        <v>1298</v>
      </c>
      <c r="O263" s="4"/>
      <c r="P263" s="4"/>
      <c r="Q263" s="4"/>
      <c r="R263"/>
      <c r="S263"/>
      <c r="T263"/>
      <c r="U263"/>
      <c r="V263"/>
      <c r="W263"/>
      <c r="X263"/>
      <c r="Y263"/>
      <c r="Z263"/>
      <c r="AA263"/>
      <c r="AB263"/>
      <c r="AC263"/>
      <c r="AD263"/>
      <c r="AE263"/>
      <c r="AF263"/>
      <c r="AG263"/>
      <c r="AH263"/>
      <c r="AI263"/>
      <c r="AJ263"/>
      <c r="AK263"/>
      <c r="AL263"/>
    </row>
    <row r="264" spans="1:38" s="3" customFormat="1" ht="57.6">
      <c r="A264" s="4" t="s">
        <v>1299</v>
      </c>
      <c r="B264" s="4" t="s">
        <v>1300</v>
      </c>
      <c r="C264" s="4" t="s">
        <v>1301</v>
      </c>
      <c r="D264" s="4" t="s">
        <v>1302</v>
      </c>
      <c r="E264" s="4" t="s">
        <v>1303</v>
      </c>
      <c r="F264" s="9">
        <v>3</v>
      </c>
      <c r="G264" s="9">
        <v>2</v>
      </c>
      <c r="H264" s="9">
        <f t="shared" si="17"/>
        <v>6</v>
      </c>
      <c r="I264" s="9"/>
      <c r="J264" s="4"/>
      <c r="K264" s="4"/>
      <c r="L264" s="8"/>
      <c r="M264" s="9" t="s">
        <v>1304</v>
      </c>
      <c r="N264" s="4" t="s">
        <v>1305</v>
      </c>
      <c r="O264" s="4"/>
      <c r="P264" s="4"/>
      <c r="Q264" s="4"/>
      <c r="R264"/>
      <c r="S264"/>
      <c r="T264"/>
      <c r="U264"/>
      <c r="V264"/>
      <c r="W264"/>
      <c r="X264"/>
      <c r="Y264"/>
      <c r="Z264"/>
      <c r="AA264"/>
      <c r="AB264"/>
      <c r="AC264"/>
      <c r="AD264"/>
      <c r="AE264"/>
      <c r="AF264"/>
      <c r="AG264"/>
      <c r="AH264"/>
      <c r="AI264"/>
      <c r="AJ264"/>
      <c r="AK264"/>
      <c r="AL264"/>
    </row>
    <row r="265" spans="1:38" s="3" customFormat="1" ht="57.6">
      <c r="A265" s="4" t="s">
        <v>1306</v>
      </c>
      <c r="B265" s="4" t="s">
        <v>1307</v>
      </c>
      <c r="C265" s="4" t="s">
        <v>1308</v>
      </c>
      <c r="D265" s="4" t="s">
        <v>1309</v>
      </c>
      <c r="E265" s="4" t="s">
        <v>634</v>
      </c>
      <c r="F265" s="9">
        <v>4</v>
      </c>
      <c r="G265" s="9">
        <v>3</v>
      </c>
      <c r="H265" s="9">
        <f t="shared" si="17"/>
        <v>12</v>
      </c>
      <c r="I265" s="9" t="s">
        <v>72</v>
      </c>
      <c r="J265" s="4"/>
      <c r="K265" s="4"/>
      <c r="L265" s="8"/>
      <c r="M265" s="9" t="s">
        <v>25</v>
      </c>
      <c r="N265" s="4" t="s">
        <v>1310</v>
      </c>
      <c r="O265" s="4"/>
      <c r="P265" s="4"/>
      <c r="Q265" s="4"/>
      <c r="R265"/>
      <c r="S265"/>
      <c r="T265"/>
      <c r="U265"/>
      <c r="V265"/>
      <c r="W265"/>
      <c r="X265"/>
      <c r="Y265"/>
      <c r="Z265"/>
      <c r="AA265"/>
      <c r="AB265"/>
      <c r="AC265"/>
      <c r="AD265"/>
      <c r="AE265"/>
      <c r="AF265"/>
      <c r="AG265"/>
      <c r="AH265"/>
      <c r="AI265"/>
      <c r="AJ265"/>
      <c r="AK265"/>
      <c r="AL265"/>
    </row>
    <row r="266" spans="1:38" s="3" customFormat="1" ht="14.45">
      <c r="A266" s="4"/>
      <c r="B266" s="4" t="s">
        <v>1311</v>
      </c>
      <c r="C266" s="4"/>
      <c r="D266" s="4"/>
      <c r="E266" s="4"/>
      <c r="F266" s="9"/>
      <c r="G266" s="9"/>
      <c r="H266" s="9"/>
      <c r="I266" s="9"/>
      <c r="J266" s="4"/>
      <c r="K266" s="4"/>
      <c r="L266" s="8"/>
      <c r="M266" s="9"/>
      <c r="N266" s="4"/>
      <c r="O266" s="4"/>
      <c r="P266" s="4"/>
      <c r="Q266" s="4"/>
      <c r="R266"/>
      <c r="S266"/>
      <c r="T266"/>
      <c r="U266"/>
      <c r="V266"/>
      <c r="W266"/>
      <c r="X266"/>
      <c r="Y266"/>
      <c r="Z266"/>
      <c r="AA266"/>
      <c r="AB266"/>
      <c r="AC266"/>
      <c r="AD266"/>
      <c r="AE266"/>
      <c r="AF266"/>
      <c r="AG266"/>
      <c r="AH266"/>
      <c r="AI266"/>
      <c r="AJ266"/>
      <c r="AK266"/>
      <c r="AL266"/>
    </row>
    <row r="267" spans="1:38" s="3" customFormat="1" ht="14.45">
      <c r="A267" s="4"/>
      <c r="B267" s="4"/>
      <c r="C267" s="4"/>
      <c r="D267" s="4"/>
      <c r="E267" s="4"/>
      <c r="F267" s="9"/>
      <c r="G267" s="9"/>
      <c r="H267" s="9"/>
      <c r="I267" s="9"/>
      <c r="J267" s="4"/>
      <c r="K267" s="4"/>
      <c r="L267" s="8"/>
      <c r="M267" s="9"/>
      <c r="N267" s="4"/>
      <c r="O267" s="4"/>
      <c r="P267" s="4"/>
      <c r="Q267" s="4"/>
      <c r="R267"/>
      <c r="S267"/>
      <c r="T267"/>
      <c r="U267"/>
      <c r="V267"/>
      <c r="W267"/>
      <c r="X267"/>
      <c r="Y267"/>
      <c r="Z267"/>
      <c r="AA267"/>
      <c r="AB267"/>
      <c r="AC267"/>
      <c r="AD267"/>
      <c r="AE267"/>
      <c r="AF267"/>
      <c r="AG267"/>
      <c r="AH267"/>
      <c r="AI267"/>
      <c r="AJ267"/>
      <c r="AK267"/>
      <c r="AL267"/>
    </row>
    <row r="268" spans="1:38" s="3" customFormat="1" ht="14.45">
      <c r="A268" s="4"/>
      <c r="B268" s="4"/>
      <c r="C268" s="4"/>
      <c r="D268" s="4"/>
      <c r="E268" s="4"/>
      <c r="F268" s="9"/>
      <c r="G268" s="9"/>
      <c r="H268" s="9"/>
      <c r="I268" s="9"/>
      <c r="J268" s="4"/>
      <c r="K268" s="4"/>
      <c r="L268" s="8"/>
      <c r="M268" s="9"/>
      <c r="N268" s="4"/>
      <c r="O268" s="4"/>
      <c r="P268" s="4"/>
      <c r="Q268" s="4"/>
      <c r="R268"/>
      <c r="S268"/>
      <c r="T268"/>
      <c r="U268"/>
      <c r="V268"/>
      <c r="W268"/>
      <c r="X268"/>
      <c r="Y268"/>
      <c r="Z268"/>
      <c r="AA268"/>
      <c r="AB268"/>
      <c r="AC268"/>
      <c r="AD268"/>
      <c r="AE268"/>
      <c r="AF268"/>
      <c r="AG268"/>
      <c r="AH268"/>
      <c r="AI268"/>
      <c r="AJ268"/>
      <c r="AK268"/>
      <c r="AL268"/>
    </row>
    <row r="269" spans="1:38" s="3" customFormat="1" ht="14.45">
      <c r="A269" s="4"/>
      <c r="B269" s="4"/>
      <c r="C269" s="4"/>
      <c r="D269" s="4"/>
      <c r="E269" s="4"/>
      <c r="F269" s="9"/>
      <c r="G269" s="9"/>
      <c r="H269" s="9"/>
      <c r="I269" s="9"/>
      <c r="J269" s="4"/>
      <c r="K269" s="4"/>
      <c r="L269" s="8"/>
      <c r="M269" s="9"/>
      <c r="N269" s="4"/>
      <c r="O269" s="4"/>
      <c r="P269" s="4"/>
      <c r="Q269" s="4"/>
      <c r="R269"/>
      <c r="S269"/>
      <c r="T269"/>
      <c r="U269"/>
      <c r="V269"/>
      <c r="W269"/>
      <c r="X269"/>
      <c r="Y269"/>
      <c r="Z269"/>
      <c r="AA269"/>
      <c r="AB269"/>
      <c r="AC269"/>
      <c r="AD269"/>
      <c r="AE269"/>
      <c r="AF269"/>
      <c r="AG269"/>
      <c r="AH269"/>
      <c r="AI269"/>
      <c r="AJ269"/>
      <c r="AK269"/>
      <c r="AL269"/>
    </row>
    <row r="270" spans="1:38" s="3" customFormat="1" ht="14.85" customHeight="1">
      <c r="A270" s="161" t="s">
        <v>1312</v>
      </c>
      <c r="B270" s="161"/>
      <c r="C270" s="161"/>
      <c r="D270" s="161"/>
      <c r="E270" s="161"/>
      <c r="F270" s="161"/>
      <c r="G270" s="161"/>
      <c r="H270" s="161"/>
      <c r="I270" s="161"/>
      <c r="J270" s="161"/>
      <c r="K270" s="161"/>
      <c r="L270" s="161"/>
      <c r="M270" s="161"/>
      <c r="N270" s="161"/>
      <c r="O270" s="161"/>
      <c r="P270" s="161"/>
      <c r="Q270" s="161"/>
      <c r="R270"/>
      <c r="S270"/>
      <c r="T270"/>
      <c r="U270"/>
      <c r="V270"/>
      <c r="W270"/>
      <c r="X270"/>
      <c r="Y270"/>
      <c r="Z270"/>
      <c r="AA270"/>
      <c r="AB270"/>
      <c r="AC270"/>
      <c r="AD270"/>
      <c r="AE270"/>
      <c r="AF270"/>
      <c r="AG270"/>
      <c r="AH270"/>
      <c r="AI270"/>
      <c r="AJ270"/>
      <c r="AK270"/>
      <c r="AL270"/>
    </row>
    <row r="271" spans="1:38" s="3" customFormat="1" ht="28.9">
      <c r="A271" s="4" t="s">
        <v>1313</v>
      </c>
      <c r="B271" s="4" t="s">
        <v>1314</v>
      </c>
      <c r="C271" s="4" t="s">
        <v>1315</v>
      </c>
      <c r="D271" s="4" t="s">
        <v>1316</v>
      </c>
      <c r="E271" s="52" t="s">
        <v>664</v>
      </c>
      <c r="F271" s="9">
        <v>5</v>
      </c>
      <c r="G271" s="9">
        <v>1</v>
      </c>
      <c r="H271" s="9">
        <f>F271*G271</f>
        <v>5</v>
      </c>
      <c r="I271" s="9" t="s">
        <v>72</v>
      </c>
      <c r="J271" s="4" t="s">
        <v>59</v>
      </c>
      <c r="K271" s="4" t="s">
        <v>59</v>
      </c>
      <c r="L271" s="8" t="s">
        <v>24</v>
      </c>
      <c r="M271" s="9" t="s">
        <v>60</v>
      </c>
      <c r="N271" s="4" t="s">
        <v>1317</v>
      </c>
      <c r="O271" s="4"/>
      <c r="P271" s="4"/>
      <c r="Q271" s="4"/>
      <c r="R271"/>
      <c r="S271"/>
      <c r="T271"/>
      <c r="U271"/>
      <c r="V271"/>
      <c r="W271"/>
      <c r="X271"/>
      <c r="Y271"/>
      <c r="Z271"/>
      <c r="AA271"/>
      <c r="AB271"/>
      <c r="AC271"/>
      <c r="AD271"/>
      <c r="AE271"/>
      <c r="AF271"/>
      <c r="AG271"/>
      <c r="AH271"/>
      <c r="AI271"/>
      <c r="AJ271"/>
      <c r="AK271"/>
      <c r="AL271"/>
    </row>
    <row r="272" spans="1:38" s="3" customFormat="1" ht="14.45">
      <c r="A272" s="4" t="s">
        <v>1318</v>
      </c>
      <c r="B272" s="4" t="s">
        <v>1319</v>
      </c>
      <c r="C272" s="4" t="s">
        <v>1320</v>
      </c>
      <c r="D272" s="4" t="s">
        <v>1321</v>
      </c>
      <c r="E272" s="4" t="s">
        <v>1322</v>
      </c>
      <c r="F272" s="9">
        <v>3</v>
      </c>
      <c r="G272" s="9">
        <v>1</v>
      </c>
      <c r="H272" s="9">
        <f t="shared" ref="H272:H280" si="18">F272*G272</f>
        <v>3</v>
      </c>
      <c r="I272" s="9" t="s">
        <v>72</v>
      </c>
      <c r="J272" s="4" t="s">
        <v>718</v>
      </c>
      <c r="K272" s="4" t="s">
        <v>718</v>
      </c>
      <c r="L272" s="8" t="s">
        <v>86</v>
      </c>
      <c r="M272" s="9" t="s">
        <v>60</v>
      </c>
      <c r="N272" s="4" t="s">
        <v>1323</v>
      </c>
      <c r="O272" s="4"/>
      <c r="P272" s="4"/>
      <c r="Q272" s="4"/>
      <c r="R272"/>
      <c r="S272"/>
      <c r="T272"/>
      <c r="U272"/>
      <c r="V272"/>
      <c r="W272"/>
      <c r="X272"/>
      <c r="Y272"/>
      <c r="Z272"/>
      <c r="AA272"/>
      <c r="AB272"/>
      <c r="AC272"/>
      <c r="AD272"/>
      <c r="AE272"/>
      <c r="AF272"/>
      <c r="AG272"/>
      <c r="AH272"/>
      <c r="AI272"/>
      <c r="AJ272"/>
      <c r="AK272"/>
      <c r="AL272"/>
    </row>
    <row r="273" spans="1:38" s="3" customFormat="1" ht="28.9">
      <c r="A273" s="4" t="s">
        <v>1324</v>
      </c>
      <c r="B273" s="4" t="s">
        <v>1325</v>
      </c>
      <c r="C273" s="4" t="s">
        <v>1326</v>
      </c>
      <c r="D273" s="4" t="s">
        <v>1327</v>
      </c>
      <c r="E273" s="4" t="s">
        <v>1322</v>
      </c>
      <c r="F273" s="9">
        <v>3</v>
      </c>
      <c r="G273" s="9">
        <v>1</v>
      </c>
      <c r="H273" s="9">
        <f t="shared" si="18"/>
        <v>3</v>
      </c>
      <c r="I273" s="9" t="s">
        <v>72</v>
      </c>
      <c r="J273" s="4" t="s">
        <v>1328</v>
      </c>
      <c r="K273" s="4" t="s">
        <v>1329</v>
      </c>
      <c r="L273" s="8" t="s">
        <v>86</v>
      </c>
      <c r="M273" s="9" t="s">
        <v>60</v>
      </c>
      <c r="N273" s="4" t="s">
        <v>1330</v>
      </c>
      <c r="O273" s="4"/>
      <c r="P273" s="4"/>
      <c r="Q273" s="4"/>
      <c r="R273"/>
      <c r="S273"/>
      <c r="T273"/>
      <c r="U273"/>
      <c r="V273"/>
      <c r="W273"/>
      <c r="X273"/>
      <c r="Y273"/>
      <c r="Z273"/>
      <c r="AA273"/>
      <c r="AB273"/>
      <c r="AC273"/>
      <c r="AD273"/>
      <c r="AE273"/>
      <c r="AF273"/>
      <c r="AG273"/>
      <c r="AH273"/>
      <c r="AI273"/>
      <c r="AJ273"/>
      <c r="AK273"/>
      <c r="AL273"/>
    </row>
    <row r="274" spans="1:38" s="3" customFormat="1" ht="14.45">
      <c r="A274" s="4" t="s">
        <v>1331</v>
      </c>
      <c r="B274" s="4" t="s">
        <v>1332</v>
      </c>
      <c r="C274" s="4" t="s">
        <v>1333</v>
      </c>
      <c r="D274" s="4" t="s">
        <v>1334</v>
      </c>
      <c r="E274" s="4" t="s">
        <v>1335</v>
      </c>
      <c r="F274" s="9">
        <v>3</v>
      </c>
      <c r="G274" s="9">
        <v>1</v>
      </c>
      <c r="H274" s="9">
        <f t="shared" si="18"/>
        <v>3</v>
      </c>
      <c r="I274" s="9" t="s">
        <v>72</v>
      </c>
      <c r="J274" s="4" t="s">
        <v>718</v>
      </c>
      <c r="K274" s="4" t="s">
        <v>718</v>
      </c>
      <c r="L274" s="8" t="s">
        <v>86</v>
      </c>
      <c r="M274" s="9" t="s">
        <v>60</v>
      </c>
      <c r="N274" s="4" t="s">
        <v>1323</v>
      </c>
      <c r="O274" s="4"/>
      <c r="P274" s="4"/>
      <c r="Q274" s="4"/>
      <c r="R274"/>
      <c r="S274"/>
      <c r="T274"/>
      <c r="U274"/>
      <c r="V274"/>
      <c r="W274"/>
      <c r="X274"/>
      <c r="Y274"/>
      <c r="Z274"/>
      <c r="AA274"/>
      <c r="AB274"/>
      <c r="AC274"/>
      <c r="AD274"/>
      <c r="AE274"/>
      <c r="AF274"/>
      <c r="AG274"/>
      <c r="AH274"/>
      <c r="AI274"/>
      <c r="AJ274"/>
      <c r="AK274"/>
      <c r="AL274"/>
    </row>
    <row r="275" spans="1:38" s="3" customFormat="1" ht="28.9">
      <c r="A275" s="4" t="s">
        <v>1336</v>
      </c>
      <c r="B275" s="4" t="s">
        <v>1337</v>
      </c>
      <c r="C275" s="4" t="s">
        <v>1338</v>
      </c>
      <c r="D275" s="4" t="s">
        <v>1339</v>
      </c>
      <c r="E275" s="4" t="s">
        <v>1335</v>
      </c>
      <c r="F275" s="9">
        <v>3</v>
      </c>
      <c r="G275" s="9">
        <v>1</v>
      </c>
      <c r="H275" s="9">
        <f t="shared" si="18"/>
        <v>3</v>
      </c>
      <c r="I275" s="9" t="s">
        <v>72</v>
      </c>
      <c r="J275" s="4" t="s">
        <v>1328</v>
      </c>
      <c r="K275" s="4" t="s">
        <v>1329</v>
      </c>
      <c r="L275" s="8" t="s">
        <v>86</v>
      </c>
      <c r="M275" s="9" t="s">
        <v>60</v>
      </c>
      <c r="N275" s="4" t="s">
        <v>1330</v>
      </c>
      <c r="O275" s="4"/>
      <c r="P275" s="4"/>
      <c r="Q275" s="4"/>
      <c r="R275"/>
      <c r="S275"/>
      <c r="T275"/>
      <c r="U275"/>
      <c r="V275"/>
      <c r="W275"/>
      <c r="X275"/>
      <c r="Y275"/>
      <c r="Z275"/>
      <c r="AA275"/>
      <c r="AB275"/>
      <c r="AC275"/>
      <c r="AD275"/>
      <c r="AE275"/>
      <c r="AF275"/>
      <c r="AG275"/>
      <c r="AH275"/>
      <c r="AI275"/>
      <c r="AJ275"/>
      <c r="AK275"/>
      <c r="AL275"/>
    </row>
    <row r="276" spans="1:38" s="3" customFormat="1" ht="14.45">
      <c r="A276" s="4" t="s">
        <v>1340</v>
      </c>
      <c r="B276" s="4" t="s">
        <v>1341</v>
      </c>
      <c r="C276" s="37" t="s">
        <v>1342</v>
      </c>
      <c r="D276" s="4" t="s">
        <v>1343</v>
      </c>
      <c r="E276" s="4" t="s">
        <v>1344</v>
      </c>
      <c r="F276" s="9">
        <v>4</v>
      </c>
      <c r="G276" s="9">
        <v>1</v>
      </c>
      <c r="H276" s="9">
        <f t="shared" si="18"/>
        <v>4</v>
      </c>
      <c r="I276" s="9" t="s">
        <v>72</v>
      </c>
      <c r="J276" s="4" t="s">
        <v>1345</v>
      </c>
      <c r="K276" s="4" t="s">
        <v>1345</v>
      </c>
      <c r="L276" s="8" t="s">
        <v>86</v>
      </c>
      <c r="M276" s="9" t="s">
        <v>60</v>
      </c>
      <c r="N276" s="4" t="s">
        <v>1323</v>
      </c>
      <c r="O276" s="4"/>
      <c r="P276" s="4"/>
      <c r="Q276" s="4"/>
      <c r="R276"/>
      <c r="S276"/>
      <c r="T276"/>
      <c r="U276"/>
      <c r="V276"/>
      <c r="W276"/>
      <c r="X276"/>
      <c r="Y276"/>
      <c r="Z276"/>
      <c r="AA276"/>
      <c r="AB276"/>
      <c r="AC276"/>
      <c r="AD276"/>
      <c r="AE276"/>
      <c r="AF276"/>
      <c r="AG276"/>
      <c r="AH276"/>
      <c r="AI276"/>
      <c r="AJ276"/>
      <c r="AK276"/>
      <c r="AL276"/>
    </row>
    <row r="277" spans="1:38" s="3" customFormat="1" ht="28.9">
      <c r="A277" s="4" t="s">
        <v>1346</v>
      </c>
      <c r="B277" s="4" t="s">
        <v>1347</v>
      </c>
      <c r="C277" s="37" t="s">
        <v>1348</v>
      </c>
      <c r="D277" s="4" t="s">
        <v>1349</v>
      </c>
      <c r="E277" s="4" t="s">
        <v>1350</v>
      </c>
      <c r="F277" s="9">
        <v>4</v>
      </c>
      <c r="G277" s="9">
        <v>1</v>
      </c>
      <c r="H277" s="9">
        <f t="shared" si="18"/>
        <v>4</v>
      </c>
      <c r="I277" s="9" t="s">
        <v>72</v>
      </c>
      <c r="J277" s="4" t="s">
        <v>1345</v>
      </c>
      <c r="K277" s="4" t="s">
        <v>1345</v>
      </c>
      <c r="L277" s="8" t="s">
        <v>80</v>
      </c>
      <c r="M277" s="9" t="s">
        <v>60</v>
      </c>
      <c r="N277" s="4" t="s">
        <v>1330</v>
      </c>
      <c r="O277" s="4"/>
      <c r="P277" s="4"/>
      <c r="Q277" s="4"/>
      <c r="R277"/>
      <c r="S277"/>
      <c r="T277"/>
      <c r="U277"/>
      <c r="V277"/>
      <c r="W277"/>
      <c r="X277"/>
      <c r="Y277"/>
      <c r="Z277"/>
      <c r="AA277"/>
      <c r="AB277"/>
      <c r="AC277"/>
      <c r="AD277"/>
      <c r="AE277"/>
      <c r="AF277"/>
      <c r="AG277"/>
      <c r="AH277"/>
      <c r="AI277"/>
      <c r="AJ277"/>
      <c r="AK277"/>
      <c r="AL277"/>
    </row>
    <row r="278" spans="1:38" s="3" customFormat="1" ht="28.9">
      <c r="A278" s="4" t="s">
        <v>1351</v>
      </c>
      <c r="B278" s="4" t="s">
        <v>1352</v>
      </c>
      <c r="C278" s="76" t="s">
        <v>1353</v>
      </c>
      <c r="D278" s="4" t="s">
        <v>1354</v>
      </c>
      <c r="E278" s="4" t="s">
        <v>558</v>
      </c>
      <c r="F278" s="9">
        <v>5</v>
      </c>
      <c r="G278" s="9">
        <v>1</v>
      </c>
      <c r="H278" s="9">
        <f>F278*G278</f>
        <v>5</v>
      </c>
      <c r="I278" s="9" t="s">
        <v>72</v>
      </c>
      <c r="J278" s="4" t="s">
        <v>59</v>
      </c>
      <c r="K278" s="4" t="s">
        <v>59</v>
      </c>
      <c r="L278" s="8" t="s">
        <v>24</v>
      </c>
      <c r="M278" s="9" t="s">
        <v>60</v>
      </c>
      <c r="N278" s="4" t="s">
        <v>1355</v>
      </c>
      <c r="O278" s="4"/>
      <c r="P278" s="4"/>
      <c r="Q278" s="4"/>
      <c r="R278"/>
      <c r="S278"/>
      <c r="T278"/>
      <c r="U278"/>
      <c r="V278"/>
      <c r="W278"/>
      <c r="X278"/>
      <c r="Y278"/>
      <c r="Z278"/>
      <c r="AA278"/>
      <c r="AB278"/>
      <c r="AC278"/>
      <c r="AD278"/>
      <c r="AE278"/>
      <c r="AF278"/>
      <c r="AG278"/>
      <c r="AH278"/>
      <c r="AI278"/>
      <c r="AJ278"/>
      <c r="AK278"/>
      <c r="AL278"/>
    </row>
    <row r="279" spans="1:38" s="3" customFormat="1" ht="14.45">
      <c r="A279" s="4" t="s">
        <v>1356</v>
      </c>
      <c r="B279" s="4" t="s">
        <v>1357</v>
      </c>
      <c r="C279" s="4" t="s">
        <v>1358</v>
      </c>
      <c r="D279" s="4" t="s">
        <v>1354</v>
      </c>
      <c r="E279" s="4" t="s">
        <v>533</v>
      </c>
      <c r="F279" s="9">
        <v>5</v>
      </c>
      <c r="G279" s="9">
        <v>1</v>
      </c>
      <c r="H279" s="9">
        <f t="shared" si="18"/>
        <v>5</v>
      </c>
      <c r="I279" s="9" t="s">
        <v>72</v>
      </c>
      <c r="J279" s="4" t="s">
        <v>59</v>
      </c>
      <c r="K279" s="4" t="s">
        <v>59</v>
      </c>
      <c r="L279" s="8" t="s">
        <v>24</v>
      </c>
      <c r="M279" s="9" t="s">
        <v>60</v>
      </c>
      <c r="N279" s="4" t="s">
        <v>1359</v>
      </c>
      <c r="O279" s="4"/>
      <c r="P279" s="4"/>
      <c r="Q279" s="4"/>
      <c r="R279"/>
      <c r="S279"/>
      <c r="T279"/>
      <c r="U279"/>
      <c r="V279"/>
      <c r="W279"/>
      <c r="X279"/>
      <c r="Y279"/>
      <c r="Z279"/>
      <c r="AA279"/>
      <c r="AB279"/>
      <c r="AC279"/>
      <c r="AD279"/>
      <c r="AE279"/>
      <c r="AF279"/>
      <c r="AG279"/>
      <c r="AH279"/>
      <c r="AI279"/>
      <c r="AJ279"/>
      <c r="AK279"/>
      <c r="AL279"/>
    </row>
    <row r="280" spans="1:38" s="3" customFormat="1" ht="14.45">
      <c r="A280" s="4" t="s">
        <v>1360</v>
      </c>
      <c r="B280" s="4" t="s">
        <v>1361</v>
      </c>
      <c r="C280" s="4" t="s">
        <v>1362</v>
      </c>
      <c r="D280" s="4" t="s">
        <v>1363</v>
      </c>
      <c r="E280" s="4" t="s">
        <v>497</v>
      </c>
      <c r="F280" s="9">
        <v>5</v>
      </c>
      <c r="G280" s="9">
        <v>1</v>
      </c>
      <c r="H280" s="9">
        <f t="shared" si="18"/>
        <v>5</v>
      </c>
      <c r="I280" s="9" t="s">
        <v>72</v>
      </c>
      <c r="J280" s="4" t="s">
        <v>59</v>
      </c>
      <c r="K280" s="4" t="s">
        <v>59</v>
      </c>
      <c r="L280" s="8" t="s">
        <v>24</v>
      </c>
      <c r="M280" s="9" t="s">
        <v>60</v>
      </c>
      <c r="N280" s="4" t="s">
        <v>1364</v>
      </c>
      <c r="O280" s="4"/>
      <c r="P280" s="4"/>
      <c r="Q280" s="4"/>
      <c r="R280"/>
      <c r="S280"/>
      <c r="T280"/>
      <c r="U280"/>
      <c r="V280"/>
      <c r="W280"/>
      <c r="X280"/>
      <c r="Y280"/>
      <c r="Z280"/>
      <c r="AA280"/>
      <c r="AB280"/>
      <c r="AC280"/>
      <c r="AD280"/>
      <c r="AE280"/>
      <c r="AF280"/>
      <c r="AG280"/>
      <c r="AH280"/>
      <c r="AI280"/>
      <c r="AJ280"/>
      <c r="AK280"/>
      <c r="AL280"/>
    </row>
    <row r="281" spans="1:38" s="3" customFormat="1" ht="28.9">
      <c r="A281" s="4" t="s">
        <v>1365</v>
      </c>
      <c r="B281" s="4" t="s">
        <v>1366</v>
      </c>
      <c r="C281" s="4" t="s">
        <v>1367</v>
      </c>
      <c r="D281" s="4" t="s">
        <v>1368</v>
      </c>
      <c r="E281" s="4" t="s">
        <v>1369</v>
      </c>
      <c r="F281" s="9">
        <v>4</v>
      </c>
      <c r="G281" s="9">
        <v>1</v>
      </c>
      <c r="H281" s="9">
        <f>F281*G281</f>
        <v>4</v>
      </c>
      <c r="I281" s="9" t="s">
        <v>72</v>
      </c>
      <c r="J281" s="4" t="s">
        <v>59</v>
      </c>
      <c r="K281" s="4" t="s">
        <v>59</v>
      </c>
      <c r="L281" s="8" t="s">
        <v>24</v>
      </c>
      <c r="M281" s="9" t="s">
        <v>25</v>
      </c>
      <c r="N281" s="4" t="s">
        <v>1370</v>
      </c>
      <c r="O281" s="4"/>
      <c r="P281" s="4"/>
      <c r="Q281" s="4"/>
      <c r="R281"/>
      <c r="S281"/>
      <c r="T281"/>
      <c r="U281"/>
      <c r="V281"/>
      <c r="W281"/>
      <c r="X281"/>
      <c r="Y281"/>
      <c r="Z281"/>
      <c r="AA281"/>
      <c r="AB281"/>
      <c r="AC281"/>
      <c r="AD281"/>
      <c r="AE281"/>
      <c r="AF281"/>
      <c r="AG281"/>
      <c r="AH281"/>
      <c r="AI281"/>
      <c r="AJ281"/>
      <c r="AK281"/>
      <c r="AL281"/>
    </row>
    <row r="282" spans="1:38" s="3" customFormat="1" ht="28.9">
      <c r="A282" s="85" t="s">
        <v>1371</v>
      </c>
      <c r="B282" s="85" t="s">
        <v>1372</v>
      </c>
      <c r="C282" s="95" t="s">
        <v>1373</v>
      </c>
      <c r="D282" s="86" t="s">
        <v>1374</v>
      </c>
      <c r="E282" s="4" t="s">
        <v>737</v>
      </c>
      <c r="F282" s="87">
        <v>4</v>
      </c>
      <c r="G282" s="87">
        <v>1</v>
      </c>
      <c r="H282" s="87">
        <f>F282*G282</f>
        <v>4</v>
      </c>
      <c r="I282" s="87" t="s">
        <v>72</v>
      </c>
      <c r="J282" s="122" t="s">
        <v>1375</v>
      </c>
      <c r="K282" s="58" t="s">
        <v>1376</v>
      </c>
      <c r="L282" s="55" t="s">
        <v>24</v>
      </c>
      <c r="M282" s="87" t="s">
        <v>100</v>
      </c>
      <c r="N282" s="85" t="s">
        <v>1377</v>
      </c>
      <c r="O282" s="4"/>
      <c r="P282" s="4"/>
      <c r="Q282" s="4"/>
      <c r="R282"/>
      <c r="S282"/>
      <c r="T282"/>
      <c r="U282"/>
      <c r="V282"/>
      <c r="W282"/>
      <c r="X282"/>
      <c r="Y282"/>
      <c r="Z282"/>
      <c r="AA282"/>
      <c r="AB282"/>
      <c r="AC282"/>
      <c r="AD282"/>
      <c r="AE282"/>
      <c r="AF282"/>
      <c r="AG282"/>
      <c r="AH282"/>
      <c r="AI282"/>
      <c r="AJ282"/>
      <c r="AK282"/>
      <c r="AL282"/>
    </row>
    <row r="283" spans="1:38" s="3" customFormat="1" ht="28.9">
      <c r="A283" s="76" t="s">
        <v>1378</v>
      </c>
      <c r="B283" s="76" t="s">
        <v>1379</v>
      </c>
      <c r="C283" s="88" t="s">
        <v>1380</v>
      </c>
      <c r="D283" s="89" t="s">
        <v>1381</v>
      </c>
      <c r="E283" s="4" t="s">
        <v>737</v>
      </c>
      <c r="F283" s="94">
        <v>5</v>
      </c>
      <c r="G283" s="94">
        <v>1</v>
      </c>
      <c r="H283" s="90">
        <f>F283*G283</f>
        <v>5</v>
      </c>
      <c r="I283" s="90" t="s">
        <v>72</v>
      </c>
      <c r="J283" s="88" t="s">
        <v>1382</v>
      </c>
      <c r="K283" s="88" t="s">
        <v>1382</v>
      </c>
      <c r="L283" s="91" t="s">
        <v>24</v>
      </c>
      <c r="M283" s="90" t="s">
        <v>100</v>
      </c>
      <c r="N283" s="76" t="s">
        <v>1383</v>
      </c>
      <c r="O283" s="4"/>
      <c r="P283" s="4"/>
      <c r="Q283" s="4"/>
      <c r="R283"/>
      <c r="S283"/>
      <c r="T283"/>
      <c r="U283"/>
      <c r="V283"/>
      <c r="W283"/>
      <c r="X283"/>
      <c r="Y283"/>
      <c r="Z283"/>
      <c r="AA283"/>
      <c r="AB283"/>
      <c r="AC283"/>
      <c r="AD283"/>
      <c r="AE283"/>
      <c r="AF283"/>
      <c r="AG283"/>
      <c r="AH283"/>
      <c r="AI283"/>
      <c r="AJ283"/>
      <c r="AK283"/>
      <c r="AL283"/>
    </row>
    <row r="284" spans="1:38" s="3" customFormat="1" ht="28.9">
      <c r="A284" s="92" t="s">
        <v>1384</v>
      </c>
      <c r="B284" s="92" t="s">
        <v>1385</v>
      </c>
      <c r="C284" s="92" t="s">
        <v>1386</v>
      </c>
      <c r="D284" s="92" t="s">
        <v>1387</v>
      </c>
      <c r="E284" s="4" t="s">
        <v>737</v>
      </c>
      <c r="F284" s="93">
        <v>4</v>
      </c>
      <c r="G284" s="93">
        <v>2</v>
      </c>
      <c r="H284" s="93">
        <f>F284*G284</f>
        <v>8</v>
      </c>
      <c r="I284" s="93" t="s">
        <v>72</v>
      </c>
      <c r="J284" s="92" t="s">
        <v>1388</v>
      </c>
      <c r="K284" s="92" t="s">
        <v>1389</v>
      </c>
      <c r="L284" s="55" t="s">
        <v>24</v>
      </c>
      <c r="M284" s="93" t="s">
        <v>87</v>
      </c>
      <c r="N284" s="92" t="s">
        <v>1390</v>
      </c>
      <c r="O284" s="4"/>
      <c r="P284" s="4"/>
      <c r="Q284" s="4"/>
      <c r="R284"/>
      <c r="S284"/>
      <c r="T284"/>
      <c r="U284"/>
      <c r="V284"/>
      <c r="W284"/>
      <c r="X284"/>
      <c r="Y284"/>
      <c r="Z284"/>
      <c r="AA284"/>
      <c r="AB284"/>
      <c r="AC284"/>
      <c r="AD284"/>
      <c r="AE284"/>
      <c r="AF284"/>
      <c r="AG284"/>
      <c r="AH284"/>
      <c r="AI284"/>
      <c r="AJ284"/>
      <c r="AK284"/>
      <c r="AL284"/>
    </row>
    <row r="285" spans="1:38" s="3" customFormat="1" ht="28.9">
      <c r="A285" s="4" t="s">
        <v>1391</v>
      </c>
      <c r="B285" s="4" t="s">
        <v>1126</v>
      </c>
      <c r="C285" s="37" t="s">
        <v>1392</v>
      </c>
      <c r="D285" s="4" t="s">
        <v>1393</v>
      </c>
      <c r="E285" s="4" t="s">
        <v>737</v>
      </c>
      <c r="F285" s="9">
        <v>3</v>
      </c>
      <c r="G285" s="9">
        <v>1</v>
      </c>
      <c r="H285" s="9">
        <f>F285*G285</f>
        <v>3</v>
      </c>
      <c r="I285" s="9" t="s">
        <v>72</v>
      </c>
      <c r="J285" s="37" t="s">
        <v>1394</v>
      </c>
      <c r="K285" s="37" t="s">
        <v>1395</v>
      </c>
      <c r="L285" s="55" t="s">
        <v>24</v>
      </c>
      <c r="M285" s="9" t="s">
        <v>87</v>
      </c>
      <c r="N285" s="4" t="s">
        <v>1396</v>
      </c>
      <c r="O285" s="4"/>
      <c r="P285" s="4"/>
      <c r="Q285" s="4"/>
      <c r="R285"/>
      <c r="S285"/>
      <c r="T285"/>
      <c r="U285"/>
      <c r="V285"/>
      <c r="W285"/>
      <c r="X285"/>
      <c r="Y285"/>
      <c r="Z285"/>
      <c r="AA285"/>
      <c r="AB285"/>
      <c r="AC285"/>
      <c r="AD285"/>
      <c r="AE285"/>
      <c r="AF285"/>
      <c r="AG285"/>
      <c r="AH285"/>
      <c r="AI285"/>
      <c r="AJ285"/>
      <c r="AK285"/>
      <c r="AL285"/>
    </row>
    <row r="286" spans="1:38" s="3" customFormat="1" ht="14.85" customHeight="1">
      <c r="A286" s="161" t="s">
        <v>1397</v>
      </c>
      <c r="B286" s="161"/>
      <c r="C286" s="161"/>
      <c r="D286" s="161"/>
      <c r="E286" s="161"/>
      <c r="F286" s="161"/>
      <c r="G286" s="161"/>
      <c r="H286" s="161"/>
      <c r="I286" s="161"/>
      <c r="J286" s="161"/>
      <c r="K286" s="161"/>
      <c r="L286" s="161"/>
      <c r="M286" s="161"/>
      <c r="N286" s="161"/>
      <c r="O286" s="161"/>
      <c r="P286" s="161"/>
      <c r="Q286" s="161"/>
      <c r="R286"/>
      <c r="S286"/>
      <c r="T286"/>
      <c r="U286"/>
      <c r="V286"/>
      <c r="W286"/>
      <c r="X286"/>
      <c r="Y286"/>
      <c r="Z286"/>
      <c r="AA286"/>
      <c r="AB286"/>
      <c r="AC286"/>
      <c r="AD286"/>
      <c r="AE286"/>
      <c r="AF286"/>
      <c r="AG286"/>
      <c r="AH286"/>
      <c r="AI286"/>
      <c r="AJ286"/>
      <c r="AK286"/>
      <c r="AL286"/>
    </row>
    <row r="287" spans="1:38" s="3" customFormat="1" ht="36" customHeight="1">
      <c r="A287" s="4" t="s">
        <v>1398</v>
      </c>
      <c r="B287" s="4" t="s">
        <v>1399</v>
      </c>
      <c r="C287" s="4" t="s">
        <v>1400</v>
      </c>
      <c r="D287" s="4" t="s">
        <v>1401</v>
      </c>
      <c r="E287" s="4"/>
      <c r="F287" s="9"/>
      <c r="G287" s="9"/>
      <c r="H287" s="9">
        <v>0</v>
      </c>
      <c r="I287" s="9"/>
      <c r="J287" s="4"/>
      <c r="K287" s="4"/>
      <c r="L287" s="8" t="s">
        <v>24</v>
      </c>
      <c r="M287" s="9" t="s">
        <v>25</v>
      </c>
      <c r="N287" s="4" t="s">
        <v>1402</v>
      </c>
      <c r="O287" s="4"/>
      <c r="P287" s="4"/>
      <c r="Q287" s="4"/>
      <c r="R287"/>
      <c r="S287"/>
      <c r="T287"/>
      <c r="U287"/>
      <c r="V287"/>
      <c r="W287"/>
      <c r="X287"/>
      <c r="Y287"/>
      <c r="Z287"/>
      <c r="AA287"/>
      <c r="AB287"/>
      <c r="AC287"/>
      <c r="AD287"/>
      <c r="AE287"/>
      <c r="AF287"/>
      <c r="AG287"/>
      <c r="AH287"/>
      <c r="AI287"/>
      <c r="AJ287"/>
      <c r="AK287"/>
      <c r="AL287"/>
    </row>
    <row r="288" spans="1:38" s="3" customFormat="1" ht="28.9">
      <c r="A288" s="4" t="s">
        <v>1403</v>
      </c>
      <c r="B288" s="4" t="s">
        <v>1404</v>
      </c>
      <c r="C288" s="4" t="s">
        <v>1405</v>
      </c>
      <c r="D288" s="4" t="s">
        <v>1406</v>
      </c>
      <c r="E288" s="4"/>
      <c r="F288" s="9"/>
      <c r="G288" s="9"/>
      <c r="H288" s="9">
        <v>0</v>
      </c>
      <c r="I288" s="9"/>
      <c r="J288" s="4"/>
      <c r="K288" s="4"/>
      <c r="L288" s="8"/>
      <c r="M288" s="9" t="s">
        <v>25</v>
      </c>
      <c r="N288" s="4" t="s">
        <v>1407</v>
      </c>
      <c r="O288" s="4"/>
      <c r="P288" s="4"/>
      <c r="Q288" s="4"/>
      <c r="R288"/>
      <c r="S288"/>
      <c r="T288"/>
      <c r="U288"/>
      <c r="V288"/>
      <c r="W288"/>
      <c r="X288"/>
      <c r="Y288"/>
      <c r="Z288"/>
      <c r="AA288"/>
      <c r="AB288"/>
      <c r="AC288"/>
      <c r="AD288"/>
      <c r="AE288"/>
      <c r="AF288"/>
      <c r="AG288"/>
      <c r="AH288"/>
      <c r="AI288"/>
      <c r="AJ288"/>
      <c r="AK288"/>
      <c r="AL288"/>
    </row>
    <row r="289" spans="1:38" s="3" customFormat="1" ht="14.45">
      <c r="A289" s="4" t="s">
        <v>1408</v>
      </c>
      <c r="B289" s="4" t="s">
        <v>1409</v>
      </c>
      <c r="C289" s="4" t="s">
        <v>1410</v>
      </c>
      <c r="D289" s="4"/>
      <c r="E289" s="4"/>
      <c r="F289" s="9"/>
      <c r="G289" s="9"/>
      <c r="H289" s="9"/>
      <c r="I289" s="9"/>
      <c r="J289" s="4"/>
      <c r="K289" s="4"/>
      <c r="L289" s="8"/>
      <c r="M289" s="9" t="s">
        <v>50</v>
      </c>
      <c r="N289" s="4" t="s">
        <v>1411</v>
      </c>
      <c r="O289" s="4"/>
      <c r="P289" s="4"/>
      <c r="Q289" s="4"/>
      <c r="R289"/>
      <c r="S289"/>
      <c r="T289"/>
      <c r="U289"/>
      <c r="V289"/>
      <c r="W289"/>
      <c r="X289"/>
      <c r="Y289"/>
      <c r="Z289"/>
      <c r="AA289"/>
      <c r="AB289"/>
      <c r="AC289"/>
      <c r="AD289"/>
      <c r="AE289"/>
      <c r="AF289"/>
      <c r="AG289"/>
      <c r="AH289"/>
      <c r="AI289"/>
      <c r="AJ289"/>
      <c r="AK289"/>
      <c r="AL289"/>
    </row>
    <row r="290" spans="1:38" s="3" customFormat="1" ht="28.9">
      <c r="A290" s="4" t="s">
        <v>1412</v>
      </c>
      <c r="B290" s="4" t="s">
        <v>1413</v>
      </c>
      <c r="C290" s="4" t="s">
        <v>1414</v>
      </c>
      <c r="D290" s="4" t="s">
        <v>1415</v>
      </c>
      <c r="E290" s="4"/>
      <c r="F290" s="9"/>
      <c r="G290" s="9"/>
      <c r="H290" s="9">
        <f t="shared" ref="H290" si="19">F290*G290</f>
        <v>0</v>
      </c>
      <c r="I290" s="9"/>
      <c r="J290" s="4"/>
      <c r="K290" s="4"/>
      <c r="L290" s="8"/>
      <c r="M290" s="9" t="s">
        <v>25</v>
      </c>
      <c r="N290" s="4" t="s">
        <v>1416</v>
      </c>
      <c r="O290" s="4"/>
      <c r="P290" s="4"/>
      <c r="Q290" s="4"/>
      <c r="S290"/>
      <c r="T290"/>
      <c r="U290"/>
      <c r="V290"/>
      <c r="W290"/>
      <c r="X290"/>
      <c r="Y290"/>
      <c r="Z290"/>
      <c r="AA290"/>
      <c r="AB290"/>
      <c r="AC290"/>
      <c r="AD290"/>
      <c r="AE290"/>
      <c r="AF290"/>
      <c r="AG290"/>
      <c r="AH290"/>
      <c r="AI290"/>
      <c r="AJ290"/>
      <c r="AK290"/>
      <c r="AL290"/>
    </row>
    <row r="291" spans="1:38" s="3" customFormat="1" ht="14.45">
      <c r="A291" s="4" t="s">
        <v>1417</v>
      </c>
      <c r="B291" s="4" t="s">
        <v>1418</v>
      </c>
      <c r="C291" s="4" t="s">
        <v>1419</v>
      </c>
      <c r="D291" s="4"/>
      <c r="E291" s="4"/>
      <c r="F291" s="9"/>
      <c r="G291" s="9"/>
      <c r="H291" s="9"/>
      <c r="I291" s="9"/>
      <c r="J291" s="4"/>
      <c r="K291" s="4"/>
      <c r="L291" s="8"/>
      <c r="M291" s="9" t="s">
        <v>25</v>
      </c>
      <c r="N291" s="4" t="s">
        <v>1420</v>
      </c>
      <c r="O291" s="4"/>
      <c r="P291" s="4"/>
      <c r="Q291" s="4"/>
      <c r="R291"/>
      <c r="S291"/>
      <c r="T291"/>
      <c r="U291"/>
      <c r="V291"/>
      <c r="W291"/>
      <c r="X291"/>
      <c r="Y291"/>
      <c r="Z291"/>
      <c r="AA291"/>
      <c r="AB291"/>
      <c r="AC291"/>
      <c r="AD291"/>
      <c r="AE291"/>
      <c r="AF291"/>
      <c r="AG291"/>
      <c r="AH291"/>
      <c r="AI291"/>
      <c r="AJ291"/>
      <c r="AK291"/>
      <c r="AL291"/>
    </row>
    <row r="292" spans="1:38" s="3" customFormat="1" ht="14.45">
      <c r="A292" s="4" t="s">
        <v>1421</v>
      </c>
      <c r="B292" s="4" t="s">
        <v>1422</v>
      </c>
      <c r="C292" s="4" t="s">
        <v>1423</v>
      </c>
      <c r="D292" s="4" t="s">
        <v>1424</v>
      </c>
      <c r="E292" s="4"/>
      <c r="F292" s="9"/>
      <c r="G292" s="9"/>
      <c r="H292" s="9"/>
      <c r="I292" s="9"/>
      <c r="J292" s="4"/>
      <c r="K292" s="4"/>
      <c r="L292" s="8"/>
      <c r="M292" s="9" t="s">
        <v>25</v>
      </c>
      <c r="N292" s="4" t="s">
        <v>1425</v>
      </c>
      <c r="O292" s="4"/>
      <c r="P292" s="4"/>
      <c r="Q292" s="4"/>
      <c r="R292"/>
      <c r="S292"/>
      <c r="T292"/>
      <c r="U292"/>
      <c r="V292"/>
      <c r="W292"/>
      <c r="X292"/>
      <c r="Y292"/>
      <c r="Z292"/>
      <c r="AA292"/>
      <c r="AB292"/>
      <c r="AC292"/>
      <c r="AD292"/>
      <c r="AE292"/>
      <c r="AF292"/>
      <c r="AG292"/>
      <c r="AH292"/>
      <c r="AI292"/>
      <c r="AJ292"/>
      <c r="AK292"/>
      <c r="AL292"/>
    </row>
    <row r="293" spans="1:38" s="3" customFormat="1" ht="14.45">
      <c r="A293" s="4"/>
      <c r="B293" s="4"/>
      <c r="C293" s="4"/>
      <c r="D293" s="4"/>
      <c r="E293" s="4"/>
      <c r="F293" s="9"/>
      <c r="G293" s="9"/>
      <c r="H293" s="9"/>
      <c r="I293" s="9"/>
      <c r="J293" s="4"/>
      <c r="K293" s="4"/>
      <c r="L293" s="9"/>
      <c r="M293" s="9"/>
      <c r="N293" s="4"/>
      <c r="O293" s="4"/>
      <c r="P293" s="4"/>
      <c r="Q293" s="4"/>
      <c r="R293"/>
      <c r="S293"/>
      <c r="T293"/>
      <c r="U293"/>
      <c r="V293"/>
      <c r="W293"/>
      <c r="X293"/>
      <c r="Y293"/>
      <c r="Z293"/>
      <c r="AA293"/>
      <c r="AB293"/>
      <c r="AC293"/>
      <c r="AD293"/>
      <c r="AE293"/>
      <c r="AF293"/>
      <c r="AG293"/>
      <c r="AH293"/>
      <c r="AI293"/>
      <c r="AJ293"/>
      <c r="AK293"/>
      <c r="AL293"/>
    </row>
    <row r="294" spans="1:38" s="3" customFormat="1" ht="14.85" customHeight="1">
      <c r="A294" s="161" t="s">
        <v>1426</v>
      </c>
      <c r="B294" s="161"/>
      <c r="C294" s="161"/>
      <c r="D294" s="161"/>
      <c r="E294" s="161"/>
      <c r="F294" s="161"/>
      <c r="G294" s="161"/>
      <c r="H294" s="161"/>
      <c r="I294" s="161"/>
      <c r="J294" s="161"/>
      <c r="K294" s="161"/>
      <c r="L294" s="161"/>
      <c r="M294" s="161"/>
      <c r="N294" s="161"/>
      <c r="O294" s="161"/>
      <c r="P294" s="161"/>
      <c r="Q294" s="161"/>
      <c r="R294"/>
      <c r="S294"/>
      <c r="T294"/>
      <c r="U294"/>
      <c r="V294"/>
      <c r="W294"/>
      <c r="X294"/>
      <c r="Y294"/>
      <c r="Z294"/>
      <c r="AA294"/>
      <c r="AB294"/>
      <c r="AC294"/>
      <c r="AD294"/>
      <c r="AE294"/>
      <c r="AF294"/>
      <c r="AG294"/>
      <c r="AH294"/>
      <c r="AI294"/>
      <c r="AJ294"/>
      <c r="AK294"/>
      <c r="AL294"/>
    </row>
    <row r="295" spans="1:38" s="3" customFormat="1" ht="43.15">
      <c r="A295" s="4" t="s">
        <v>1427</v>
      </c>
      <c r="B295" s="4" t="s">
        <v>1428</v>
      </c>
      <c r="C295" s="4" t="s">
        <v>1429</v>
      </c>
      <c r="D295" s="4" t="s">
        <v>1430</v>
      </c>
      <c r="E295" s="4" t="s">
        <v>867</v>
      </c>
      <c r="F295" s="9">
        <v>3</v>
      </c>
      <c r="G295" s="9">
        <v>2</v>
      </c>
      <c r="H295" s="9">
        <f>F295*G295</f>
        <v>6</v>
      </c>
      <c r="I295" s="9" t="s">
        <v>72</v>
      </c>
      <c r="J295" s="51">
        <v>2.6</v>
      </c>
      <c r="K295" s="51" t="s">
        <v>790</v>
      </c>
      <c r="L295" s="8" t="s">
        <v>80</v>
      </c>
      <c r="M295" s="9" t="s">
        <v>50</v>
      </c>
      <c r="N295" s="4" t="s">
        <v>1431</v>
      </c>
      <c r="O295" s="4"/>
      <c r="P295" s="4"/>
      <c r="Q295" s="4"/>
      <c r="R295"/>
      <c r="S295"/>
      <c r="T295"/>
      <c r="U295"/>
      <c r="V295"/>
      <c r="W295"/>
      <c r="X295"/>
      <c r="Y295"/>
      <c r="Z295"/>
      <c r="AA295"/>
      <c r="AB295"/>
      <c r="AC295"/>
      <c r="AD295"/>
      <c r="AE295"/>
      <c r="AF295"/>
      <c r="AG295"/>
      <c r="AH295"/>
      <c r="AI295"/>
      <c r="AJ295"/>
      <c r="AK295"/>
      <c r="AL295"/>
    </row>
    <row r="296" spans="1:38" s="3" customFormat="1" ht="43.15">
      <c r="A296" s="4" t="s">
        <v>1432</v>
      </c>
      <c r="B296" s="62" t="s">
        <v>1433</v>
      </c>
      <c r="C296" s="63" t="s">
        <v>1434</v>
      </c>
      <c r="D296" s="4" t="s">
        <v>1435</v>
      </c>
      <c r="E296" s="4" t="s">
        <v>867</v>
      </c>
      <c r="F296" s="9">
        <v>5</v>
      </c>
      <c r="G296" s="9">
        <v>2</v>
      </c>
      <c r="H296" s="9">
        <f>F296*G296</f>
        <v>10</v>
      </c>
      <c r="I296" s="9" t="s">
        <v>72</v>
      </c>
      <c r="J296" s="51" t="s">
        <v>790</v>
      </c>
      <c r="K296" s="51" t="s">
        <v>1436</v>
      </c>
      <c r="L296" s="8" t="s">
        <v>80</v>
      </c>
      <c r="M296" s="9" t="s">
        <v>87</v>
      </c>
      <c r="N296" s="4" t="s">
        <v>1437</v>
      </c>
      <c r="O296" s="4"/>
      <c r="P296" s="4"/>
      <c r="Q296" s="4"/>
      <c r="R296"/>
      <c r="S296"/>
      <c r="T296"/>
      <c r="U296"/>
      <c r="V296"/>
      <c r="W296"/>
      <c r="X296"/>
      <c r="Y296"/>
      <c r="Z296"/>
      <c r="AA296"/>
      <c r="AB296"/>
      <c r="AC296"/>
      <c r="AD296"/>
      <c r="AE296"/>
      <c r="AF296"/>
      <c r="AG296"/>
      <c r="AH296"/>
      <c r="AI296"/>
      <c r="AJ296"/>
      <c r="AK296"/>
      <c r="AL296"/>
    </row>
    <row r="297" spans="1:38" s="3" customFormat="1" ht="28.9">
      <c r="A297" s="4" t="s">
        <v>1438</v>
      </c>
      <c r="B297" s="62" t="s">
        <v>1439</v>
      </c>
      <c r="C297" s="63" t="s">
        <v>1440</v>
      </c>
      <c r="D297" s="4" t="s">
        <v>1441</v>
      </c>
      <c r="E297" s="4" t="s">
        <v>867</v>
      </c>
      <c r="F297" s="9">
        <v>1</v>
      </c>
      <c r="G297" s="9">
        <v>1</v>
      </c>
      <c r="H297" s="9">
        <f>F297*G297</f>
        <v>1</v>
      </c>
      <c r="I297" s="9" t="s">
        <v>72</v>
      </c>
      <c r="J297" s="51">
        <v>2</v>
      </c>
      <c r="K297" s="51">
        <v>2</v>
      </c>
      <c r="L297" s="8" t="s">
        <v>86</v>
      </c>
      <c r="M297" s="9" t="s">
        <v>198</v>
      </c>
      <c r="N297" s="4" t="s">
        <v>1442</v>
      </c>
      <c r="O297" s="4"/>
      <c r="P297" s="4"/>
      <c r="Q297" s="4"/>
      <c r="R297"/>
      <c r="S297"/>
      <c r="T297"/>
      <c r="U297"/>
      <c r="V297"/>
      <c r="W297"/>
      <c r="X297"/>
      <c r="Y297"/>
      <c r="Z297"/>
      <c r="AA297"/>
      <c r="AB297"/>
      <c r="AC297"/>
      <c r="AD297"/>
      <c r="AE297"/>
      <c r="AF297"/>
      <c r="AG297"/>
      <c r="AH297"/>
      <c r="AI297"/>
      <c r="AJ297"/>
      <c r="AK297"/>
      <c r="AL297"/>
    </row>
    <row r="298" spans="1:38" s="3" customFormat="1" ht="43.15">
      <c r="A298" s="4" t="s">
        <v>1443</v>
      </c>
      <c r="B298" s="62" t="s">
        <v>1444</v>
      </c>
      <c r="C298" s="63" t="s">
        <v>1445</v>
      </c>
      <c r="D298" s="4" t="s">
        <v>1446</v>
      </c>
      <c r="E298" s="4" t="s">
        <v>867</v>
      </c>
      <c r="F298" s="9">
        <v>1</v>
      </c>
      <c r="G298" s="9">
        <v>1</v>
      </c>
      <c r="H298" s="9">
        <f>F298*G298</f>
        <v>1</v>
      </c>
      <c r="I298" s="9" t="s">
        <v>72</v>
      </c>
      <c r="J298" s="51">
        <v>10</v>
      </c>
      <c r="K298" s="51">
        <v>24</v>
      </c>
      <c r="L298" s="8" t="s">
        <v>86</v>
      </c>
      <c r="M298" s="9" t="s">
        <v>238</v>
      </c>
      <c r="N298" s="4" t="s">
        <v>1431</v>
      </c>
      <c r="O298" s="4"/>
      <c r="P298" s="4"/>
      <c r="Q298" s="4"/>
      <c r="R298"/>
      <c r="S298"/>
      <c r="T298"/>
      <c r="U298"/>
      <c r="V298"/>
      <c r="W298"/>
      <c r="X298"/>
      <c r="Y298"/>
      <c r="Z298"/>
      <c r="AA298"/>
      <c r="AB298"/>
      <c r="AC298"/>
      <c r="AD298"/>
      <c r="AE298"/>
      <c r="AF298"/>
      <c r="AG298"/>
      <c r="AH298"/>
      <c r="AI298"/>
      <c r="AJ298"/>
      <c r="AK298"/>
      <c r="AL298"/>
    </row>
    <row r="299" spans="1:38" s="3" customFormat="1" ht="28.9">
      <c r="A299" s="4" t="s">
        <v>1447</v>
      </c>
      <c r="B299" s="4" t="s">
        <v>1448</v>
      </c>
      <c r="C299" s="4" t="s">
        <v>1449</v>
      </c>
      <c r="D299" s="4" t="s">
        <v>1450</v>
      </c>
      <c r="E299" s="4" t="s">
        <v>322</v>
      </c>
      <c r="F299" s="9">
        <v>5</v>
      </c>
      <c r="G299" s="9">
        <v>1</v>
      </c>
      <c r="H299" s="9">
        <f>G299*F299</f>
        <v>5</v>
      </c>
      <c r="I299" s="9" t="s">
        <v>58</v>
      </c>
      <c r="J299" s="51">
        <v>12</v>
      </c>
      <c r="K299" s="51" t="s">
        <v>790</v>
      </c>
      <c r="L299" s="55" t="s">
        <v>73</v>
      </c>
      <c r="M299" s="9" t="s">
        <v>87</v>
      </c>
      <c r="N299" s="4" t="s">
        <v>1451</v>
      </c>
      <c r="O299" s="4"/>
      <c r="P299" s="4"/>
      <c r="Q299" s="4"/>
      <c r="R299"/>
      <c r="S299"/>
      <c r="T299"/>
      <c r="U299"/>
      <c r="V299"/>
      <c r="W299"/>
      <c r="X299"/>
      <c r="Y299"/>
      <c r="Z299"/>
      <c r="AA299"/>
      <c r="AB299"/>
      <c r="AC299"/>
      <c r="AD299"/>
      <c r="AE299"/>
      <c r="AF299"/>
      <c r="AG299"/>
      <c r="AH299"/>
      <c r="AI299"/>
      <c r="AJ299"/>
      <c r="AK299"/>
      <c r="AL299"/>
    </row>
    <row r="300" spans="1:38" s="3" customFormat="1" ht="28.9">
      <c r="A300" s="4" t="s">
        <v>1452</v>
      </c>
      <c r="B300" s="4" t="s">
        <v>1453</v>
      </c>
      <c r="C300" s="4" t="s">
        <v>1454</v>
      </c>
      <c r="D300" s="4" t="s">
        <v>1455</v>
      </c>
      <c r="E300" s="4" t="s">
        <v>894</v>
      </c>
      <c r="F300" s="9">
        <v>4</v>
      </c>
      <c r="G300" s="9">
        <v>1</v>
      </c>
      <c r="H300" s="9">
        <f>G300*F300</f>
        <v>4</v>
      </c>
      <c r="I300" s="9" t="s">
        <v>72</v>
      </c>
      <c r="J300" s="4" t="s">
        <v>1456</v>
      </c>
      <c r="K300" s="4" t="s">
        <v>1456</v>
      </c>
      <c r="L300" s="8" t="s">
        <v>86</v>
      </c>
      <c r="M300" s="9" t="s">
        <v>50</v>
      </c>
      <c r="N300" s="4" t="s">
        <v>1457</v>
      </c>
      <c r="O300" s="4"/>
      <c r="P300" s="4"/>
      <c r="Q300" s="4"/>
      <c r="R300"/>
      <c r="S300"/>
      <c r="T300"/>
      <c r="U300"/>
      <c r="V300"/>
      <c r="W300"/>
      <c r="X300"/>
      <c r="Y300"/>
      <c r="Z300"/>
      <c r="AA300"/>
      <c r="AB300"/>
      <c r="AC300"/>
      <c r="AD300"/>
      <c r="AE300"/>
      <c r="AF300"/>
      <c r="AG300"/>
      <c r="AH300"/>
      <c r="AI300"/>
      <c r="AJ300"/>
      <c r="AK300"/>
      <c r="AL300"/>
    </row>
    <row r="301" spans="1:38" s="3" customFormat="1" ht="14.85" customHeight="1">
      <c r="A301" s="161" t="s">
        <v>1458</v>
      </c>
      <c r="B301" s="161"/>
      <c r="C301" s="161"/>
      <c r="D301" s="161"/>
      <c r="E301" s="161"/>
      <c r="F301" s="161"/>
      <c r="G301" s="161"/>
      <c r="H301" s="161"/>
      <c r="I301" s="161"/>
      <c r="J301" s="161"/>
      <c r="K301" s="161"/>
      <c r="L301" s="161"/>
      <c r="M301" s="161"/>
      <c r="N301" s="161"/>
      <c r="O301" s="161"/>
      <c r="P301" s="161"/>
      <c r="Q301" s="161"/>
      <c r="R301"/>
      <c r="S301"/>
      <c r="T301"/>
      <c r="U301"/>
      <c r="V301"/>
      <c r="W301"/>
      <c r="X301"/>
      <c r="Y301"/>
      <c r="Z301"/>
      <c r="AA301"/>
      <c r="AB301"/>
      <c r="AC301"/>
      <c r="AD301"/>
      <c r="AE301"/>
      <c r="AF301"/>
      <c r="AG301"/>
      <c r="AH301"/>
      <c r="AI301"/>
      <c r="AJ301"/>
      <c r="AK301"/>
      <c r="AL301"/>
    </row>
    <row r="302" spans="1:38" s="3" customFormat="1" ht="51.75" customHeight="1">
      <c r="A302" s="4" t="s">
        <v>1459</v>
      </c>
      <c r="B302" s="4" t="s">
        <v>1460</v>
      </c>
      <c r="C302" s="4" t="s">
        <v>1461</v>
      </c>
      <c r="D302" s="4" t="s">
        <v>1462</v>
      </c>
      <c r="E302" s="4" t="s">
        <v>1463</v>
      </c>
      <c r="F302" s="9">
        <v>4</v>
      </c>
      <c r="G302" s="9">
        <v>2</v>
      </c>
      <c r="H302" s="9">
        <f t="shared" ref="H302:H304" si="20">F302*G302</f>
        <v>8</v>
      </c>
      <c r="I302" s="9" t="s">
        <v>72</v>
      </c>
      <c r="J302" s="4"/>
      <c r="K302" s="4"/>
      <c r="L302" s="55" t="s">
        <v>86</v>
      </c>
      <c r="M302" s="9" t="s">
        <v>238</v>
      </c>
      <c r="N302" s="4" t="s">
        <v>1464</v>
      </c>
      <c r="O302" s="4"/>
      <c r="P302" s="4"/>
      <c r="Q302" s="4"/>
      <c r="R302"/>
      <c r="S302"/>
      <c r="T302"/>
      <c r="U302"/>
      <c r="V302"/>
      <c r="W302"/>
      <c r="X302"/>
      <c r="Y302"/>
      <c r="Z302"/>
      <c r="AA302"/>
      <c r="AB302"/>
      <c r="AC302"/>
      <c r="AD302"/>
      <c r="AE302"/>
      <c r="AF302"/>
      <c r="AG302"/>
      <c r="AH302"/>
      <c r="AI302"/>
      <c r="AJ302"/>
      <c r="AK302"/>
      <c r="AL302"/>
    </row>
    <row r="303" spans="1:38" s="3" customFormat="1" ht="33" customHeight="1">
      <c r="A303" s="4" t="s">
        <v>1465</v>
      </c>
      <c r="B303" s="4" t="s">
        <v>1466</v>
      </c>
      <c r="C303" s="4" t="s">
        <v>1467</v>
      </c>
      <c r="D303" s="4" t="s">
        <v>1468</v>
      </c>
      <c r="E303" s="4" t="s">
        <v>1463</v>
      </c>
      <c r="F303" s="9">
        <v>1</v>
      </c>
      <c r="G303" s="9">
        <v>3</v>
      </c>
      <c r="H303" s="9">
        <f t="shared" si="20"/>
        <v>3</v>
      </c>
      <c r="I303" s="9" t="s">
        <v>58</v>
      </c>
      <c r="J303" s="4"/>
      <c r="K303" s="4"/>
      <c r="L303" s="55" t="s">
        <v>86</v>
      </c>
      <c r="M303" s="9" t="s">
        <v>25</v>
      </c>
      <c r="N303" s="4" t="s">
        <v>1469</v>
      </c>
      <c r="O303" s="4"/>
      <c r="P303" s="4"/>
      <c r="Q303" s="4"/>
      <c r="R303"/>
      <c r="S303"/>
      <c r="T303"/>
      <c r="U303"/>
      <c r="V303"/>
      <c r="W303"/>
      <c r="X303"/>
      <c r="Y303"/>
      <c r="Z303"/>
      <c r="AA303"/>
      <c r="AB303"/>
      <c r="AC303"/>
      <c r="AD303"/>
      <c r="AE303"/>
      <c r="AF303"/>
      <c r="AG303"/>
      <c r="AH303"/>
      <c r="AI303"/>
      <c r="AJ303"/>
      <c r="AK303"/>
      <c r="AL303"/>
    </row>
    <row r="304" spans="1:38" s="3" customFormat="1" ht="28.9">
      <c r="A304" s="4" t="s">
        <v>1470</v>
      </c>
      <c r="B304" s="4" t="s">
        <v>1471</v>
      </c>
      <c r="C304" s="4" t="s">
        <v>1472</v>
      </c>
      <c r="D304" s="4" t="s">
        <v>1473</v>
      </c>
      <c r="E304" s="4" t="s">
        <v>943</v>
      </c>
      <c r="F304" s="9">
        <v>3</v>
      </c>
      <c r="G304" s="9">
        <v>1</v>
      </c>
      <c r="H304" s="9">
        <f t="shared" si="20"/>
        <v>3</v>
      </c>
      <c r="I304" s="9" t="s">
        <v>72</v>
      </c>
      <c r="J304" s="4"/>
      <c r="K304" s="4"/>
      <c r="L304" s="55" t="s">
        <v>86</v>
      </c>
      <c r="M304" s="9" t="s">
        <v>25</v>
      </c>
      <c r="N304" s="4" t="s">
        <v>1474</v>
      </c>
      <c r="O304" s="4"/>
      <c r="P304" s="4"/>
      <c r="Q304" s="4"/>
      <c r="R304"/>
      <c r="S304"/>
      <c r="T304"/>
      <c r="U304"/>
      <c r="V304"/>
      <c r="W304"/>
      <c r="X304"/>
      <c r="Y304"/>
      <c r="Z304"/>
      <c r="AA304"/>
      <c r="AB304"/>
      <c r="AC304"/>
      <c r="AD304"/>
      <c r="AE304"/>
      <c r="AF304"/>
      <c r="AG304"/>
      <c r="AH304"/>
      <c r="AI304"/>
      <c r="AJ304"/>
      <c r="AK304"/>
      <c r="AL304"/>
    </row>
    <row r="305" spans="1:38" s="3" customFormat="1" ht="28.9">
      <c r="A305" s="4" t="s">
        <v>1475</v>
      </c>
      <c r="B305" s="4" t="s">
        <v>1476</v>
      </c>
      <c r="C305" s="4" t="s">
        <v>1477</v>
      </c>
      <c r="D305" s="4" t="s">
        <v>1478</v>
      </c>
      <c r="E305" s="4" t="s">
        <v>1463</v>
      </c>
      <c r="F305" s="9">
        <v>1</v>
      </c>
      <c r="G305" s="9">
        <v>1</v>
      </c>
      <c r="H305" s="9">
        <v>1</v>
      </c>
      <c r="I305" s="9" t="s">
        <v>58</v>
      </c>
      <c r="J305" s="4"/>
      <c r="K305" s="4"/>
      <c r="L305" s="55" t="s">
        <v>86</v>
      </c>
      <c r="M305" s="9" t="s">
        <v>25</v>
      </c>
      <c r="N305" s="4" t="s">
        <v>1479</v>
      </c>
      <c r="O305" s="4"/>
      <c r="P305" s="4"/>
      <c r="Q305" s="4"/>
      <c r="R305"/>
      <c r="S305"/>
      <c r="T305"/>
      <c r="U305"/>
      <c r="V305"/>
      <c r="W305"/>
      <c r="X305"/>
      <c r="Y305"/>
      <c r="Z305"/>
      <c r="AA305"/>
      <c r="AB305"/>
      <c r="AC305"/>
      <c r="AD305"/>
      <c r="AE305"/>
      <c r="AF305"/>
      <c r="AG305"/>
      <c r="AH305"/>
      <c r="AI305"/>
      <c r="AJ305"/>
      <c r="AK305"/>
      <c r="AL305"/>
    </row>
    <row r="306" spans="1:38" s="3" customFormat="1" ht="28.9">
      <c r="A306" s="4" t="s">
        <v>1480</v>
      </c>
      <c r="B306" s="4" t="s">
        <v>1481</v>
      </c>
      <c r="C306" s="4" t="s">
        <v>1482</v>
      </c>
      <c r="D306" s="4" t="s">
        <v>1483</v>
      </c>
      <c r="E306" s="4" t="s">
        <v>1463</v>
      </c>
      <c r="F306" s="9">
        <v>2</v>
      </c>
      <c r="G306" s="9">
        <v>2</v>
      </c>
      <c r="H306" s="9">
        <f>F306*G306</f>
        <v>4</v>
      </c>
      <c r="I306" s="9" t="s">
        <v>72</v>
      </c>
      <c r="J306" s="4"/>
      <c r="K306" s="4"/>
      <c r="L306" s="55" t="s">
        <v>86</v>
      </c>
      <c r="M306" s="9" t="s">
        <v>25</v>
      </c>
      <c r="N306" s="4" t="s">
        <v>1484</v>
      </c>
      <c r="O306" s="4"/>
      <c r="P306" s="4"/>
      <c r="Q306" s="4"/>
      <c r="R306"/>
      <c r="S306"/>
      <c r="T306"/>
      <c r="U306"/>
      <c r="V306"/>
      <c r="W306"/>
      <c r="X306"/>
      <c r="Y306"/>
      <c r="Z306"/>
      <c r="AA306"/>
      <c r="AB306"/>
      <c r="AC306"/>
      <c r="AD306"/>
      <c r="AE306"/>
      <c r="AF306"/>
      <c r="AG306"/>
      <c r="AH306"/>
      <c r="AI306"/>
      <c r="AJ306"/>
      <c r="AK306"/>
      <c r="AL306"/>
    </row>
    <row r="307" spans="1:38" s="3" customFormat="1" ht="14.85" customHeight="1">
      <c r="A307" s="161" t="s">
        <v>1485</v>
      </c>
      <c r="B307" s="161"/>
      <c r="C307" s="161"/>
      <c r="D307" s="161"/>
      <c r="E307" s="161"/>
      <c r="F307" s="161"/>
      <c r="G307" s="161"/>
      <c r="H307" s="161"/>
      <c r="I307" s="161"/>
      <c r="J307" s="161"/>
      <c r="K307" s="161"/>
      <c r="L307" s="161"/>
      <c r="M307" s="161"/>
      <c r="N307" s="161"/>
      <c r="O307" s="161"/>
      <c r="P307" s="161"/>
      <c r="Q307" s="161"/>
      <c r="R307"/>
      <c r="S307"/>
      <c r="T307"/>
      <c r="U307"/>
      <c r="V307"/>
      <c r="W307"/>
      <c r="X307"/>
      <c r="Y307"/>
      <c r="Z307"/>
      <c r="AA307"/>
      <c r="AB307"/>
      <c r="AC307"/>
      <c r="AD307"/>
      <c r="AE307"/>
      <c r="AF307"/>
      <c r="AG307"/>
      <c r="AH307"/>
      <c r="AI307"/>
      <c r="AJ307"/>
      <c r="AK307"/>
      <c r="AL307"/>
    </row>
    <row r="308" spans="1:38" s="3" customFormat="1" ht="28.9">
      <c r="A308" s="4" t="s">
        <v>1486</v>
      </c>
      <c r="B308" s="4" t="s">
        <v>1487</v>
      </c>
      <c r="C308" s="4" t="s">
        <v>1488</v>
      </c>
      <c r="D308" s="4" t="s">
        <v>1489</v>
      </c>
      <c r="E308" s="4" t="s">
        <v>984</v>
      </c>
      <c r="F308" s="9">
        <v>5</v>
      </c>
      <c r="G308" s="9">
        <v>1</v>
      </c>
      <c r="H308" s="9">
        <f t="shared" ref="H308:H312" si="21">F308*G308</f>
        <v>5</v>
      </c>
      <c r="I308" s="9"/>
      <c r="J308" s="4" t="s">
        <v>1490</v>
      </c>
      <c r="K308" s="4"/>
      <c r="L308" s="55" t="s">
        <v>86</v>
      </c>
      <c r="M308" s="9" t="s">
        <v>748</v>
      </c>
      <c r="N308" s="4" t="s">
        <v>1491</v>
      </c>
      <c r="O308" s="4"/>
      <c r="P308" s="4"/>
      <c r="Q308" s="4"/>
      <c r="R308"/>
      <c r="S308"/>
      <c r="T308"/>
      <c r="U308"/>
      <c r="V308"/>
      <c r="W308"/>
      <c r="X308"/>
      <c r="Y308"/>
      <c r="Z308"/>
      <c r="AA308"/>
      <c r="AB308"/>
      <c r="AC308"/>
      <c r="AD308"/>
      <c r="AE308"/>
      <c r="AF308"/>
      <c r="AG308"/>
      <c r="AH308"/>
      <c r="AI308"/>
      <c r="AJ308"/>
      <c r="AK308"/>
      <c r="AL308"/>
    </row>
    <row r="309" spans="1:38" s="3" customFormat="1" ht="28.9">
      <c r="A309" s="4" t="s">
        <v>1492</v>
      </c>
      <c r="B309" s="4" t="s">
        <v>1493</v>
      </c>
      <c r="C309" s="4" t="s">
        <v>1494</v>
      </c>
      <c r="D309" s="4" t="s">
        <v>1495</v>
      </c>
      <c r="E309" s="4" t="s">
        <v>1003</v>
      </c>
      <c r="F309" s="9">
        <v>4</v>
      </c>
      <c r="G309" s="9">
        <v>1</v>
      </c>
      <c r="H309" s="9">
        <f t="shared" si="21"/>
        <v>4</v>
      </c>
      <c r="I309" s="9"/>
      <c r="J309" s="4" t="s">
        <v>1496</v>
      </c>
      <c r="K309" s="4"/>
      <c r="L309" s="55" t="s">
        <v>86</v>
      </c>
      <c r="M309" s="9" t="s">
        <v>25</v>
      </c>
      <c r="N309" s="4" t="s">
        <v>1497</v>
      </c>
      <c r="O309" s="4"/>
      <c r="P309" s="4"/>
      <c r="Q309" s="4"/>
      <c r="R309"/>
      <c r="S309"/>
      <c r="T309"/>
      <c r="U309"/>
      <c r="V309"/>
      <c r="W309"/>
      <c r="X309"/>
      <c r="Y309"/>
      <c r="Z309"/>
      <c r="AA309"/>
      <c r="AB309"/>
      <c r="AC309"/>
      <c r="AD309"/>
      <c r="AE309"/>
      <c r="AF309"/>
      <c r="AG309"/>
      <c r="AH309"/>
      <c r="AI309"/>
      <c r="AJ309"/>
      <c r="AK309"/>
      <c r="AL309"/>
    </row>
    <row r="310" spans="1:38" s="3" customFormat="1" ht="28.9">
      <c r="A310" s="4" t="s">
        <v>1498</v>
      </c>
      <c r="B310" s="4" t="s">
        <v>1499</v>
      </c>
      <c r="C310" s="4" t="s">
        <v>1500</v>
      </c>
      <c r="D310" s="4" t="s">
        <v>1501</v>
      </c>
      <c r="E310" s="4" t="s">
        <v>1003</v>
      </c>
      <c r="F310" s="9">
        <v>5</v>
      </c>
      <c r="G310" s="9">
        <v>1</v>
      </c>
      <c r="H310" s="9">
        <f t="shared" si="21"/>
        <v>5</v>
      </c>
      <c r="I310" s="9"/>
      <c r="J310" s="4" t="s">
        <v>1007</v>
      </c>
      <c r="K310" s="4"/>
      <c r="L310" s="55" t="s">
        <v>86</v>
      </c>
      <c r="M310" s="9" t="s">
        <v>198</v>
      </c>
      <c r="N310" s="4" t="s">
        <v>1502</v>
      </c>
      <c r="O310" s="4"/>
      <c r="P310" s="4"/>
      <c r="Q310" s="4"/>
      <c r="R310"/>
      <c r="S310"/>
      <c r="T310"/>
      <c r="U310"/>
      <c r="V310"/>
      <c r="W310"/>
      <c r="X310"/>
      <c r="Y310"/>
      <c r="Z310"/>
      <c r="AA310"/>
      <c r="AB310"/>
      <c r="AC310"/>
      <c r="AD310"/>
      <c r="AE310"/>
      <c r="AF310"/>
      <c r="AG310"/>
      <c r="AH310"/>
      <c r="AI310"/>
      <c r="AJ310"/>
      <c r="AK310"/>
      <c r="AL310"/>
    </row>
    <row r="311" spans="1:38" s="3" customFormat="1" ht="43.15">
      <c r="A311" s="4" t="s">
        <v>1503</v>
      </c>
      <c r="B311" s="4" t="s">
        <v>1022</v>
      </c>
      <c r="C311" s="4" t="s">
        <v>1504</v>
      </c>
      <c r="D311" s="4" t="s">
        <v>1505</v>
      </c>
      <c r="E311" s="4" t="s">
        <v>1021</v>
      </c>
      <c r="F311" s="9">
        <v>4</v>
      </c>
      <c r="G311" s="9">
        <v>2</v>
      </c>
      <c r="H311" s="9">
        <f t="shared" si="21"/>
        <v>8</v>
      </c>
      <c r="I311" s="9"/>
      <c r="J311" s="4" t="s">
        <v>1506</v>
      </c>
      <c r="K311" s="4"/>
      <c r="L311" s="55" t="s">
        <v>86</v>
      </c>
      <c r="M311" s="9" t="s">
        <v>198</v>
      </c>
      <c r="N311" s="4" t="s">
        <v>1507</v>
      </c>
      <c r="O311" s="4"/>
      <c r="P311" s="4"/>
      <c r="Q311" s="4"/>
      <c r="R311"/>
      <c r="S311"/>
      <c r="T311"/>
      <c r="U311"/>
      <c r="V311"/>
      <c r="W311"/>
      <c r="X311"/>
      <c r="Y311"/>
      <c r="Z311"/>
      <c r="AA311"/>
      <c r="AB311"/>
      <c r="AC311"/>
      <c r="AD311"/>
      <c r="AE311"/>
      <c r="AF311"/>
      <c r="AG311"/>
      <c r="AH311"/>
      <c r="AI311"/>
      <c r="AJ311"/>
      <c r="AK311"/>
      <c r="AL311"/>
    </row>
    <row r="312" spans="1:38" s="3" customFormat="1" ht="14.45">
      <c r="A312" s="4" t="s">
        <v>1508</v>
      </c>
      <c r="B312" s="4" t="s">
        <v>1509</v>
      </c>
      <c r="C312" s="4" t="s">
        <v>1510</v>
      </c>
      <c r="D312" s="4" t="s">
        <v>1511</v>
      </c>
      <c r="E312" s="4" t="s">
        <v>990</v>
      </c>
      <c r="F312" s="9">
        <v>5</v>
      </c>
      <c r="G312" s="9">
        <v>1</v>
      </c>
      <c r="H312" s="9">
        <f t="shared" si="21"/>
        <v>5</v>
      </c>
      <c r="I312" s="9"/>
      <c r="J312" s="4" t="s">
        <v>59</v>
      </c>
      <c r="K312" s="4"/>
      <c r="L312" s="55" t="s">
        <v>80</v>
      </c>
      <c r="M312" s="9" t="s">
        <v>25</v>
      </c>
      <c r="N312" s="4" t="s">
        <v>1512</v>
      </c>
      <c r="O312" s="4"/>
      <c r="P312" s="4"/>
      <c r="Q312" s="4"/>
      <c r="R312"/>
      <c r="S312"/>
      <c r="T312"/>
      <c r="U312"/>
      <c r="V312"/>
      <c r="W312"/>
      <c r="X312"/>
      <c r="Y312"/>
      <c r="Z312"/>
      <c r="AA312"/>
      <c r="AB312"/>
      <c r="AC312"/>
      <c r="AD312"/>
      <c r="AE312"/>
      <c r="AF312"/>
      <c r="AG312"/>
      <c r="AH312"/>
      <c r="AI312"/>
      <c r="AJ312"/>
      <c r="AK312"/>
      <c r="AL312"/>
    </row>
    <row r="313" spans="1:38" s="3" customFormat="1" ht="28.9">
      <c r="A313" s="4" t="s">
        <v>1513</v>
      </c>
      <c r="B313" s="4" t="s">
        <v>1514</v>
      </c>
      <c r="C313" s="4" t="s">
        <v>1515</v>
      </c>
      <c r="D313" s="4" t="s">
        <v>1516</v>
      </c>
      <c r="E313" s="4" t="s">
        <v>1037</v>
      </c>
      <c r="F313" s="9">
        <v>3</v>
      </c>
      <c r="G313" s="9">
        <v>1</v>
      </c>
      <c r="H313" s="9">
        <f>F313*G313</f>
        <v>3</v>
      </c>
      <c r="I313" s="9"/>
      <c r="J313" s="4"/>
      <c r="K313" s="4"/>
      <c r="L313" s="55" t="s">
        <v>80</v>
      </c>
      <c r="M313" s="9" t="s">
        <v>25</v>
      </c>
      <c r="N313" s="4" t="s">
        <v>1517</v>
      </c>
      <c r="O313" s="4"/>
      <c r="P313" s="4"/>
      <c r="Q313" s="4"/>
      <c r="R313"/>
      <c r="S313"/>
      <c r="T313"/>
      <c r="U313"/>
      <c r="V313"/>
      <c r="W313"/>
      <c r="X313"/>
      <c r="Y313"/>
      <c r="Z313"/>
      <c r="AA313"/>
      <c r="AB313"/>
      <c r="AC313"/>
      <c r="AD313"/>
      <c r="AE313"/>
      <c r="AF313"/>
      <c r="AG313"/>
      <c r="AH313"/>
      <c r="AI313"/>
      <c r="AJ313"/>
      <c r="AK313"/>
      <c r="AL313"/>
    </row>
    <row r="314" spans="1:38" ht="28.5" customHeight="1">
      <c r="A314" s="4" t="s">
        <v>1518</v>
      </c>
      <c r="B314" s="4" t="s">
        <v>1519</v>
      </c>
      <c r="C314" s="76" t="s">
        <v>1520</v>
      </c>
      <c r="D314" s="76" t="s">
        <v>1521</v>
      </c>
      <c r="E314" s="4" t="s">
        <v>1037</v>
      </c>
      <c r="F314" s="9">
        <v>2</v>
      </c>
      <c r="G314" s="9">
        <v>1</v>
      </c>
      <c r="H314" s="9">
        <f t="shared" ref="H314:H315" si="22">F314*G314</f>
        <v>2</v>
      </c>
      <c r="I314" s="4"/>
      <c r="J314" s="4" t="s">
        <v>1522</v>
      </c>
      <c r="K314" s="4"/>
      <c r="L314" s="55" t="s">
        <v>86</v>
      </c>
      <c r="M314" s="9" t="s">
        <v>25</v>
      </c>
      <c r="N314" s="4" t="s">
        <v>1523</v>
      </c>
      <c r="O314" s="4"/>
      <c r="P314" s="4"/>
      <c r="Q314" s="4"/>
    </row>
    <row r="315" spans="1:38" ht="28.9">
      <c r="A315" s="4" t="s">
        <v>1524</v>
      </c>
      <c r="B315" s="4" t="s">
        <v>1525</v>
      </c>
      <c r="C315" s="4" t="s">
        <v>1526</v>
      </c>
      <c r="D315" s="4" t="s">
        <v>1527</v>
      </c>
      <c r="E315" s="4" t="s">
        <v>1037</v>
      </c>
      <c r="F315" s="9">
        <v>2</v>
      </c>
      <c r="G315" s="9">
        <v>1</v>
      </c>
      <c r="H315" s="9">
        <f t="shared" si="22"/>
        <v>2</v>
      </c>
      <c r="I315" s="4"/>
      <c r="J315" s="4" t="s">
        <v>1528</v>
      </c>
      <c r="K315" s="4"/>
      <c r="L315" s="55" t="s">
        <v>86</v>
      </c>
      <c r="M315" s="9" t="s">
        <v>25</v>
      </c>
      <c r="N315" s="76" t="s">
        <v>1529</v>
      </c>
      <c r="O315" s="4"/>
      <c r="P315" s="4"/>
      <c r="Q315" s="4"/>
    </row>
    <row r="316" spans="1:38" ht="28.9">
      <c r="A316" s="4" t="s">
        <v>1530</v>
      </c>
      <c r="B316" s="4" t="s">
        <v>1531</v>
      </c>
      <c r="C316" s="4" t="s">
        <v>1532</v>
      </c>
      <c r="D316" s="4" t="s">
        <v>1533</v>
      </c>
      <c r="E316" s="4" t="s">
        <v>233</v>
      </c>
      <c r="F316" s="9">
        <v>3</v>
      </c>
      <c r="G316" s="9">
        <v>1</v>
      </c>
      <c r="H316" s="9">
        <f>F316*G316</f>
        <v>3</v>
      </c>
      <c r="I316" s="4"/>
      <c r="J316" s="4" t="s">
        <v>1534</v>
      </c>
      <c r="K316" s="4"/>
      <c r="L316" s="55" t="s">
        <v>80</v>
      </c>
      <c r="M316" s="9" t="s">
        <v>50</v>
      </c>
      <c r="N316" s="4" t="s">
        <v>1535</v>
      </c>
      <c r="O316" s="4"/>
      <c r="P316" s="4"/>
      <c r="Q316" s="4"/>
    </row>
    <row r="317" spans="1:38" s="3" customFormat="1" ht="14.85" customHeight="1">
      <c r="A317" s="161" t="s">
        <v>1536</v>
      </c>
      <c r="B317" s="161"/>
      <c r="C317" s="161"/>
      <c r="D317" s="161"/>
      <c r="E317" s="161"/>
      <c r="F317" s="161"/>
      <c r="G317" s="161"/>
      <c r="H317" s="161"/>
      <c r="I317" s="161"/>
      <c r="J317" s="161"/>
      <c r="K317" s="161"/>
      <c r="L317" s="161"/>
      <c r="M317" s="161"/>
      <c r="N317" s="161"/>
      <c r="O317" s="161"/>
      <c r="P317" s="161"/>
      <c r="Q317" s="161"/>
      <c r="R317"/>
      <c r="S317"/>
      <c r="T317"/>
      <c r="U317"/>
      <c r="V317"/>
      <c r="W317"/>
      <c r="X317"/>
      <c r="Y317"/>
      <c r="Z317"/>
      <c r="AA317"/>
      <c r="AB317"/>
      <c r="AC317"/>
      <c r="AD317"/>
      <c r="AE317"/>
      <c r="AF317"/>
      <c r="AG317"/>
      <c r="AH317"/>
      <c r="AI317"/>
      <c r="AJ317"/>
      <c r="AK317"/>
      <c r="AL317"/>
    </row>
    <row r="318" spans="1:38" s="3" customFormat="1" ht="28.9">
      <c r="A318" s="4" t="s">
        <v>1537</v>
      </c>
      <c r="B318" s="4" t="s">
        <v>1538</v>
      </c>
      <c r="C318" s="4" t="s">
        <v>1539</v>
      </c>
      <c r="D318" s="4" t="s">
        <v>1540</v>
      </c>
      <c r="E318" s="4" t="s">
        <v>1082</v>
      </c>
      <c r="F318" s="9">
        <v>5</v>
      </c>
      <c r="G318" s="9">
        <v>2</v>
      </c>
      <c r="H318" s="9">
        <f t="shared" ref="H318:H329" si="23">F318*G318</f>
        <v>10</v>
      </c>
      <c r="I318" s="9"/>
      <c r="J318" s="4" t="s">
        <v>1080</v>
      </c>
      <c r="K318" s="4" t="s">
        <v>790</v>
      </c>
      <c r="L318" s="8" t="s">
        <v>80</v>
      </c>
      <c r="M318" s="9" t="s">
        <v>1541</v>
      </c>
      <c r="N318" s="4" t="s">
        <v>1542</v>
      </c>
      <c r="O318" s="4"/>
      <c r="P318" s="4"/>
      <c r="Q318" s="4"/>
      <c r="R318"/>
      <c r="S318"/>
      <c r="T318"/>
      <c r="U318"/>
      <c r="V318"/>
      <c r="W318"/>
      <c r="X318"/>
      <c r="Y318"/>
      <c r="Z318"/>
      <c r="AA318"/>
      <c r="AB318"/>
      <c r="AC318"/>
      <c r="AD318"/>
      <c r="AE318"/>
      <c r="AF318"/>
      <c r="AG318"/>
      <c r="AH318"/>
      <c r="AI318"/>
      <c r="AJ318"/>
      <c r="AK318"/>
      <c r="AL318"/>
    </row>
    <row r="319" spans="1:38" s="3" customFormat="1" ht="28.9">
      <c r="A319" s="4" t="s">
        <v>1543</v>
      </c>
      <c r="B319" s="4" t="s">
        <v>1544</v>
      </c>
      <c r="C319" s="4" t="s">
        <v>1545</v>
      </c>
      <c r="D319" s="4" t="s">
        <v>1546</v>
      </c>
      <c r="E319" s="4" t="s">
        <v>1057</v>
      </c>
      <c r="F319" s="9">
        <v>4</v>
      </c>
      <c r="G319" s="9">
        <v>3</v>
      </c>
      <c r="H319" s="9">
        <f t="shared" si="23"/>
        <v>12</v>
      </c>
      <c r="I319" s="9"/>
      <c r="J319" s="4" t="s">
        <v>1547</v>
      </c>
      <c r="K319" s="4" t="s">
        <v>790</v>
      </c>
      <c r="L319" s="8" t="s">
        <v>80</v>
      </c>
      <c r="M319" s="9" t="s">
        <v>25</v>
      </c>
      <c r="N319" s="4" t="s">
        <v>1548</v>
      </c>
      <c r="O319" s="4"/>
      <c r="P319" s="4"/>
      <c r="Q319" s="4"/>
      <c r="R319"/>
      <c r="S319"/>
      <c r="T319"/>
      <c r="U319"/>
      <c r="V319"/>
      <c r="W319"/>
      <c r="X319"/>
      <c r="Y319"/>
      <c r="Z319"/>
      <c r="AA319"/>
      <c r="AB319"/>
      <c r="AC319"/>
      <c r="AD319"/>
      <c r="AE319"/>
      <c r="AF319"/>
      <c r="AG319"/>
      <c r="AH319"/>
      <c r="AI319"/>
      <c r="AJ319"/>
      <c r="AK319"/>
      <c r="AL319"/>
    </row>
    <row r="320" spans="1:38" s="3" customFormat="1" ht="28.9">
      <c r="A320" s="4" t="s">
        <v>1549</v>
      </c>
      <c r="B320" s="4" t="s">
        <v>1550</v>
      </c>
      <c r="C320" s="4" t="s">
        <v>1551</v>
      </c>
      <c r="D320" s="4" t="s">
        <v>1552</v>
      </c>
      <c r="E320" s="4" t="s">
        <v>1082</v>
      </c>
      <c r="F320" s="9">
        <v>3</v>
      </c>
      <c r="G320" s="9">
        <v>1</v>
      </c>
      <c r="H320" s="9">
        <f t="shared" si="23"/>
        <v>3</v>
      </c>
      <c r="I320" s="9"/>
      <c r="J320" s="4">
        <v>60</v>
      </c>
      <c r="K320" s="4" t="s">
        <v>790</v>
      </c>
      <c r="L320" s="8" t="s">
        <v>80</v>
      </c>
      <c r="M320" s="9" t="s">
        <v>537</v>
      </c>
      <c r="N320" s="4" t="s">
        <v>1553</v>
      </c>
      <c r="O320" s="4"/>
      <c r="P320" s="4"/>
      <c r="Q320" s="4"/>
      <c r="R320"/>
      <c r="S320"/>
      <c r="T320"/>
      <c r="U320"/>
      <c r="V320"/>
      <c r="W320"/>
      <c r="X320"/>
      <c r="Y320"/>
      <c r="Z320"/>
      <c r="AA320"/>
      <c r="AB320"/>
      <c r="AC320"/>
      <c r="AD320"/>
      <c r="AE320"/>
      <c r="AF320"/>
      <c r="AG320"/>
      <c r="AH320"/>
      <c r="AI320"/>
      <c r="AJ320"/>
      <c r="AK320"/>
      <c r="AL320"/>
    </row>
    <row r="321" spans="1:38" s="3" customFormat="1" ht="28.9">
      <c r="A321" s="4" t="s">
        <v>1554</v>
      </c>
      <c r="B321" s="4" t="s">
        <v>1555</v>
      </c>
      <c r="C321" s="4" t="s">
        <v>1556</v>
      </c>
      <c r="D321" s="4" t="s">
        <v>1557</v>
      </c>
      <c r="E321" s="4" t="s">
        <v>1082</v>
      </c>
      <c r="F321" s="9">
        <v>4</v>
      </c>
      <c r="G321" s="9">
        <v>2</v>
      </c>
      <c r="H321" s="9">
        <f t="shared" si="23"/>
        <v>8</v>
      </c>
      <c r="I321" s="9"/>
      <c r="J321" s="139">
        <v>0.02</v>
      </c>
      <c r="K321" s="4" t="s">
        <v>790</v>
      </c>
      <c r="L321" s="8" t="s">
        <v>80</v>
      </c>
      <c r="M321" s="9" t="s">
        <v>50</v>
      </c>
      <c r="N321" s="4" t="s">
        <v>1558</v>
      </c>
      <c r="O321" s="4"/>
      <c r="P321" s="4"/>
      <c r="Q321" s="4"/>
      <c r="R321"/>
      <c r="S321"/>
      <c r="T321"/>
      <c r="U321"/>
      <c r="V321"/>
      <c r="W321"/>
      <c r="X321"/>
      <c r="Y321"/>
      <c r="Z321"/>
      <c r="AA321"/>
      <c r="AB321"/>
      <c r="AC321"/>
      <c r="AD321"/>
      <c r="AE321"/>
      <c r="AF321"/>
      <c r="AG321"/>
      <c r="AH321"/>
      <c r="AI321"/>
      <c r="AJ321"/>
      <c r="AK321"/>
      <c r="AL321"/>
    </row>
    <row r="322" spans="1:38" s="3" customFormat="1" ht="14.45">
      <c r="A322" s="4" t="s">
        <v>1559</v>
      </c>
      <c r="B322" s="4" t="s">
        <v>1560</v>
      </c>
      <c r="C322" s="4" t="s">
        <v>1561</v>
      </c>
      <c r="D322" s="4" t="s">
        <v>1540</v>
      </c>
      <c r="E322" s="4" t="s">
        <v>1082</v>
      </c>
      <c r="F322" s="9">
        <v>5</v>
      </c>
      <c r="G322" s="9">
        <v>2</v>
      </c>
      <c r="H322" s="9">
        <f t="shared" si="23"/>
        <v>10</v>
      </c>
      <c r="I322" s="9"/>
      <c r="J322" s="4" t="s">
        <v>1562</v>
      </c>
      <c r="K322" s="4" t="s">
        <v>1562</v>
      </c>
      <c r="L322" s="8" t="s">
        <v>86</v>
      </c>
      <c r="M322" s="9" t="s">
        <v>198</v>
      </c>
      <c r="N322" s="4" t="s">
        <v>1563</v>
      </c>
      <c r="O322" s="4"/>
      <c r="P322" s="4"/>
      <c r="Q322" s="4"/>
      <c r="R322"/>
      <c r="S322"/>
      <c r="T322"/>
      <c r="U322"/>
      <c r="V322"/>
      <c r="W322"/>
      <c r="X322"/>
      <c r="Y322"/>
      <c r="Z322"/>
      <c r="AA322"/>
      <c r="AB322"/>
      <c r="AC322"/>
      <c r="AD322"/>
      <c r="AE322"/>
      <c r="AF322"/>
      <c r="AG322"/>
      <c r="AH322"/>
      <c r="AI322"/>
      <c r="AJ322"/>
      <c r="AK322"/>
      <c r="AL322"/>
    </row>
    <row r="323" spans="1:38" s="3" customFormat="1" ht="28.9">
      <c r="A323" s="4" t="s">
        <v>1564</v>
      </c>
      <c r="B323" s="4" t="s">
        <v>1565</v>
      </c>
      <c r="C323" s="4" t="s">
        <v>1566</v>
      </c>
      <c r="D323" s="4" t="s">
        <v>1567</v>
      </c>
      <c r="E323" s="4" t="s">
        <v>1568</v>
      </c>
      <c r="F323" s="9">
        <v>4</v>
      </c>
      <c r="G323" s="9">
        <v>2</v>
      </c>
      <c r="H323" s="9">
        <f t="shared" si="23"/>
        <v>8</v>
      </c>
      <c r="I323" s="9"/>
      <c r="J323" s="4" t="s">
        <v>790</v>
      </c>
      <c r="K323" s="4" t="s">
        <v>790</v>
      </c>
      <c r="L323" s="8" t="s">
        <v>73</v>
      </c>
      <c r="M323" s="9" t="s">
        <v>87</v>
      </c>
      <c r="N323" s="4" t="s">
        <v>1569</v>
      </c>
      <c r="O323" s="4"/>
      <c r="P323" s="4"/>
      <c r="Q323" s="4"/>
      <c r="R323"/>
      <c r="S323"/>
      <c r="T323"/>
      <c r="U323"/>
      <c r="V323"/>
      <c r="W323"/>
      <c r="X323"/>
      <c r="Y323"/>
      <c r="Z323"/>
      <c r="AA323"/>
      <c r="AB323"/>
      <c r="AC323"/>
      <c r="AD323"/>
      <c r="AE323"/>
      <c r="AF323"/>
      <c r="AG323"/>
      <c r="AH323"/>
      <c r="AI323"/>
      <c r="AJ323"/>
      <c r="AK323"/>
      <c r="AL323"/>
    </row>
    <row r="324" spans="1:38" s="3" customFormat="1" ht="14.45">
      <c r="A324" s="4" t="s">
        <v>1570</v>
      </c>
      <c r="B324" s="4" t="s">
        <v>1571</v>
      </c>
      <c r="C324" s="4" t="s">
        <v>1572</v>
      </c>
      <c r="D324" s="4" t="s">
        <v>1573</v>
      </c>
      <c r="E324" s="4" t="s">
        <v>1082</v>
      </c>
      <c r="F324" s="9">
        <v>5</v>
      </c>
      <c r="G324" s="9">
        <v>1</v>
      </c>
      <c r="H324" s="9">
        <f t="shared" si="23"/>
        <v>5</v>
      </c>
      <c r="I324" s="9"/>
      <c r="J324" s="4" t="s">
        <v>1562</v>
      </c>
      <c r="K324" s="4" t="s">
        <v>1562</v>
      </c>
      <c r="L324" s="8" t="s">
        <v>86</v>
      </c>
      <c r="M324" s="9" t="s">
        <v>25</v>
      </c>
      <c r="N324" s="4" t="s">
        <v>1574</v>
      </c>
      <c r="O324" s="4"/>
      <c r="P324" s="4"/>
      <c r="Q324" s="4"/>
      <c r="R324"/>
      <c r="S324"/>
      <c r="T324"/>
      <c r="U324"/>
      <c r="V324"/>
      <c r="W324"/>
      <c r="X324"/>
      <c r="Y324"/>
      <c r="Z324"/>
      <c r="AA324"/>
      <c r="AB324"/>
      <c r="AC324"/>
      <c r="AD324"/>
      <c r="AE324"/>
      <c r="AF324"/>
      <c r="AG324"/>
      <c r="AH324"/>
      <c r="AI324"/>
      <c r="AJ324"/>
      <c r="AK324"/>
      <c r="AL324"/>
    </row>
    <row r="325" spans="1:38" s="3" customFormat="1" ht="28.9">
      <c r="A325" s="4" t="s">
        <v>1575</v>
      </c>
      <c r="B325" s="4" t="s">
        <v>1576</v>
      </c>
      <c r="C325" s="4" t="s">
        <v>1577</v>
      </c>
      <c r="D325" s="4" t="s">
        <v>1540</v>
      </c>
      <c r="E325" s="4" t="s">
        <v>1076</v>
      </c>
      <c r="F325" s="9">
        <v>5</v>
      </c>
      <c r="G325" s="9">
        <v>2</v>
      </c>
      <c r="H325" s="9">
        <f t="shared" si="23"/>
        <v>10</v>
      </c>
      <c r="I325" s="9"/>
      <c r="J325" s="4" t="s">
        <v>1080</v>
      </c>
      <c r="K325" s="4" t="s">
        <v>790</v>
      </c>
      <c r="L325" s="8" t="s">
        <v>24</v>
      </c>
      <c r="M325" s="9" t="s">
        <v>50</v>
      </c>
      <c r="N325" s="4" t="s">
        <v>1578</v>
      </c>
      <c r="O325" s="4"/>
      <c r="P325" s="4"/>
      <c r="Q325" s="4"/>
      <c r="R325"/>
      <c r="S325"/>
      <c r="T325"/>
      <c r="U325"/>
      <c r="V325"/>
      <c r="W325"/>
      <c r="X325"/>
      <c r="Y325"/>
      <c r="Z325"/>
      <c r="AA325"/>
      <c r="AB325"/>
      <c r="AC325"/>
      <c r="AD325"/>
      <c r="AE325"/>
      <c r="AF325"/>
      <c r="AG325"/>
      <c r="AH325"/>
      <c r="AI325"/>
      <c r="AJ325"/>
      <c r="AK325"/>
      <c r="AL325"/>
    </row>
    <row r="326" spans="1:38" s="3" customFormat="1" ht="28.9">
      <c r="A326" s="4" t="s">
        <v>1579</v>
      </c>
      <c r="B326" s="4" t="s">
        <v>1580</v>
      </c>
      <c r="C326" s="4" t="s">
        <v>1581</v>
      </c>
      <c r="D326" s="4" t="s">
        <v>1546</v>
      </c>
      <c r="E326" s="4" t="s">
        <v>1057</v>
      </c>
      <c r="F326" s="9">
        <v>4</v>
      </c>
      <c r="G326" s="9">
        <v>3</v>
      </c>
      <c r="H326" s="9">
        <f t="shared" si="23"/>
        <v>12</v>
      </c>
      <c r="I326" s="9"/>
      <c r="J326" s="4" t="s">
        <v>790</v>
      </c>
      <c r="K326" s="4" t="s">
        <v>790</v>
      </c>
      <c r="L326" s="8" t="s">
        <v>24</v>
      </c>
      <c r="M326" s="9" t="s">
        <v>50</v>
      </c>
      <c r="N326" s="4" t="s">
        <v>1582</v>
      </c>
      <c r="O326" s="4"/>
      <c r="P326" s="4"/>
      <c r="Q326" s="4"/>
      <c r="R326"/>
      <c r="S326"/>
      <c r="T326"/>
      <c r="U326"/>
      <c r="V326"/>
      <c r="W326"/>
      <c r="X326"/>
      <c r="Y326"/>
      <c r="Z326"/>
      <c r="AA326"/>
      <c r="AB326"/>
      <c r="AC326"/>
      <c r="AD326"/>
      <c r="AE326"/>
      <c r="AF326"/>
      <c r="AG326"/>
      <c r="AH326"/>
      <c r="AI326"/>
      <c r="AJ326"/>
      <c r="AK326"/>
      <c r="AL326"/>
    </row>
    <row r="327" spans="1:38" s="3" customFormat="1" ht="28.9">
      <c r="A327" s="4" t="s">
        <v>1583</v>
      </c>
      <c r="B327" s="4" t="s">
        <v>1584</v>
      </c>
      <c r="C327" s="4" t="s">
        <v>1585</v>
      </c>
      <c r="D327" s="4" t="s">
        <v>1586</v>
      </c>
      <c r="E327" s="4" t="s">
        <v>1076</v>
      </c>
      <c r="F327" s="9">
        <v>4</v>
      </c>
      <c r="G327" s="9">
        <v>3</v>
      </c>
      <c r="H327" s="9">
        <f t="shared" si="23"/>
        <v>12</v>
      </c>
      <c r="I327" s="9"/>
      <c r="J327" s="4" t="s">
        <v>790</v>
      </c>
      <c r="K327" s="4" t="s">
        <v>790</v>
      </c>
      <c r="L327" s="8" t="s">
        <v>24</v>
      </c>
      <c r="M327" s="9" t="s">
        <v>60</v>
      </c>
      <c r="N327" s="4" t="s">
        <v>1587</v>
      </c>
      <c r="O327" s="4"/>
      <c r="P327" s="4"/>
      <c r="Q327" s="4"/>
      <c r="R327"/>
      <c r="S327"/>
      <c r="T327"/>
      <c r="U327"/>
      <c r="V327"/>
      <c r="W327"/>
      <c r="X327"/>
      <c r="Y327"/>
      <c r="Z327"/>
      <c r="AA327"/>
      <c r="AB327"/>
      <c r="AC327"/>
      <c r="AD327"/>
      <c r="AE327"/>
      <c r="AF327"/>
      <c r="AG327"/>
      <c r="AH327"/>
      <c r="AI327"/>
      <c r="AJ327"/>
      <c r="AK327"/>
      <c r="AL327"/>
    </row>
    <row r="328" spans="1:38" s="3" customFormat="1" ht="14.45">
      <c r="A328" s="4" t="s">
        <v>1588</v>
      </c>
      <c r="B328" s="4" t="s">
        <v>1589</v>
      </c>
      <c r="C328" s="4" t="s">
        <v>1590</v>
      </c>
      <c r="D328" s="4" t="s">
        <v>1540</v>
      </c>
      <c r="E328" s="4" t="s">
        <v>1076</v>
      </c>
      <c r="F328" s="9">
        <v>5</v>
      </c>
      <c r="G328" s="9">
        <v>2</v>
      </c>
      <c r="H328" s="9">
        <f t="shared" si="23"/>
        <v>10</v>
      </c>
      <c r="I328" s="9"/>
      <c r="J328" s="4" t="s">
        <v>1562</v>
      </c>
      <c r="K328" s="4" t="s">
        <v>790</v>
      </c>
      <c r="L328" s="8" t="s">
        <v>24</v>
      </c>
      <c r="M328" s="9" t="s">
        <v>1591</v>
      </c>
      <c r="N328" s="4" t="s">
        <v>1592</v>
      </c>
      <c r="O328" s="4"/>
      <c r="P328" s="4"/>
      <c r="Q328" s="4"/>
      <c r="R328"/>
      <c r="S328"/>
      <c r="T328"/>
      <c r="U328"/>
      <c r="V328"/>
      <c r="W328"/>
      <c r="X328"/>
      <c r="Y328"/>
      <c r="Z328"/>
      <c r="AA328"/>
      <c r="AB328"/>
      <c r="AC328"/>
      <c r="AD328"/>
      <c r="AE328"/>
      <c r="AF328"/>
      <c r="AG328"/>
      <c r="AH328"/>
      <c r="AI328"/>
      <c r="AJ328"/>
      <c r="AK328"/>
      <c r="AL328"/>
    </row>
    <row r="329" spans="1:38" s="3" customFormat="1" ht="28.9">
      <c r="A329" s="4" t="s">
        <v>1593</v>
      </c>
      <c r="B329" s="4" t="s">
        <v>1594</v>
      </c>
      <c r="C329" s="4" t="s">
        <v>1595</v>
      </c>
      <c r="D329" s="4" t="s">
        <v>1586</v>
      </c>
      <c r="E329" s="4" t="s">
        <v>1076</v>
      </c>
      <c r="F329" s="9">
        <v>4</v>
      </c>
      <c r="G329" s="9">
        <v>2</v>
      </c>
      <c r="H329" s="9">
        <f t="shared" si="23"/>
        <v>8</v>
      </c>
      <c r="I329" s="9"/>
      <c r="J329" s="4" t="s">
        <v>790</v>
      </c>
      <c r="K329" s="4" t="s">
        <v>790</v>
      </c>
      <c r="L329" s="8" t="s">
        <v>24</v>
      </c>
      <c r="M329" s="9" t="s">
        <v>50</v>
      </c>
      <c r="N329" s="4" t="s">
        <v>1596</v>
      </c>
      <c r="O329" s="4"/>
      <c r="P329" s="4"/>
      <c r="Q329" s="4"/>
      <c r="R329"/>
      <c r="S329"/>
      <c r="T329"/>
      <c r="U329"/>
      <c r="V329"/>
      <c r="W329"/>
      <c r="X329"/>
      <c r="Y329"/>
      <c r="Z329"/>
      <c r="AA329"/>
      <c r="AB329"/>
      <c r="AC329"/>
      <c r="AD329"/>
      <c r="AE329"/>
      <c r="AF329"/>
      <c r="AG329"/>
      <c r="AH329"/>
      <c r="AI329"/>
      <c r="AJ329"/>
      <c r="AK329"/>
      <c r="AL329"/>
    </row>
    <row r="330" spans="1:38" s="3" customFormat="1" ht="14.85" customHeight="1">
      <c r="A330" s="161" t="s">
        <v>1597</v>
      </c>
      <c r="B330" s="161"/>
      <c r="C330" s="161"/>
      <c r="D330" s="161"/>
      <c r="E330" s="161"/>
      <c r="F330" s="161"/>
      <c r="G330" s="161"/>
      <c r="H330" s="161"/>
      <c r="I330" s="161"/>
      <c r="J330" s="161"/>
      <c r="K330" s="161"/>
      <c r="L330" s="161"/>
      <c r="M330" s="161"/>
      <c r="N330" s="161"/>
      <c r="O330" s="161"/>
      <c r="P330" s="161"/>
      <c r="Q330" s="161"/>
      <c r="R330"/>
      <c r="S330"/>
      <c r="T330"/>
      <c r="U330"/>
      <c r="V330"/>
      <c r="W330"/>
      <c r="X330"/>
      <c r="Y330"/>
      <c r="Z330"/>
      <c r="AA330"/>
      <c r="AB330"/>
      <c r="AC330"/>
      <c r="AD330"/>
      <c r="AE330"/>
      <c r="AF330"/>
      <c r="AG330"/>
      <c r="AH330"/>
      <c r="AI330"/>
      <c r="AJ330"/>
      <c r="AK330"/>
      <c r="AL330"/>
    </row>
    <row r="331" spans="1:38" s="3" customFormat="1" ht="28.9">
      <c r="A331" s="4" t="s">
        <v>1598</v>
      </c>
      <c r="B331" s="4" t="s">
        <v>1599</v>
      </c>
      <c r="C331" s="4" t="s">
        <v>1600</v>
      </c>
      <c r="D331" s="4" t="s">
        <v>1601</v>
      </c>
      <c r="E331" s="4" t="s">
        <v>1115</v>
      </c>
      <c r="F331" s="9">
        <v>3</v>
      </c>
      <c r="G331" s="9">
        <v>1</v>
      </c>
      <c r="H331" s="9">
        <f t="shared" ref="H331:H333" si="24">F331*G331</f>
        <v>3</v>
      </c>
      <c r="I331" s="9" t="s">
        <v>72</v>
      </c>
      <c r="J331" s="4"/>
      <c r="K331" s="4"/>
      <c r="L331" s="8" t="s">
        <v>80</v>
      </c>
      <c r="M331" s="9" t="s">
        <v>25</v>
      </c>
      <c r="N331" s="4" t="s">
        <v>1602</v>
      </c>
      <c r="O331" s="4"/>
      <c r="P331" s="4"/>
      <c r="Q331" s="4"/>
      <c r="R331"/>
      <c r="S331"/>
      <c r="T331"/>
      <c r="U331"/>
      <c r="V331"/>
      <c r="W331"/>
      <c r="X331"/>
      <c r="Y331"/>
      <c r="Z331"/>
      <c r="AA331"/>
      <c r="AB331"/>
      <c r="AC331"/>
      <c r="AD331"/>
      <c r="AE331"/>
      <c r="AF331"/>
      <c r="AG331"/>
      <c r="AH331"/>
      <c r="AI331"/>
      <c r="AJ331"/>
      <c r="AK331"/>
      <c r="AL331"/>
    </row>
    <row r="332" spans="1:38" s="3" customFormat="1" ht="28.9">
      <c r="A332" s="4" t="s">
        <v>1603</v>
      </c>
      <c r="B332" s="4" t="s">
        <v>1604</v>
      </c>
      <c r="C332" s="4" t="s">
        <v>1605</v>
      </c>
      <c r="D332" s="4" t="s">
        <v>1606</v>
      </c>
      <c r="E332" s="4" t="s">
        <v>465</v>
      </c>
      <c r="F332" s="9">
        <v>4</v>
      </c>
      <c r="G332" s="9">
        <v>1</v>
      </c>
      <c r="H332" s="9">
        <f t="shared" si="24"/>
        <v>4</v>
      </c>
      <c r="I332" s="9" t="s">
        <v>72</v>
      </c>
      <c r="J332" s="4"/>
      <c r="K332" s="4"/>
      <c r="L332" s="8" t="s">
        <v>86</v>
      </c>
      <c r="M332" s="9" t="s">
        <v>1607</v>
      </c>
      <c r="N332" s="4" t="s">
        <v>1608</v>
      </c>
      <c r="O332" s="4"/>
      <c r="P332" s="4"/>
      <c r="Q332" s="4"/>
      <c r="R332"/>
      <c r="S332"/>
      <c r="T332"/>
      <c r="U332"/>
      <c r="V332"/>
      <c r="W332"/>
      <c r="X332"/>
      <c r="Y332"/>
      <c r="Z332"/>
      <c r="AA332"/>
      <c r="AB332"/>
      <c r="AC332"/>
      <c r="AD332"/>
      <c r="AE332"/>
      <c r="AF332"/>
      <c r="AG332"/>
      <c r="AH332"/>
      <c r="AI332"/>
      <c r="AJ332"/>
      <c r="AK332"/>
      <c r="AL332"/>
    </row>
    <row r="333" spans="1:38" s="3" customFormat="1" ht="27" customHeight="1">
      <c r="A333" s="4" t="s">
        <v>1609</v>
      </c>
      <c r="B333" s="4" t="s">
        <v>1610</v>
      </c>
      <c r="C333" s="4" t="s">
        <v>1611</v>
      </c>
      <c r="D333" s="4" t="s">
        <v>1612</v>
      </c>
      <c r="E333" s="4" t="s">
        <v>465</v>
      </c>
      <c r="F333" s="9">
        <v>4</v>
      </c>
      <c r="G333" s="9">
        <v>1</v>
      </c>
      <c r="H333" s="9">
        <f t="shared" si="24"/>
        <v>4</v>
      </c>
      <c r="I333" s="9" t="s">
        <v>72</v>
      </c>
      <c r="J333" s="4"/>
      <c r="K333" s="4"/>
      <c r="L333" s="8" t="s">
        <v>80</v>
      </c>
      <c r="M333" s="9" t="s">
        <v>25</v>
      </c>
      <c r="N333" s="4" t="s">
        <v>1613</v>
      </c>
      <c r="O333" s="4"/>
      <c r="P333" s="4"/>
      <c r="Q333" s="4"/>
      <c r="R333"/>
      <c r="S333"/>
      <c r="T333"/>
      <c r="U333"/>
      <c r="V333"/>
      <c r="W333"/>
      <c r="X333"/>
      <c r="Y333"/>
      <c r="Z333"/>
      <c r="AA333"/>
      <c r="AB333"/>
      <c r="AC333"/>
      <c r="AD333"/>
      <c r="AE333"/>
      <c r="AF333"/>
      <c r="AG333"/>
      <c r="AH333"/>
      <c r="AI333"/>
      <c r="AJ333"/>
      <c r="AK333"/>
      <c r="AL333"/>
    </row>
    <row r="334" spans="1:38" s="3" customFormat="1" ht="14.85" customHeight="1">
      <c r="A334" s="4" t="s">
        <v>1614</v>
      </c>
      <c r="B334" s="4" t="s">
        <v>1615</v>
      </c>
      <c r="C334" s="4" t="s">
        <v>1616</v>
      </c>
      <c r="D334" s="4" t="s">
        <v>1617</v>
      </c>
      <c r="E334" s="4" t="s">
        <v>465</v>
      </c>
      <c r="F334" s="9">
        <v>3</v>
      </c>
      <c r="G334" s="9">
        <v>2</v>
      </c>
      <c r="H334" s="9">
        <f t="shared" ref="H334:H341" si="25">F334*G334</f>
        <v>6</v>
      </c>
      <c r="I334" s="35" t="s">
        <v>72</v>
      </c>
      <c r="J334" s="4"/>
      <c r="K334" s="4"/>
      <c r="L334" s="140" t="s">
        <v>80</v>
      </c>
      <c r="M334" s="9" t="s">
        <v>25</v>
      </c>
      <c r="N334" s="4" t="s">
        <v>1618</v>
      </c>
      <c r="O334" s="4"/>
      <c r="P334" s="4"/>
      <c r="Q334" s="4"/>
      <c r="R334"/>
      <c r="S334"/>
      <c r="T334"/>
      <c r="U334"/>
      <c r="V334"/>
      <c r="W334"/>
      <c r="X334"/>
      <c r="Y334"/>
      <c r="Z334"/>
      <c r="AA334"/>
      <c r="AB334"/>
      <c r="AC334"/>
      <c r="AD334"/>
      <c r="AE334"/>
      <c r="AF334"/>
      <c r="AG334"/>
      <c r="AH334"/>
      <c r="AI334"/>
      <c r="AJ334"/>
      <c r="AK334"/>
      <c r="AL334"/>
    </row>
    <row r="335" spans="1:38" s="3" customFormat="1" ht="28.9">
      <c r="A335" s="4" t="s">
        <v>1619</v>
      </c>
      <c r="B335" s="4" t="s">
        <v>1620</v>
      </c>
      <c r="C335" s="4" t="s">
        <v>1621</v>
      </c>
      <c r="D335" s="4" t="s">
        <v>1622</v>
      </c>
      <c r="E335" s="4" t="s">
        <v>472</v>
      </c>
      <c r="F335" s="9">
        <v>4</v>
      </c>
      <c r="G335" s="9">
        <v>1</v>
      </c>
      <c r="H335" s="9">
        <f t="shared" si="25"/>
        <v>4</v>
      </c>
      <c r="I335" s="9" t="s">
        <v>72</v>
      </c>
      <c r="J335" s="4"/>
      <c r="K335" s="4"/>
      <c r="L335" s="8" t="s">
        <v>80</v>
      </c>
      <c r="M335" s="9" t="s">
        <v>25</v>
      </c>
      <c r="N335" s="4" t="s">
        <v>1623</v>
      </c>
      <c r="O335" s="4"/>
      <c r="P335" s="4"/>
      <c r="Q335" s="4"/>
      <c r="R335"/>
      <c r="S335"/>
      <c r="T335"/>
      <c r="U335"/>
      <c r="V335"/>
      <c r="W335"/>
      <c r="X335"/>
      <c r="Y335"/>
      <c r="Z335"/>
      <c r="AA335"/>
      <c r="AB335"/>
      <c r="AC335"/>
      <c r="AD335"/>
      <c r="AE335"/>
      <c r="AF335"/>
      <c r="AG335"/>
      <c r="AH335"/>
      <c r="AI335"/>
      <c r="AJ335"/>
      <c r="AK335"/>
      <c r="AL335"/>
    </row>
    <row r="336" spans="1:38" s="3" customFormat="1" ht="43.15">
      <c r="A336" s="4" t="s">
        <v>1624</v>
      </c>
      <c r="B336" s="4" t="s">
        <v>1625</v>
      </c>
      <c r="C336" s="4" t="s">
        <v>1626</v>
      </c>
      <c r="D336" s="4" t="s">
        <v>1627</v>
      </c>
      <c r="E336" s="4" t="s">
        <v>472</v>
      </c>
      <c r="F336" s="9">
        <v>3</v>
      </c>
      <c r="G336" s="9">
        <v>2</v>
      </c>
      <c r="H336" s="9">
        <f t="shared" si="25"/>
        <v>6</v>
      </c>
      <c r="I336" s="9" t="s">
        <v>72</v>
      </c>
      <c r="J336" s="4"/>
      <c r="K336" s="4"/>
      <c r="L336" s="8" t="s">
        <v>80</v>
      </c>
      <c r="M336" s="9" t="s">
        <v>1628</v>
      </c>
      <c r="N336" s="4" t="s">
        <v>1629</v>
      </c>
      <c r="O336" s="4"/>
      <c r="P336" s="4"/>
      <c r="Q336" s="4"/>
      <c r="R336"/>
      <c r="S336"/>
      <c r="T336"/>
      <c r="U336"/>
      <c r="V336"/>
      <c r="W336"/>
      <c r="X336"/>
      <c r="Y336"/>
      <c r="Z336"/>
      <c r="AA336"/>
      <c r="AB336"/>
      <c r="AC336"/>
      <c r="AD336"/>
      <c r="AE336"/>
      <c r="AF336"/>
      <c r="AG336"/>
      <c r="AH336"/>
      <c r="AI336"/>
      <c r="AJ336"/>
      <c r="AK336"/>
      <c r="AL336"/>
    </row>
    <row r="337" spans="1:38" s="3" customFormat="1" ht="28.9">
      <c r="A337" s="4" t="s">
        <v>1630</v>
      </c>
      <c r="B337" s="4" t="s">
        <v>1404</v>
      </c>
      <c r="C337" s="112" t="s">
        <v>1631</v>
      </c>
      <c r="D337" s="4" t="s">
        <v>1632</v>
      </c>
      <c r="E337" s="4" t="s">
        <v>465</v>
      </c>
      <c r="F337" s="9">
        <v>3</v>
      </c>
      <c r="G337" s="9">
        <v>2</v>
      </c>
      <c r="H337" s="9">
        <f t="shared" si="25"/>
        <v>6</v>
      </c>
      <c r="I337" s="9" t="s">
        <v>72</v>
      </c>
      <c r="J337" s="4"/>
      <c r="K337" s="4"/>
      <c r="L337" s="8" t="s">
        <v>80</v>
      </c>
      <c r="M337" s="9" t="s">
        <v>87</v>
      </c>
      <c r="N337" s="4" t="s">
        <v>1633</v>
      </c>
      <c r="O337" s="4"/>
      <c r="P337" s="4"/>
      <c r="Q337" s="4"/>
      <c r="R337"/>
      <c r="S337"/>
      <c r="T337"/>
      <c r="U337"/>
      <c r="V337"/>
      <c r="W337"/>
      <c r="X337"/>
      <c r="Y337"/>
      <c r="Z337"/>
      <c r="AA337"/>
      <c r="AB337"/>
      <c r="AC337"/>
      <c r="AD337"/>
      <c r="AE337"/>
      <c r="AF337"/>
      <c r="AG337"/>
      <c r="AH337"/>
      <c r="AI337"/>
      <c r="AJ337"/>
      <c r="AK337"/>
      <c r="AL337"/>
    </row>
    <row r="338" spans="1:38" s="3" customFormat="1" ht="28.9">
      <c r="A338" s="4" t="s">
        <v>1634</v>
      </c>
      <c r="B338" s="4" t="s">
        <v>1635</v>
      </c>
      <c r="C338" s="113" t="s">
        <v>1636</v>
      </c>
      <c r="D338" s="114" t="s">
        <v>1637</v>
      </c>
      <c r="E338" s="4" t="s">
        <v>477</v>
      </c>
      <c r="F338" s="9">
        <v>2</v>
      </c>
      <c r="G338" s="9">
        <v>1</v>
      </c>
      <c r="H338" s="9">
        <f t="shared" si="25"/>
        <v>2</v>
      </c>
      <c r="I338" s="9" t="s">
        <v>72</v>
      </c>
      <c r="J338" s="4"/>
      <c r="K338" s="4"/>
      <c r="L338" s="8" t="s">
        <v>80</v>
      </c>
      <c r="M338" s="9" t="s">
        <v>25</v>
      </c>
      <c r="N338" s="4" t="s">
        <v>1638</v>
      </c>
      <c r="O338" s="4"/>
      <c r="P338" s="4"/>
      <c r="Q338" s="4"/>
      <c r="R338"/>
      <c r="S338"/>
      <c r="T338"/>
      <c r="U338"/>
      <c r="V338"/>
      <c r="W338"/>
      <c r="X338"/>
      <c r="Y338"/>
      <c r="Z338"/>
      <c r="AA338"/>
      <c r="AB338"/>
      <c r="AC338"/>
      <c r="AD338"/>
      <c r="AE338"/>
      <c r="AF338"/>
      <c r="AG338"/>
      <c r="AH338"/>
      <c r="AI338"/>
      <c r="AJ338"/>
      <c r="AK338"/>
      <c r="AL338"/>
    </row>
    <row r="339" spans="1:38" s="3" customFormat="1" ht="28.9">
      <c r="A339" s="4" t="s">
        <v>1639</v>
      </c>
      <c r="B339" s="103" t="s">
        <v>1640</v>
      </c>
      <c r="C339" s="105" t="s">
        <v>1641</v>
      </c>
      <c r="D339" s="107" t="s">
        <v>1642</v>
      </c>
      <c r="E339" s="104" t="s">
        <v>477</v>
      </c>
      <c r="F339" s="9">
        <v>2</v>
      </c>
      <c r="G339" s="9">
        <v>1</v>
      </c>
      <c r="H339" s="9">
        <f t="shared" si="25"/>
        <v>2</v>
      </c>
      <c r="I339" s="9" t="s">
        <v>72</v>
      </c>
      <c r="J339" s="4"/>
      <c r="K339" s="4"/>
      <c r="L339" s="8" t="s">
        <v>80</v>
      </c>
      <c r="M339" s="9" t="s">
        <v>25</v>
      </c>
      <c r="N339" s="4" t="s">
        <v>1643</v>
      </c>
      <c r="O339" s="4"/>
      <c r="P339" s="4"/>
      <c r="Q339" s="4"/>
      <c r="R339"/>
      <c r="S339"/>
      <c r="T339"/>
      <c r="U339"/>
      <c r="V339"/>
      <c r="W339"/>
      <c r="X339"/>
      <c r="Y339"/>
      <c r="Z339"/>
      <c r="AA339"/>
      <c r="AB339"/>
      <c r="AC339"/>
      <c r="AD339"/>
      <c r="AE339"/>
      <c r="AF339"/>
      <c r="AG339"/>
      <c r="AH339"/>
      <c r="AI339"/>
      <c r="AJ339"/>
      <c r="AK339"/>
      <c r="AL339"/>
    </row>
    <row r="340" spans="1:38" s="3" customFormat="1" ht="28.9">
      <c r="A340" s="4" t="s">
        <v>1644</v>
      </c>
      <c r="B340" s="103" t="s">
        <v>1645</v>
      </c>
      <c r="C340" s="143" t="s">
        <v>1646</v>
      </c>
      <c r="D340" s="144" t="s">
        <v>1647</v>
      </c>
      <c r="E340" s="104" t="s">
        <v>1115</v>
      </c>
      <c r="F340" s="9">
        <v>5</v>
      </c>
      <c r="G340" s="9">
        <v>2</v>
      </c>
      <c r="H340" s="9">
        <f t="shared" si="25"/>
        <v>10</v>
      </c>
      <c r="I340" s="9" t="s">
        <v>72</v>
      </c>
      <c r="J340" s="4"/>
      <c r="K340" s="4"/>
      <c r="L340" s="8" t="s">
        <v>80</v>
      </c>
      <c r="M340" s="9" t="s">
        <v>25</v>
      </c>
      <c r="N340" s="4" t="s">
        <v>1648</v>
      </c>
      <c r="O340" s="4"/>
      <c r="P340" s="4"/>
      <c r="Q340" s="4"/>
      <c r="R340"/>
      <c r="S340"/>
      <c r="T340"/>
      <c r="U340"/>
      <c r="V340"/>
      <c r="W340"/>
      <c r="X340"/>
      <c r="Y340"/>
      <c r="Z340"/>
      <c r="AA340"/>
      <c r="AB340"/>
      <c r="AC340"/>
      <c r="AD340"/>
      <c r="AE340"/>
      <c r="AF340"/>
      <c r="AG340"/>
      <c r="AH340"/>
      <c r="AI340"/>
      <c r="AJ340"/>
      <c r="AK340"/>
      <c r="AL340"/>
    </row>
    <row r="341" spans="1:38" s="3" customFormat="1" ht="28.9">
      <c r="A341" s="4" t="s">
        <v>1649</v>
      </c>
      <c r="B341" s="103" t="s">
        <v>1650</v>
      </c>
      <c r="C341" s="145" t="s">
        <v>1651</v>
      </c>
      <c r="D341" s="107" t="s">
        <v>1652</v>
      </c>
      <c r="E341" s="104" t="s">
        <v>477</v>
      </c>
      <c r="F341" s="9">
        <v>3</v>
      </c>
      <c r="G341" s="9">
        <v>2</v>
      </c>
      <c r="H341" s="9">
        <f t="shared" si="25"/>
        <v>6</v>
      </c>
      <c r="I341" s="9" t="s">
        <v>72</v>
      </c>
      <c r="J341" s="4"/>
      <c r="K341" s="4"/>
      <c r="L341" s="8" t="s">
        <v>80</v>
      </c>
      <c r="M341" s="9" t="s">
        <v>25</v>
      </c>
      <c r="N341" s="4" t="s">
        <v>1653</v>
      </c>
      <c r="O341" s="4"/>
      <c r="P341" s="4"/>
      <c r="Q341" s="4"/>
      <c r="R341"/>
      <c r="S341"/>
      <c r="T341"/>
      <c r="U341"/>
      <c r="V341"/>
      <c r="W341"/>
      <c r="X341"/>
      <c r="Y341"/>
      <c r="Z341"/>
      <c r="AA341"/>
      <c r="AB341"/>
      <c r="AC341"/>
      <c r="AD341"/>
      <c r="AE341"/>
      <c r="AF341"/>
      <c r="AG341"/>
      <c r="AH341"/>
      <c r="AI341"/>
      <c r="AJ341"/>
      <c r="AK341"/>
      <c r="AL341"/>
    </row>
    <row r="342" spans="1:38" s="3" customFormat="1" ht="14.45">
      <c r="A342" s="4" t="s">
        <v>1654</v>
      </c>
      <c r="B342" s="103" t="s">
        <v>1655</v>
      </c>
      <c r="C342" s="146" t="s">
        <v>1656</v>
      </c>
      <c r="D342" s="105" t="s">
        <v>1657</v>
      </c>
      <c r="E342" s="104" t="s">
        <v>477</v>
      </c>
      <c r="F342" s="9">
        <v>4</v>
      </c>
      <c r="G342" s="9">
        <v>2</v>
      </c>
      <c r="H342" s="9">
        <f>F342*G342</f>
        <v>8</v>
      </c>
      <c r="I342" s="9" t="s">
        <v>72</v>
      </c>
      <c r="J342" s="4"/>
      <c r="K342" s="4"/>
      <c r="L342" s="8" t="s">
        <v>80</v>
      </c>
      <c r="M342" s="9" t="s">
        <v>25</v>
      </c>
      <c r="N342" s="4" t="s">
        <v>1658</v>
      </c>
      <c r="O342" s="4"/>
      <c r="P342" s="4"/>
      <c r="Q342" s="4"/>
      <c r="R342"/>
      <c r="S342"/>
      <c r="T342"/>
      <c r="U342"/>
      <c r="V342"/>
      <c r="W342"/>
      <c r="X342"/>
      <c r="Y342"/>
      <c r="Z342"/>
      <c r="AA342"/>
      <c r="AB342"/>
      <c r="AC342"/>
      <c r="AD342"/>
      <c r="AE342"/>
      <c r="AF342"/>
      <c r="AG342"/>
      <c r="AH342"/>
      <c r="AI342"/>
      <c r="AJ342"/>
      <c r="AK342"/>
      <c r="AL342"/>
    </row>
    <row r="343" spans="1:38" s="3" customFormat="1" ht="15.6">
      <c r="A343" s="161" t="s">
        <v>1659</v>
      </c>
      <c r="B343" s="161"/>
      <c r="C343" s="162"/>
      <c r="D343" s="162"/>
      <c r="E343" s="161"/>
      <c r="F343" s="161"/>
      <c r="G343" s="161"/>
      <c r="H343" s="161"/>
      <c r="I343" s="161"/>
      <c r="J343" s="161"/>
      <c r="K343" s="161"/>
      <c r="L343" s="161"/>
      <c r="M343" s="161"/>
      <c r="N343" s="161"/>
      <c r="O343" s="161"/>
      <c r="P343" s="161"/>
      <c r="Q343" s="161"/>
      <c r="R343"/>
      <c r="S343"/>
      <c r="T343"/>
      <c r="U343"/>
      <c r="V343"/>
      <c r="W343"/>
      <c r="X343"/>
      <c r="Y343"/>
      <c r="Z343"/>
      <c r="AA343"/>
      <c r="AB343"/>
      <c r="AC343"/>
      <c r="AD343"/>
      <c r="AE343"/>
      <c r="AF343"/>
      <c r="AG343"/>
      <c r="AH343"/>
      <c r="AI343"/>
      <c r="AJ343"/>
      <c r="AK343"/>
      <c r="AL343"/>
    </row>
    <row r="344" spans="1:38" s="3" customFormat="1" ht="86.45">
      <c r="A344" s="4" t="s">
        <v>1660</v>
      </c>
      <c r="B344" s="4" t="s">
        <v>1661</v>
      </c>
      <c r="C344" s="4" t="s">
        <v>1662</v>
      </c>
      <c r="D344" s="4" t="s">
        <v>1663</v>
      </c>
      <c r="E344" s="4" t="s">
        <v>1664</v>
      </c>
      <c r="F344" s="9">
        <v>5</v>
      </c>
      <c r="G344" s="9">
        <v>4</v>
      </c>
      <c r="H344" s="9">
        <f t="shared" ref="H344:H349" si="26">F344*G344</f>
        <v>20</v>
      </c>
      <c r="I344" s="9" t="s">
        <v>72</v>
      </c>
      <c r="J344" s="4"/>
      <c r="K344" s="4"/>
      <c r="L344" s="8" t="s">
        <v>73</v>
      </c>
      <c r="M344" s="9" t="s">
        <v>1665</v>
      </c>
      <c r="N344" s="4" t="s">
        <v>1666</v>
      </c>
      <c r="O344" s="4"/>
      <c r="P344" s="75" t="s">
        <v>1667</v>
      </c>
      <c r="Q344" s="4"/>
      <c r="R344"/>
      <c r="S344"/>
      <c r="T344"/>
      <c r="U344"/>
      <c r="V344"/>
      <c r="W344"/>
      <c r="X344"/>
      <c r="Y344"/>
      <c r="Z344"/>
      <c r="AA344"/>
      <c r="AB344"/>
      <c r="AC344"/>
      <c r="AD344"/>
      <c r="AE344"/>
      <c r="AF344"/>
      <c r="AG344"/>
      <c r="AH344"/>
      <c r="AI344"/>
      <c r="AJ344"/>
      <c r="AK344"/>
      <c r="AL344"/>
    </row>
    <row r="345" spans="1:38" s="3" customFormat="1" ht="86.45">
      <c r="A345" s="4" t="s">
        <v>1668</v>
      </c>
      <c r="B345" s="4" t="s">
        <v>1476</v>
      </c>
      <c r="C345" s="4" t="s">
        <v>1669</v>
      </c>
      <c r="D345" s="4" t="s">
        <v>1670</v>
      </c>
      <c r="E345" s="4" t="s">
        <v>1671</v>
      </c>
      <c r="F345" s="9">
        <v>5</v>
      </c>
      <c r="G345" s="9">
        <v>2</v>
      </c>
      <c r="H345" s="9">
        <f t="shared" si="26"/>
        <v>10</v>
      </c>
      <c r="I345" s="9" t="s">
        <v>58</v>
      </c>
      <c r="J345" s="4"/>
      <c r="K345" s="4"/>
      <c r="L345" s="8" t="s">
        <v>86</v>
      </c>
      <c r="M345" s="9" t="s">
        <v>1665</v>
      </c>
      <c r="N345" s="4" t="s">
        <v>1672</v>
      </c>
      <c r="O345" s="4"/>
      <c r="P345" s="75" t="s">
        <v>1673</v>
      </c>
      <c r="Q345" s="4"/>
      <c r="R345"/>
      <c r="S345"/>
      <c r="T345"/>
      <c r="U345"/>
      <c r="V345"/>
      <c r="W345"/>
      <c r="X345"/>
      <c r="Y345"/>
      <c r="Z345"/>
      <c r="AA345"/>
      <c r="AB345"/>
      <c r="AC345"/>
      <c r="AD345"/>
      <c r="AE345"/>
      <c r="AF345"/>
      <c r="AG345"/>
      <c r="AH345"/>
      <c r="AI345"/>
      <c r="AJ345"/>
      <c r="AK345"/>
      <c r="AL345"/>
    </row>
    <row r="346" spans="1:38" s="3" customFormat="1" ht="72">
      <c r="A346" s="4" t="s">
        <v>1674</v>
      </c>
      <c r="B346" s="4" t="s">
        <v>1675</v>
      </c>
      <c r="C346" s="4" t="s">
        <v>1676</v>
      </c>
      <c r="D346" s="4" t="s">
        <v>1677</v>
      </c>
      <c r="E346" s="4" t="s">
        <v>1154</v>
      </c>
      <c r="F346" s="9">
        <v>3</v>
      </c>
      <c r="G346" s="9">
        <v>2</v>
      </c>
      <c r="H346" s="9">
        <f t="shared" si="26"/>
        <v>6</v>
      </c>
      <c r="I346" s="9" t="s">
        <v>58</v>
      </c>
      <c r="J346" s="4"/>
      <c r="K346" s="4"/>
      <c r="L346" s="8" t="s">
        <v>86</v>
      </c>
      <c r="M346" s="9" t="s">
        <v>1665</v>
      </c>
      <c r="N346" s="4" t="s">
        <v>1678</v>
      </c>
      <c r="O346" s="4"/>
      <c r="P346" s="4"/>
      <c r="Q346" s="4"/>
      <c r="R346"/>
      <c r="S346"/>
      <c r="T346"/>
      <c r="U346"/>
      <c r="V346"/>
      <c r="W346"/>
      <c r="X346"/>
      <c r="Y346"/>
      <c r="Z346"/>
      <c r="AA346"/>
      <c r="AB346"/>
      <c r="AC346"/>
      <c r="AD346"/>
      <c r="AE346"/>
      <c r="AF346"/>
      <c r="AG346"/>
      <c r="AH346"/>
      <c r="AI346"/>
      <c r="AJ346"/>
      <c r="AK346"/>
      <c r="AL346"/>
    </row>
    <row r="347" spans="1:38" s="3" customFormat="1" ht="28.9">
      <c r="A347" s="4" t="s">
        <v>1679</v>
      </c>
      <c r="B347" s="4" t="s">
        <v>1680</v>
      </c>
      <c r="C347" s="4" t="s">
        <v>1681</v>
      </c>
      <c r="D347" s="4" t="s">
        <v>1682</v>
      </c>
      <c r="E347" s="4" t="s">
        <v>1144</v>
      </c>
      <c r="F347" s="9">
        <v>2</v>
      </c>
      <c r="G347" s="9">
        <v>1</v>
      </c>
      <c r="H347" s="9">
        <f t="shared" si="26"/>
        <v>2</v>
      </c>
      <c r="I347" s="9" t="s">
        <v>58</v>
      </c>
      <c r="J347" s="4"/>
      <c r="K347" s="4"/>
      <c r="L347" s="8" t="s">
        <v>86</v>
      </c>
      <c r="M347" s="9" t="s">
        <v>1665</v>
      </c>
      <c r="N347" s="4" t="s">
        <v>1683</v>
      </c>
      <c r="O347" s="4"/>
      <c r="P347" s="4"/>
      <c r="Q347" s="4"/>
      <c r="R347"/>
      <c r="S347"/>
      <c r="T347"/>
      <c r="U347"/>
      <c r="V347"/>
      <c r="W347"/>
      <c r="X347"/>
      <c r="Y347"/>
      <c r="Z347"/>
      <c r="AA347"/>
      <c r="AB347"/>
      <c r="AC347"/>
      <c r="AD347"/>
      <c r="AE347"/>
      <c r="AF347"/>
      <c r="AG347"/>
      <c r="AH347"/>
      <c r="AI347"/>
      <c r="AJ347"/>
      <c r="AK347"/>
      <c r="AL347"/>
    </row>
    <row r="348" spans="1:38" s="3" customFormat="1" ht="72">
      <c r="A348" s="4" t="s">
        <v>1684</v>
      </c>
      <c r="B348" s="4" t="s">
        <v>1685</v>
      </c>
      <c r="C348" s="4" t="s">
        <v>1686</v>
      </c>
      <c r="D348" s="4" t="s">
        <v>1687</v>
      </c>
      <c r="E348" s="4" t="s">
        <v>1159</v>
      </c>
      <c r="F348" s="9">
        <v>4</v>
      </c>
      <c r="G348" s="9">
        <v>2</v>
      </c>
      <c r="H348" s="9">
        <f t="shared" si="26"/>
        <v>8</v>
      </c>
      <c r="I348" s="9" t="s">
        <v>58</v>
      </c>
      <c r="J348" s="4"/>
      <c r="K348" s="4"/>
      <c r="L348" s="8" t="s">
        <v>86</v>
      </c>
      <c r="M348" s="9" t="s">
        <v>1665</v>
      </c>
      <c r="N348" s="4" t="s">
        <v>1688</v>
      </c>
      <c r="O348" s="4"/>
      <c r="P348" s="75" t="s">
        <v>1689</v>
      </c>
      <c r="Q348" s="4"/>
      <c r="R348"/>
      <c r="S348"/>
      <c r="T348"/>
      <c r="U348"/>
      <c r="V348"/>
      <c r="W348"/>
      <c r="X348"/>
      <c r="Y348"/>
      <c r="Z348"/>
      <c r="AA348"/>
      <c r="AB348"/>
      <c r="AC348"/>
      <c r="AD348"/>
      <c r="AE348"/>
      <c r="AF348"/>
      <c r="AG348"/>
      <c r="AH348"/>
      <c r="AI348"/>
      <c r="AJ348"/>
      <c r="AK348"/>
      <c r="AL348"/>
    </row>
    <row r="349" spans="1:38" s="3" customFormat="1" ht="43.15">
      <c r="A349" s="4" t="s">
        <v>1690</v>
      </c>
      <c r="B349" s="4" t="s">
        <v>1164</v>
      </c>
      <c r="C349" s="4" t="s">
        <v>1691</v>
      </c>
      <c r="D349" s="4" t="s">
        <v>1692</v>
      </c>
      <c r="E349" s="4" t="s">
        <v>1163</v>
      </c>
      <c r="F349" s="9">
        <v>2</v>
      </c>
      <c r="G349" s="9">
        <v>1</v>
      </c>
      <c r="H349" s="9">
        <f t="shared" si="26"/>
        <v>2</v>
      </c>
      <c r="I349" s="9" t="s">
        <v>58</v>
      </c>
      <c r="J349" s="4"/>
      <c r="K349" s="4"/>
      <c r="L349" s="8" t="s">
        <v>86</v>
      </c>
      <c r="M349" s="9" t="s">
        <v>1693</v>
      </c>
      <c r="N349" s="4" t="s">
        <v>1694</v>
      </c>
      <c r="O349" s="4"/>
      <c r="P349" s="4"/>
      <c r="Q349" s="4"/>
      <c r="R349"/>
      <c r="S349"/>
      <c r="T349"/>
      <c r="U349"/>
      <c r="V349"/>
      <c r="W349"/>
      <c r="X349"/>
      <c r="Y349"/>
      <c r="Z349"/>
      <c r="AA349"/>
      <c r="AB349"/>
      <c r="AC349"/>
      <c r="AD349"/>
      <c r="AE349"/>
      <c r="AF349"/>
      <c r="AG349"/>
      <c r="AH349"/>
      <c r="AI349"/>
      <c r="AJ349"/>
      <c r="AK349"/>
      <c r="AL349"/>
    </row>
    <row r="350" spans="1:38" s="3" customFormat="1" ht="14.85" customHeight="1">
      <c r="A350" s="161" t="s">
        <v>1695</v>
      </c>
      <c r="B350" s="161"/>
      <c r="C350" s="161"/>
      <c r="D350" s="161"/>
      <c r="E350" s="161"/>
      <c r="F350" s="161"/>
      <c r="G350" s="161"/>
      <c r="H350" s="161"/>
      <c r="I350" s="161"/>
      <c r="J350" s="161"/>
      <c r="K350" s="161"/>
      <c r="L350" s="161"/>
      <c r="M350" s="161"/>
      <c r="N350" s="161"/>
      <c r="O350" s="161"/>
      <c r="P350" s="161"/>
      <c r="Q350" s="161"/>
      <c r="R350"/>
      <c r="S350"/>
      <c r="T350"/>
      <c r="U350"/>
      <c r="V350"/>
      <c r="W350"/>
      <c r="X350"/>
      <c r="Y350"/>
      <c r="Z350"/>
      <c r="AA350"/>
      <c r="AB350"/>
      <c r="AC350"/>
      <c r="AD350"/>
      <c r="AE350"/>
      <c r="AF350"/>
      <c r="AG350"/>
      <c r="AH350"/>
      <c r="AI350"/>
      <c r="AJ350"/>
      <c r="AK350"/>
      <c r="AL350"/>
    </row>
    <row r="351" spans="1:38" s="3" customFormat="1" ht="14.45">
      <c r="A351" s="4" t="s">
        <v>1696</v>
      </c>
      <c r="B351" s="4"/>
      <c r="C351" s="4"/>
      <c r="D351" s="4"/>
      <c r="E351" s="4"/>
      <c r="F351" s="9"/>
      <c r="G351" s="9"/>
      <c r="H351" s="9"/>
      <c r="I351" s="9"/>
      <c r="J351" s="4"/>
      <c r="K351" s="4"/>
      <c r="L351" s="8"/>
      <c r="M351" s="9"/>
      <c r="N351" s="4"/>
      <c r="O351" s="4"/>
      <c r="P351" s="4"/>
      <c r="Q351" s="4"/>
      <c r="R351"/>
      <c r="S351"/>
      <c r="T351"/>
      <c r="U351"/>
      <c r="V351"/>
      <c r="W351"/>
      <c r="X351"/>
      <c r="Y351"/>
      <c r="Z351"/>
      <c r="AA351"/>
      <c r="AB351"/>
      <c r="AC351"/>
      <c r="AD351"/>
      <c r="AE351"/>
      <c r="AF351"/>
      <c r="AG351"/>
      <c r="AH351"/>
      <c r="AI351"/>
      <c r="AJ351"/>
      <c r="AK351"/>
      <c r="AL351"/>
    </row>
    <row r="352" spans="1:38" s="3" customFormat="1" ht="14.85" customHeight="1">
      <c r="A352" s="4"/>
      <c r="B352" s="4"/>
      <c r="C352" s="4"/>
      <c r="D352" s="4"/>
      <c r="E352" s="4"/>
      <c r="F352" s="9"/>
      <c r="G352" s="9"/>
      <c r="H352" s="9"/>
      <c r="I352" s="9"/>
      <c r="J352" s="4"/>
      <c r="K352" s="4"/>
      <c r="L352" s="8"/>
      <c r="M352" s="9"/>
      <c r="N352" s="4"/>
      <c r="O352" s="4"/>
      <c r="P352" s="4"/>
      <c r="Q352" s="4"/>
      <c r="R352"/>
      <c r="S352"/>
      <c r="T352"/>
      <c r="U352"/>
      <c r="V352"/>
      <c r="W352"/>
      <c r="X352"/>
      <c r="Y352"/>
      <c r="Z352"/>
      <c r="AA352"/>
      <c r="AB352"/>
      <c r="AC352"/>
      <c r="AD352"/>
      <c r="AE352"/>
      <c r="AF352"/>
      <c r="AG352"/>
      <c r="AH352"/>
      <c r="AI352"/>
      <c r="AJ352"/>
      <c r="AK352"/>
      <c r="AL352"/>
    </row>
    <row r="353" spans="1:38" s="3" customFormat="1" ht="14.45">
      <c r="A353" s="4"/>
      <c r="B353" s="4"/>
      <c r="C353" s="4"/>
      <c r="D353" s="4"/>
      <c r="E353" s="4"/>
      <c r="F353" s="9"/>
      <c r="G353" s="9"/>
      <c r="H353" s="9"/>
      <c r="I353" s="9"/>
      <c r="J353" s="4"/>
      <c r="K353" s="4"/>
      <c r="L353" s="8"/>
      <c r="M353" s="9"/>
      <c r="N353" s="4"/>
      <c r="O353" s="4"/>
      <c r="P353" s="4"/>
      <c r="Q353" s="4"/>
      <c r="R353"/>
      <c r="S353"/>
      <c r="T353"/>
      <c r="U353"/>
      <c r="V353"/>
      <c r="W353"/>
      <c r="X353"/>
      <c r="Y353"/>
      <c r="Z353"/>
      <c r="AA353"/>
      <c r="AB353"/>
      <c r="AC353"/>
      <c r="AD353"/>
      <c r="AE353"/>
      <c r="AF353"/>
      <c r="AG353"/>
      <c r="AH353"/>
      <c r="AI353"/>
      <c r="AJ353"/>
      <c r="AK353"/>
      <c r="AL353"/>
    </row>
    <row r="354" spans="1:38" s="3" customFormat="1" ht="15.6">
      <c r="A354" s="161" t="s">
        <v>1697</v>
      </c>
      <c r="B354" s="161"/>
      <c r="C354" s="161"/>
      <c r="D354" s="161"/>
      <c r="E354" s="161"/>
      <c r="F354" s="161"/>
      <c r="G354" s="161"/>
      <c r="H354" s="161"/>
      <c r="I354" s="161"/>
      <c r="J354" s="161"/>
      <c r="K354" s="161"/>
      <c r="L354" s="161"/>
      <c r="M354" s="161"/>
      <c r="N354" s="161"/>
      <c r="O354" s="161"/>
      <c r="P354" s="161"/>
      <c r="Q354" s="161"/>
      <c r="R354"/>
      <c r="S354"/>
      <c r="T354"/>
      <c r="U354"/>
      <c r="V354"/>
      <c r="W354"/>
      <c r="X354"/>
      <c r="Y354"/>
      <c r="Z354"/>
      <c r="AA354"/>
      <c r="AB354"/>
      <c r="AC354"/>
      <c r="AD354"/>
      <c r="AE354"/>
      <c r="AF354"/>
      <c r="AG354"/>
      <c r="AH354"/>
      <c r="AI354"/>
      <c r="AJ354"/>
      <c r="AK354"/>
      <c r="AL354"/>
    </row>
    <row r="355" spans="1:38" s="3" customFormat="1" ht="43.15">
      <c r="A355" s="4" t="s">
        <v>1698</v>
      </c>
      <c r="B355" s="4" t="s">
        <v>1699</v>
      </c>
      <c r="C355" s="4" t="s">
        <v>1700</v>
      </c>
      <c r="D355" s="4" t="s">
        <v>1701</v>
      </c>
      <c r="E355" s="4" t="s">
        <v>1194</v>
      </c>
      <c r="F355" s="9">
        <v>5</v>
      </c>
      <c r="G355" s="9">
        <v>1</v>
      </c>
      <c r="H355" s="9">
        <f t="shared" ref="H355" si="27">F355*G355</f>
        <v>5</v>
      </c>
      <c r="I355" s="9" t="s">
        <v>72</v>
      </c>
      <c r="J355" s="4" t="s">
        <v>59</v>
      </c>
      <c r="K355" s="4" t="s">
        <v>59</v>
      </c>
      <c r="L355" s="55" t="s">
        <v>24</v>
      </c>
      <c r="M355" s="9" t="s">
        <v>1234</v>
      </c>
      <c r="N355" s="4" t="s">
        <v>1702</v>
      </c>
      <c r="O355" s="4"/>
      <c r="P355" s="4"/>
      <c r="Q355" s="4"/>
      <c r="R355"/>
      <c r="S355"/>
      <c r="T355"/>
      <c r="U355"/>
      <c r="V355"/>
      <c r="W355"/>
      <c r="X355"/>
      <c r="Y355"/>
      <c r="Z355"/>
      <c r="AA355"/>
      <c r="AB355"/>
      <c r="AC355"/>
      <c r="AD355"/>
      <c r="AE355"/>
      <c r="AF355"/>
      <c r="AG355"/>
      <c r="AH355"/>
      <c r="AI355"/>
      <c r="AJ355"/>
      <c r="AK355"/>
      <c r="AL355"/>
    </row>
    <row r="356" spans="1:38" s="3" customFormat="1" ht="14.85" customHeight="1">
      <c r="A356" s="161" t="s">
        <v>1703</v>
      </c>
      <c r="B356" s="161"/>
      <c r="C356" s="161"/>
      <c r="D356" s="161"/>
      <c r="E356" s="161"/>
      <c r="F356" s="161"/>
      <c r="G356" s="161"/>
      <c r="H356" s="161"/>
      <c r="I356" s="161"/>
      <c r="J356" s="161"/>
      <c r="K356" s="161"/>
      <c r="L356" s="161"/>
      <c r="M356" s="161"/>
      <c r="N356" s="161"/>
      <c r="O356" s="161"/>
      <c r="P356" s="161"/>
      <c r="Q356" s="161"/>
      <c r="R356"/>
      <c r="S356"/>
      <c r="T356"/>
      <c r="U356"/>
      <c r="V356"/>
      <c r="W356"/>
      <c r="X356"/>
      <c r="Y356"/>
      <c r="Z356"/>
      <c r="AA356"/>
      <c r="AB356"/>
      <c r="AC356"/>
      <c r="AD356"/>
      <c r="AE356"/>
      <c r="AF356"/>
      <c r="AG356"/>
      <c r="AH356"/>
      <c r="AI356"/>
      <c r="AJ356"/>
      <c r="AK356"/>
      <c r="AL356"/>
    </row>
    <row r="357" spans="1:38" s="3" customFormat="1" ht="28.9">
      <c r="A357" s="4" t="s">
        <v>1704</v>
      </c>
      <c r="B357" s="4" t="s">
        <v>1705</v>
      </c>
      <c r="C357" s="4" t="s">
        <v>1706</v>
      </c>
      <c r="D357" s="4" t="s">
        <v>1707</v>
      </c>
      <c r="E357" s="4" t="str">
        <f>A238</f>
        <v>EGSE-3.01</v>
      </c>
      <c r="F357" s="9">
        <v>2</v>
      </c>
      <c r="G357" s="9">
        <v>1</v>
      </c>
      <c r="H357" s="9">
        <f t="shared" ref="H357:H363" si="28">F357*G357</f>
        <v>2</v>
      </c>
      <c r="I357" s="9"/>
      <c r="J357" s="4"/>
      <c r="K357" s="4"/>
      <c r="L357" s="8"/>
      <c r="M357" s="9" t="s">
        <v>25</v>
      </c>
      <c r="N357" s="4" t="s">
        <v>1708</v>
      </c>
      <c r="O357" s="4"/>
      <c r="P357" s="4"/>
      <c r="Q357" s="4"/>
      <c r="R357"/>
      <c r="S357"/>
      <c r="T357"/>
      <c r="U357"/>
      <c r="V357"/>
      <c r="W357"/>
      <c r="X357"/>
      <c r="Y357"/>
      <c r="Z357"/>
      <c r="AA357"/>
      <c r="AB357"/>
      <c r="AC357"/>
      <c r="AD357"/>
      <c r="AE357"/>
      <c r="AF357"/>
      <c r="AG357"/>
      <c r="AH357"/>
      <c r="AI357"/>
      <c r="AJ357"/>
      <c r="AK357"/>
      <c r="AL357"/>
    </row>
    <row r="358" spans="1:38" s="3" customFormat="1" ht="28.9">
      <c r="A358" s="4" t="s">
        <v>1709</v>
      </c>
      <c r="B358" s="4" t="s">
        <v>1710</v>
      </c>
      <c r="C358" s="4" t="s">
        <v>1711</v>
      </c>
      <c r="D358" s="4" t="s">
        <v>1712</v>
      </c>
      <c r="E358" s="4" t="str">
        <f>A241</f>
        <v>EGSE-3.04</v>
      </c>
      <c r="F358" s="9">
        <v>5</v>
      </c>
      <c r="G358" s="9">
        <v>3</v>
      </c>
      <c r="H358" s="9">
        <f t="shared" si="28"/>
        <v>15</v>
      </c>
      <c r="I358" s="9"/>
      <c r="J358" s="4"/>
      <c r="K358" s="4"/>
      <c r="L358" s="8"/>
      <c r="M358" s="9" t="s">
        <v>25</v>
      </c>
      <c r="N358" s="4" t="s">
        <v>1713</v>
      </c>
      <c r="O358" s="4"/>
      <c r="P358" s="4"/>
      <c r="Q358" s="4"/>
      <c r="R358"/>
      <c r="S358"/>
      <c r="T358"/>
      <c r="U358"/>
      <c r="V358"/>
      <c r="W358"/>
      <c r="X358"/>
      <c r="Y358"/>
      <c r="Z358"/>
      <c r="AA358"/>
      <c r="AB358"/>
      <c r="AC358"/>
      <c r="AD358"/>
      <c r="AE358"/>
      <c r="AF358"/>
      <c r="AG358"/>
      <c r="AH358"/>
      <c r="AI358"/>
      <c r="AJ358"/>
      <c r="AK358"/>
      <c r="AL358"/>
    </row>
    <row r="359" spans="1:38" s="3" customFormat="1" ht="28.9">
      <c r="A359" s="4" t="s">
        <v>1714</v>
      </c>
      <c r="B359" s="4" t="s">
        <v>1715</v>
      </c>
      <c r="C359" s="4" t="s">
        <v>1716</v>
      </c>
      <c r="D359" s="4" t="s">
        <v>1717</v>
      </c>
      <c r="E359" s="4" t="str">
        <f>A90</f>
        <v>GSE-2.01</v>
      </c>
      <c r="F359" s="9">
        <v>3</v>
      </c>
      <c r="G359" s="9">
        <v>5</v>
      </c>
      <c r="H359" s="9">
        <f t="shared" si="28"/>
        <v>15</v>
      </c>
      <c r="I359" s="9"/>
      <c r="J359" s="4"/>
      <c r="K359" s="4"/>
      <c r="L359" s="8"/>
      <c r="M359" s="9" t="s">
        <v>25</v>
      </c>
      <c r="N359" s="4" t="s">
        <v>1718</v>
      </c>
      <c r="O359" s="4"/>
      <c r="P359" s="4"/>
      <c r="Q359" s="4"/>
      <c r="R359"/>
      <c r="S359"/>
      <c r="T359"/>
      <c r="U359"/>
      <c r="V359"/>
      <c r="W359"/>
      <c r="X359"/>
      <c r="Y359"/>
      <c r="Z359"/>
      <c r="AA359"/>
      <c r="AB359"/>
      <c r="AC359"/>
      <c r="AD359"/>
      <c r="AE359"/>
      <c r="AF359"/>
      <c r="AG359"/>
      <c r="AH359"/>
      <c r="AI359"/>
      <c r="AJ359"/>
      <c r="AK359"/>
      <c r="AL359"/>
    </row>
    <row r="360" spans="1:38" s="3" customFormat="1" ht="28.9">
      <c r="A360" s="4" t="s">
        <v>1719</v>
      </c>
      <c r="B360" s="4" t="s">
        <v>1215</v>
      </c>
      <c r="C360" s="4" t="s">
        <v>1720</v>
      </c>
      <c r="D360" s="4" t="s">
        <v>1721</v>
      </c>
      <c r="E360" s="4" t="s">
        <v>1214</v>
      </c>
      <c r="F360" s="9">
        <v>1</v>
      </c>
      <c r="G360" s="9">
        <v>1</v>
      </c>
      <c r="H360" s="9">
        <f t="shared" si="28"/>
        <v>1</v>
      </c>
      <c r="I360" s="9"/>
      <c r="J360" s="4"/>
      <c r="K360" s="4"/>
      <c r="L360" s="8"/>
      <c r="M360" s="9" t="s">
        <v>25</v>
      </c>
      <c r="N360" s="4" t="s">
        <v>1722</v>
      </c>
      <c r="O360" s="4"/>
      <c r="P360" s="4"/>
      <c r="Q360" s="4"/>
      <c r="R360"/>
      <c r="S360"/>
      <c r="T360"/>
      <c r="U360"/>
      <c r="V360"/>
      <c r="W360"/>
      <c r="X360"/>
      <c r="Y360"/>
      <c r="Z360"/>
      <c r="AA360"/>
      <c r="AB360"/>
      <c r="AC360"/>
      <c r="AD360"/>
      <c r="AE360"/>
      <c r="AF360"/>
      <c r="AG360"/>
      <c r="AH360"/>
      <c r="AI360"/>
      <c r="AJ360"/>
      <c r="AK360"/>
      <c r="AL360"/>
    </row>
    <row r="361" spans="1:38" s="3" customFormat="1" ht="28.9">
      <c r="A361" s="4" t="s">
        <v>1723</v>
      </c>
      <c r="B361" s="4" t="s">
        <v>1724</v>
      </c>
      <c r="C361" s="4" t="s">
        <v>1725</v>
      </c>
      <c r="D361" s="4" t="s">
        <v>1726</v>
      </c>
      <c r="E361" s="4" t="s">
        <v>1224</v>
      </c>
      <c r="F361" s="9">
        <v>1</v>
      </c>
      <c r="G361" s="9">
        <v>1</v>
      </c>
      <c r="H361" s="9">
        <f t="shared" si="28"/>
        <v>1</v>
      </c>
      <c r="I361" s="9"/>
      <c r="J361" s="4"/>
      <c r="K361" s="4"/>
      <c r="L361" s="8"/>
      <c r="M361" s="9" t="s">
        <v>25</v>
      </c>
      <c r="N361" s="4" t="s">
        <v>1727</v>
      </c>
      <c r="O361" s="4"/>
      <c r="P361" s="4"/>
      <c r="Q361" s="4"/>
      <c r="R361"/>
      <c r="S361"/>
      <c r="T361"/>
      <c r="U361"/>
      <c r="V361"/>
      <c r="W361"/>
      <c r="X361"/>
      <c r="Y361"/>
      <c r="Z361"/>
      <c r="AA361"/>
      <c r="AB361"/>
      <c r="AC361"/>
      <c r="AD361"/>
      <c r="AE361"/>
      <c r="AF361"/>
      <c r="AG361"/>
      <c r="AH361"/>
      <c r="AI361"/>
      <c r="AJ361"/>
      <c r="AK361"/>
      <c r="AL361"/>
    </row>
    <row r="362" spans="1:38" s="3" customFormat="1" ht="28.9">
      <c r="A362" s="4" t="s">
        <v>1728</v>
      </c>
      <c r="B362" s="4" t="s">
        <v>1729</v>
      </c>
      <c r="C362" s="4" t="s">
        <v>1730</v>
      </c>
      <c r="D362" s="4" t="s">
        <v>1731</v>
      </c>
      <c r="E362" s="4" t="s">
        <v>1224</v>
      </c>
      <c r="F362" s="9">
        <v>1</v>
      </c>
      <c r="G362" s="9">
        <v>1</v>
      </c>
      <c r="H362" s="9">
        <f t="shared" si="28"/>
        <v>1</v>
      </c>
      <c r="I362" s="9"/>
      <c r="J362" s="4"/>
      <c r="K362" s="4"/>
      <c r="L362" s="8"/>
      <c r="M362" s="9" t="s">
        <v>25</v>
      </c>
      <c r="N362" s="4" t="s">
        <v>1732</v>
      </c>
      <c r="O362" s="4"/>
      <c r="P362" s="4"/>
      <c r="Q362" s="4"/>
      <c r="R362"/>
      <c r="S362"/>
      <c r="T362"/>
      <c r="U362"/>
      <c r="V362"/>
      <c r="W362"/>
      <c r="X362"/>
      <c r="Y362"/>
      <c r="Z362"/>
      <c r="AA362"/>
      <c r="AB362"/>
      <c r="AC362"/>
      <c r="AD362"/>
      <c r="AE362"/>
      <c r="AF362"/>
      <c r="AG362"/>
      <c r="AH362"/>
      <c r="AI362"/>
      <c r="AJ362"/>
      <c r="AK362"/>
      <c r="AL362"/>
    </row>
    <row r="363" spans="1:38" s="3" customFormat="1" ht="29.25">
      <c r="A363" s="4" t="s">
        <v>1733</v>
      </c>
      <c r="B363" s="4" t="s">
        <v>1734</v>
      </c>
      <c r="C363" s="4" t="s">
        <v>1735</v>
      </c>
      <c r="D363" s="4" t="s">
        <v>1736</v>
      </c>
      <c r="E363" s="4" t="s">
        <v>1224</v>
      </c>
      <c r="F363" s="9">
        <v>1</v>
      </c>
      <c r="G363" s="9">
        <v>1</v>
      </c>
      <c r="H363" s="9">
        <f t="shared" si="28"/>
        <v>1</v>
      </c>
      <c r="I363" s="9"/>
      <c r="J363" s="4"/>
      <c r="K363" s="4"/>
      <c r="L363" s="8"/>
      <c r="M363" s="9" t="s">
        <v>25</v>
      </c>
      <c r="N363" s="4" t="s">
        <v>1737</v>
      </c>
      <c r="O363" s="4"/>
      <c r="P363" s="4"/>
      <c r="Q363" s="4"/>
      <c r="R363"/>
      <c r="S363"/>
      <c r="T363"/>
      <c r="U363"/>
      <c r="V363"/>
      <c r="W363"/>
      <c r="X363"/>
      <c r="Y363"/>
      <c r="Z363"/>
      <c r="AA363"/>
      <c r="AB363"/>
      <c r="AC363"/>
      <c r="AD363"/>
      <c r="AE363"/>
      <c r="AF363"/>
      <c r="AG363"/>
      <c r="AH363"/>
      <c r="AI363"/>
      <c r="AJ363"/>
      <c r="AK363"/>
      <c r="AL363"/>
    </row>
    <row r="364" spans="1:38" s="3" customFormat="1" ht="14.85" customHeight="1">
      <c r="A364" s="161" t="s">
        <v>1738</v>
      </c>
      <c r="B364" s="161"/>
      <c r="C364" s="161"/>
      <c r="D364" s="161"/>
      <c r="E364" s="161"/>
      <c r="F364" s="161"/>
      <c r="G364" s="161"/>
      <c r="H364" s="161"/>
      <c r="I364" s="161"/>
      <c r="J364" s="161"/>
      <c r="K364" s="161"/>
      <c r="L364" s="161"/>
      <c r="M364" s="161"/>
      <c r="N364" s="161"/>
      <c r="O364" s="161"/>
      <c r="P364" s="161"/>
      <c r="Q364" s="161"/>
      <c r="R364"/>
      <c r="S364"/>
      <c r="T364"/>
      <c r="U364"/>
      <c r="V364"/>
      <c r="W364"/>
      <c r="X364"/>
      <c r="Y364"/>
      <c r="Z364"/>
      <c r="AA364"/>
      <c r="AB364"/>
      <c r="AC364"/>
      <c r="AD364"/>
      <c r="AE364"/>
      <c r="AF364"/>
      <c r="AG364"/>
      <c r="AH364"/>
      <c r="AI364"/>
      <c r="AJ364"/>
      <c r="AK364"/>
      <c r="AL364"/>
    </row>
    <row r="365" spans="1:38" s="3" customFormat="1" ht="14.45">
      <c r="A365" s="4" t="s">
        <v>1739</v>
      </c>
      <c r="B365" s="4"/>
      <c r="C365" s="4"/>
      <c r="D365" s="4"/>
      <c r="E365" s="4"/>
      <c r="F365" s="9"/>
      <c r="G365" s="9"/>
      <c r="H365" s="9"/>
      <c r="I365" s="9"/>
      <c r="J365" s="4"/>
      <c r="K365" s="4"/>
      <c r="L365" s="4"/>
      <c r="M365" s="4"/>
      <c r="N365" s="4"/>
      <c r="O365" s="4"/>
      <c r="P365" s="4"/>
      <c r="Q365" s="4"/>
      <c r="R365"/>
      <c r="S365"/>
      <c r="T365"/>
      <c r="U365"/>
      <c r="V365"/>
      <c r="W365"/>
      <c r="X365"/>
      <c r="Y365"/>
      <c r="Z365"/>
      <c r="AA365"/>
      <c r="AB365"/>
      <c r="AC365"/>
      <c r="AD365"/>
      <c r="AE365"/>
      <c r="AF365"/>
      <c r="AG365"/>
      <c r="AH365"/>
      <c r="AI365"/>
      <c r="AJ365"/>
      <c r="AK365"/>
      <c r="AL365"/>
    </row>
    <row r="366" spans="1:38" s="3" customFormat="1" ht="14.45">
      <c r="A366" s="4"/>
      <c r="B366" s="4"/>
      <c r="C366" s="4"/>
      <c r="D366" s="4"/>
      <c r="E366" s="4"/>
      <c r="F366" s="9"/>
      <c r="G366" s="9"/>
      <c r="H366" s="9"/>
      <c r="I366" s="9"/>
      <c r="J366" s="4"/>
      <c r="K366" s="4"/>
      <c r="L366" s="4"/>
      <c r="M366" s="4"/>
      <c r="N366" s="4"/>
      <c r="O366" s="4"/>
      <c r="P366" s="4"/>
      <c r="Q366" s="4"/>
      <c r="R366"/>
      <c r="S366"/>
      <c r="T366"/>
      <c r="U366"/>
      <c r="V366"/>
      <c r="W366"/>
      <c r="X366"/>
      <c r="Y366"/>
      <c r="Z366"/>
      <c r="AA366"/>
      <c r="AB366"/>
      <c r="AC366"/>
      <c r="AD366"/>
      <c r="AE366"/>
      <c r="AF366"/>
      <c r="AG366"/>
      <c r="AH366"/>
      <c r="AI366"/>
      <c r="AJ366"/>
      <c r="AK366"/>
      <c r="AL366"/>
    </row>
    <row r="367" spans="1:38" s="3" customFormat="1" ht="14.45">
      <c r="A367" s="4"/>
      <c r="B367" s="4"/>
      <c r="C367" s="4"/>
      <c r="D367" s="4"/>
      <c r="E367" s="52"/>
      <c r="F367" s="9"/>
      <c r="G367" s="9"/>
      <c r="H367" s="9"/>
      <c r="I367" s="9"/>
      <c r="J367" s="4"/>
      <c r="K367" s="4"/>
      <c r="L367" s="8"/>
      <c r="M367" s="9"/>
      <c r="N367" s="4"/>
      <c r="O367" s="4"/>
      <c r="P367" s="4"/>
      <c r="Q367" s="4"/>
      <c r="R367"/>
      <c r="S367"/>
      <c r="T367"/>
      <c r="U367"/>
      <c r="V367"/>
      <c r="W367"/>
      <c r="X367"/>
      <c r="Y367"/>
      <c r="Z367"/>
      <c r="AA367"/>
      <c r="AB367"/>
      <c r="AC367"/>
      <c r="AD367"/>
      <c r="AE367"/>
      <c r="AF367"/>
      <c r="AG367"/>
      <c r="AH367"/>
      <c r="AI367"/>
      <c r="AJ367"/>
      <c r="AK367"/>
      <c r="AL367"/>
    </row>
    <row r="368" spans="1:38" s="3" customFormat="1" ht="14.45">
      <c r="A368" s="164"/>
      <c r="B368" s="164"/>
      <c r="C368" s="164"/>
      <c r="D368" s="164"/>
      <c r="E368" s="164"/>
      <c r="F368" s="164"/>
      <c r="G368" s="164"/>
      <c r="H368" s="164"/>
      <c r="I368" s="164"/>
      <c r="J368" s="164"/>
      <c r="K368" s="164"/>
      <c r="L368" s="164"/>
      <c r="M368" s="164"/>
      <c r="N368" s="164"/>
      <c r="O368" s="164"/>
      <c r="P368" s="164"/>
      <c r="Q368" s="164"/>
      <c r="R368"/>
      <c r="S368"/>
      <c r="T368"/>
      <c r="U368"/>
      <c r="V368"/>
      <c r="W368"/>
      <c r="X368"/>
      <c r="Y368"/>
      <c r="Z368"/>
      <c r="AA368"/>
      <c r="AB368"/>
      <c r="AC368"/>
      <c r="AD368"/>
      <c r="AE368"/>
      <c r="AF368"/>
      <c r="AG368"/>
      <c r="AH368"/>
      <c r="AI368"/>
      <c r="AJ368"/>
      <c r="AK368"/>
      <c r="AL368"/>
    </row>
    <row r="369" spans="1:38" s="3" customFormat="1" ht="17.45">
      <c r="A369" s="163" t="s">
        <v>1740</v>
      </c>
      <c r="B369" s="163"/>
      <c r="C369" s="163"/>
      <c r="D369" s="163"/>
      <c r="E369" s="163"/>
      <c r="F369" s="163"/>
      <c r="G369" s="163"/>
      <c r="H369" s="163"/>
      <c r="I369" s="163"/>
      <c r="J369" s="163"/>
      <c r="K369" s="163"/>
      <c r="L369" s="163"/>
      <c r="M369" s="163"/>
      <c r="N369" s="163"/>
      <c r="O369" s="163"/>
      <c r="P369" s="163"/>
      <c r="Q369" s="163"/>
      <c r="R369"/>
      <c r="S369"/>
      <c r="T369"/>
      <c r="U369"/>
      <c r="V369"/>
      <c r="W369"/>
      <c r="X369"/>
      <c r="Y369"/>
      <c r="Z369"/>
      <c r="AA369"/>
      <c r="AB369"/>
      <c r="AC369"/>
      <c r="AD369"/>
      <c r="AE369"/>
      <c r="AF369"/>
      <c r="AG369"/>
      <c r="AH369"/>
      <c r="AI369"/>
      <c r="AJ369"/>
      <c r="AK369"/>
      <c r="AL369"/>
    </row>
    <row r="370" spans="1:38" s="3" customFormat="1" ht="14.45">
      <c r="F370" s="23"/>
      <c r="R370"/>
      <c r="S370"/>
      <c r="T370"/>
      <c r="U370"/>
      <c r="V370"/>
      <c r="W370"/>
      <c r="X370"/>
      <c r="Y370"/>
      <c r="Z370"/>
      <c r="AA370"/>
      <c r="AB370"/>
      <c r="AC370"/>
      <c r="AD370"/>
      <c r="AE370"/>
      <c r="AF370"/>
      <c r="AG370"/>
      <c r="AH370"/>
      <c r="AI370"/>
      <c r="AJ370"/>
      <c r="AK370"/>
      <c r="AL370"/>
    </row>
    <row r="371" spans="1:38" s="3" customFormat="1" ht="14.45">
      <c r="F371" s="23"/>
      <c r="R371"/>
      <c r="S371"/>
      <c r="T371"/>
      <c r="U371"/>
      <c r="V371"/>
      <c r="W371"/>
      <c r="X371"/>
      <c r="Y371"/>
      <c r="Z371"/>
      <c r="AA371"/>
      <c r="AB371"/>
      <c r="AC371"/>
      <c r="AD371"/>
      <c r="AE371"/>
      <c r="AF371"/>
      <c r="AG371"/>
      <c r="AH371"/>
      <c r="AI371"/>
      <c r="AJ371"/>
      <c r="AK371"/>
      <c r="AL371"/>
    </row>
    <row r="372" spans="1:38" s="3" customFormat="1" ht="14.45">
      <c r="F372" s="23"/>
      <c r="R372"/>
      <c r="S372"/>
      <c r="T372"/>
      <c r="U372"/>
      <c r="V372"/>
      <c r="W372"/>
      <c r="X372"/>
      <c r="Y372"/>
      <c r="Z372"/>
      <c r="AA372"/>
      <c r="AB372"/>
      <c r="AC372"/>
      <c r="AD372"/>
      <c r="AE372"/>
      <c r="AF372"/>
      <c r="AG372"/>
      <c r="AH372"/>
      <c r="AI372"/>
      <c r="AJ372"/>
      <c r="AK372"/>
      <c r="AL372"/>
    </row>
    <row r="373" spans="1:38" s="3" customFormat="1" ht="14.45">
      <c r="F373" s="23"/>
      <c r="R373"/>
      <c r="S373"/>
      <c r="T373"/>
      <c r="U373"/>
      <c r="V373"/>
      <c r="W373"/>
      <c r="X373"/>
      <c r="Y373"/>
      <c r="Z373"/>
      <c r="AA373"/>
      <c r="AB373"/>
      <c r="AC373"/>
      <c r="AD373"/>
      <c r="AE373"/>
      <c r="AF373"/>
      <c r="AG373"/>
      <c r="AH373"/>
      <c r="AI373"/>
      <c r="AJ373"/>
      <c r="AK373"/>
      <c r="AL373"/>
    </row>
    <row r="374" spans="1:38" s="3" customFormat="1" ht="14.45">
      <c r="F374" s="23"/>
      <c r="R374"/>
      <c r="S374"/>
      <c r="T374"/>
      <c r="U374"/>
      <c r="V374"/>
      <c r="W374"/>
      <c r="X374"/>
      <c r="Y374"/>
      <c r="Z374"/>
      <c r="AA374"/>
      <c r="AB374"/>
      <c r="AC374"/>
      <c r="AD374"/>
      <c r="AE374"/>
      <c r="AF374"/>
      <c r="AG374"/>
      <c r="AH374"/>
      <c r="AI374"/>
      <c r="AJ374"/>
      <c r="AK374"/>
      <c r="AL374"/>
    </row>
    <row r="375" spans="1:38" s="3" customFormat="1" ht="14.45">
      <c r="F375" s="23"/>
      <c r="R375"/>
      <c r="S375"/>
      <c r="T375"/>
      <c r="U375"/>
      <c r="V375"/>
      <c r="W375"/>
      <c r="X375"/>
      <c r="Y375"/>
      <c r="Z375"/>
      <c r="AA375"/>
      <c r="AB375"/>
      <c r="AC375"/>
      <c r="AD375"/>
      <c r="AE375"/>
      <c r="AF375"/>
      <c r="AG375"/>
      <c r="AH375"/>
      <c r="AI375"/>
      <c r="AJ375"/>
      <c r="AK375"/>
      <c r="AL375"/>
    </row>
    <row r="376" spans="1:38" s="3" customFormat="1" ht="14.45">
      <c r="F376" s="23"/>
      <c r="R376"/>
      <c r="S376"/>
      <c r="T376"/>
      <c r="U376"/>
      <c r="V376"/>
      <c r="W376"/>
      <c r="X376"/>
      <c r="Y376"/>
      <c r="Z376"/>
      <c r="AA376"/>
      <c r="AB376"/>
      <c r="AC376"/>
      <c r="AD376"/>
      <c r="AE376"/>
      <c r="AF376"/>
      <c r="AG376"/>
      <c r="AH376"/>
      <c r="AI376"/>
      <c r="AJ376"/>
      <c r="AK376"/>
      <c r="AL376"/>
    </row>
    <row r="377" spans="1:38" s="3" customFormat="1" ht="14.45">
      <c r="F377" s="23"/>
      <c r="R377"/>
      <c r="S377"/>
      <c r="T377"/>
      <c r="U377"/>
      <c r="V377"/>
      <c r="W377"/>
      <c r="X377"/>
      <c r="Y377"/>
      <c r="Z377"/>
      <c r="AA377"/>
      <c r="AB377"/>
      <c r="AC377"/>
      <c r="AD377"/>
      <c r="AE377"/>
      <c r="AF377"/>
      <c r="AG377"/>
      <c r="AH377"/>
      <c r="AI377"/>
      <c r="AJ377"/>
      <c r="AK377"/>
      <c r="AL377"/>
    </row>
    <row r="378" spans="1:38" s="3" customFormat="1" ht="14.45">
      <c r="F378" s="23"/>
      <c r="R378"/>
      <c r="S378"/>
      <c r="T378"/>
      <c r="U378"/>
      <c r="V378"/>
      <c r="W378"/>
      <c r="X378"/>
      <c r="Y378"/>
      <c r="Z378"/>
      <c r="AA378"/>
      <c r="AB378"/>
      <c r="AC378"/>
      <c r="AD378"/>
      <c r="AE378"/>
      <c r="AF378"/>
      <c r="AG378"/>
      <c r="AH378"/>
      <c r="AI378"/>
      <c r="AJ378"/>
      <c r="AK378"/>
      <c r="AL378"/>
    </row>
    <row r="379" spans="1:38" s="3" customFormat="1" ht="14.45">
      <c r="F379" s="23"/>
      <c r="R379"/>
      <c r="S379"/>
      <c r="T379"/>
      <c r="U379"/>
      <c r="V379"/>
      <c r="W379"/>
      <c r="X379"/>
      <c r="Y379"/>
      <c r="Z379"/>
      <c r="AA379"/>
      <c r="AB379"/>
      <c r="AC379"/>
      <c r="AD379"/>
      <c r="AE379"/>
      <c r="AF379"/>
      <c r="AG379"/>
      <c r="AH379"/>
      <c r="AI379"/>
      <c r="AJ379"/>
      <c r="AK379"/>
      <c r="AL379"/>
    </row>
    <row r="380" spans="1:38" s="3" customFormat="1" ht="14.45">
      <c r="F380" s="23"/>
      <c r="R380"/>
      <c r="S380"/>
      <c r="T380"/>
      <c r="U380"/>
      <c r="V380"/>
      <c r="W380"/>
      <c r="X380"/>
      <c r="Y380"/>
      <c r="Z380"/>
      <c r="AA380"/>
      <c r="AB380"/>
      <c r="AC380"/>
      <c r="AD380"/>
      <c r="AE380"/>
      <c r="AF380"/>
      <c r="AG380"/>
      <c r="AH380"/>
      <c r="AI380"/>
      <c r="AJ380"/>
      <c r="AK380"/>
      <c r="AL380"/>
    </row>
    <row r="381" spans="1:38" s="3" customFormat="1" ht="14.45">
      <c r="F381" s="23"/>
      <c r="R381"/>
      <c r="S381"/>
      <c r="T381"/>
      <c r="U381"/>
      <c r="V381"/>
      <c r="W381"/>
      <c r="X381"/>
      <c r="Y381"/>
      <c r="Z381"/>
      <c r="AA381"/>
      <c r="AB381"/>
      <c r="AC381"/>
      <c r="AD381"/>
      <c r="AE381"/>
      <c r="AF381"/>
      <c r="AG381"/>
      <c r="AH381"/>
      <c r="AI381"/>
      <c r="AJ381"/>
      <c r="AK381"/>
      <c r="AL381"/>
    </row>
    <row r="382" spans="1:38" s="3" customFormat="1" ht="14.45">
      <c r="F382" s="23"/>
      <c r="R382"/>
      <c r="S382"/>
      <c r="T382"/>
      <c r="U382"/>
      <c r="V382"/>
      <c r="W382"/>
      <c r="X382"/>
      <c r="Y382"/>
      <c r="Z382"/>
      <c r="AA382"/>
      <c r="AB382"/>
      <c r="AC382"/>
      <c r="AD382"/>
      <c r="AE382"/>
      <c r="AF382"/>
      <c r="AG382"/>
      <c r="AH382"/>
      <c r="AI382"/>
      <c r="AJ382"/>
      <c r="AK382"/>
      <c r="AL382"/>
    </row>
    <row r="383" spans="1:38" s="3" customFormat="1" ht="14.45">
      <c r="F383" s="23"/>
      <c r="R383"/>
      <c r="S383"/>
      <c r="T383"/>
      <c r="U383"/>
      <c r="V383"/>
      <c r="W383"/>
      <c r="X383"/>
      <c r="Y383"/>
      <c r="Z383"/>
      <c r="AA383"/>
      <c r="AB383"/>
      <c r="AC383"/>
      <c r="AD383"/>
      <c r="AE383"/>
      <c r="AF383"/>
      <c r="AG383"/>
      <c r="AH383"/>
      <c r="AI383"/>
      <c r="AJ383"/>
      <c r="AK383"/>
      <c r="AL383"/>
    </row>
    <row r="384" spans="1:38" s="3" customFormat="1" ht="14.45">
      <c r="F384" s="23"/>
      <c r="R384"/>
      <c r="S384"/>
      <c r="T384"/>
      <c r="U384"/>
      <c r="V384"/>
      <c r="W384"/>
      <c r="X384"/>
      <c r="Y384"/>
      <c r="Z384"/>
      <c r="AA384"/>
      <c r="AB384"/>
      <c r="AC384"/>
      <c r="AD384"/>
      <c r="AE384"/>
      <c r="AF384"/>
      <c r="AG384"/>
      <c r="AH384"/>
      <c r="AI384"/>
      <c r="AJ384"/>
      <c r="AK384"/>
      <c r="AL384"/>
    </row>
    <row r="385" spans="4:38" s="3" customFormat="1" ht="14.45">
      <c r="F385" s="23"/>
      <c r="R385"/>
      <c r="S385"/>
      <c r="T385"/>
      <c r="U385"/>
      <c r="V385"/>
      <c r="W385"/>
      <c r="X385"/>
      <c r="Y385"/>
      <c r="Z385"/>
      <c r="AA385"/>
      <c r="AB385"/>
      <c r="AC385"/>
      <c r="AD385"/>
      <c r="AE385"/>
      <c r="AF385"/>
      <c r="AG385"/>
      <c r="AH385"/>
      <c r="AI385"/>
      <c r="AJ385"/>
      <c r="AK385"/>
      <c r="AL385"/>
    </row>
    <row r="386" spans="4:38" s="3" customFormat="1" ht="14.45">
      <c r="F386" s="23"/>
      <c r="R386"/>
      <c r="S386"/>
      <c r="T386"/>
      <c r="U386"/>
      <c r="V386"/>
      <c r="W386"/>
      <c r="X386"/>
      <c r="Y386"/>
      <c r="Z386"/>
      <c r="AA386"/>
      <c r="AB386"/>
      <c r="AC386"/>
      <c r="AD386"/>
      <c r="AE386"/>
      <c r="AF386"/>
      <c r="AG386"/>
      <c r="AH386"/>
      <c r="AI386"/>
      <c r="AJ386"/>
      <c r="AK386"/>
      <c r="AL386"/>
    </row>
    <row r="387" spans="4:38" s="3" customFormat="1" ht="14.45">
      <c r="F387" s="23"/>
      <c r="R387"/>
      <c r="S387"/>
      <c r="T387"/>
      <c r="U387"/>
      <c r="V387"/>
      <c r="W387"/>
      <c r="X387"/>
      <c r="Y387"/>
      <c r="Z387"/>
      <c r="AA387"/>
      <c r="AB387"/>
      <c r="AC387"/>
      <c r="AD387"/>
      <c r="AE387"/>
      <c r="AF387"/>
      <c r="AG387"/>
      <c r="AH387"/>
      <c r="AI387"/>
      <c r="AJ387"/>
      <c r="AK387"/>
      <c r="AL387"/>
    </row>
    <row r="388" spans="4:38" s="3" customFormat="1" ht="14.45">
      <c r="F388" s="23"/>
      <c r="R388"/>
      <c r="S388"/>
      <c r="T388"/>
      <c r="U388"/>
      <c r="V388"/>
      <c r="W388"/>
      <c r="X388"/>
      <c r="Y388"/>
      <c r="Z388"/>
      <c r="AA388"/>
      <c r="AB388"/>
      <c r="AC388"/>
      <c r="AD388"/>
      <c r="AE388"/>
      <c r="AF388"/>
      <c r="AG388"/>
      <c r="AH388"/>
      <c r="AI388"/>
      <c r="AJ388"/>
      <c r="AK388"/>
      <c r="AL388"/>
    </row>
    <row r="389" spans="4:38" s="3" customFormat="1" ht="14.45">
      <c r="F389" s="23"/>
      <c r="R389"/>
      <c r="S389"/>
      <c r="T389"/>
      <c r="U389"/>
      <c r="V389"/>
      <c r="W389"/>
      <c r="X389"/>
      <c r="Y389"/>
      <c r="Z389"/>
      <c r="AA389"/>
      <c r="AB389"/>
      <c r="AC389"/>
      <c r="AD389"/>
      <c r="AE389"/>
      <c r="AF389"/>
      <c r="AG389"/>
      <c r="AH389"/>
      <c r="AI389"/>
      <c r="AJ389"/>
      <c r="AK389"/>
      <c r="AL389"/>
    </row>
    <row r="390" spans="4:38" s="3" customFormat="1" ht="14.45">
      <c r="F390" s="23"/>
      <c r="R390"/>
      <c r="S390"/>
      <c r="T390"/>
      <c r="U390"/>
      <c r="V390"/>
      <c r="W390"/>
      <c r="X390"/>
      <c r="Y390"/>
      <c r="Z390"/>
      <c r="AA390"/>
      <c r="AB390"/>
      <c r="AC390"/>
      <c r="AD390"/>
      <c r="AE390"/>
      <c r="AF390"/>
      <c r="AG390"/>
      <c r="AH390"/>
      <c r="AI390"/>
      <c r="AJ390"/>
      <c r="AK390"/>
      <c r="AL390"/>
    </row>
    <row r="391" spans="4:38" s="3" customFormat="1" ht="14.45">
      <c r="F391" s="23"/>
      <c r="R391"/>
      <c r="S391"/>
      <c r="T391"/>
      <c r="U391"/>
      <c r="V391"/>
      <c r="W391"/>
      <c r="X391"/>
      <c r="Y391"/>
      <c r="Z391"/>
      <c r="AA391"/>
      <c r="AB391"/>
      <c r="AC391"/>
      <c r="AD391"/>
      <c r="AE391"/>
      <c r="AF391"/>
      <c r="AG391"/>
      <c r="AH391"/>
      <c r="AI391"/>
      <c r="AJ391"/>
      <c r="AK391"/>
      <c r="AL391"/>
    </row>
    <row r="392" spans="4:38" s="3" customFormat="1" ht="14.45">
      <c r="R392"/>
      <c r="S392"/>
      <c r="T392"/>
      <c r="U392"/>
      <c r="V392"/>
      <c r="W392"/>
      <c r="X392"/>
      <c r="Y392"/>
      <c r="Z392"/>
      <c r="AA392"/>
      <c r="AB392"/>
      <c r="AC392"/>
      <c r="AD392"/>
      <c r="AE392"/>
      <c r="AF392"/>
      <c r="AG392"/>
      <c r="AH392"/>
      <c r="AI392"/>
      <c r="AJ392"/>
      <c r="AK392"/>
      <c r="AL392"/>
    </row>
    <row r="393" spans="4:38" s="3" customFormat="1" ht="28.9">
      <c r="M393" s="67" t="s">
        <v>1741</v>
      </c>
      <c r="R393"/>
      <c r="S393"/>
      <c r="T393"/>
      <c r="U393"/>
      <c r="V393"/>
      <c r="W393"/>
      <c r="X393"/>
      <c r="Y393"/>
      <c r="Z393"/>
      <c r="AA393"/>
      <c r="AB393"/>
      <c r="AC393"/>
      <c r="AD393"/>
      <c r="AE393"/>
      <c r="AF393"/>
      <c r="AG393"/>
      <c r="AH393"/>
      <c r="AI393"/>
      <c r="AJ393"/>
      <c r="AK393"/>
      <c r="AL393"/>
    </row>
    <row r="394" spans="4:38" s="3" customFormat="1" ht="14.45">
      <c r="F394" s="23"/>
      <c r="M394" s="67" t="s">
        <v>1742</v>
      </c>
      <c r="N394" s="67" t="s">
        <v>1743</v>
      </c>
      <c r="R394"/>
      <c r="S394"/>
      <c r="T394"/>
      <c r="U394"/>
      <c r="V394"/>
      <c r="W394"/>
      <c r="X394"/>
      <c r="Y394"/>
      <c r="Z394"/>
      <c r="AA394"/>
      <c r="AB394"/>
      <c r="AC394"/>
      <c r="AD394"/>
      <c r="AE394"/>
      <c r="AF394"/>
      <c r="AG394"/>
      <c r="AH394"/>
      <c r="AI394"/>
      <c r="AJ394"/>
      <c r="AK394"/>
      <c r="AL394"/>
    </row>
    <row r="395" spans="4:38" s="3" customFormat="1" ht="14.45">
      <c r="F395" s="23"/>
      <c r="M395" s="23">
        <f>COUNTA(N4:N8,N11:N20,N24:N51,N54:N61,N63:N84,N86:N88,N90,N95:N113,N116:N125,N127:N146,N148:N160,N164:N177,N179:N187,N189:N199,N201:N208,N210:N216,N218:N224,N232:N236,N238:N242,N244:N248,N271:N285,N357:N363,N355,N257:N265,N287:N292,N295:N300,N302:N306,N308:N316,N331:N342,N344:N349,N318:N329)</f>
        <v>298</v>
      </c>
      <c r="N395" s="68">
        <f>M397-M395</f>
        <v>0</v>
      </c>
      <c r="R395"/>
      <c r="S395"/>
      <c r="T395"/>
      <c r="U395"/>
      <c r="V395"/>
      <c r="W395"/>
      <c r="X395"/>
      <c r="Y395"/>
      <c r="Z395"/>
      <c r="AA395"/>
      <c r="AB395"/>
      <c r="AC395"/>
      <c r="AD395"/>
      <c r="AE395"/>
      <c r="AF395"/>
      <c r="AG395"/>
      <c r="AH395"/>
      <c r="AI395"/>
      <c r="AJ395"/>
      <c r="AK395"/>
      <c r="AL395"/>
    </row>
    <row r="396" spans="4:38" s="3" customFormat="1" ht="14.45">
      <c r="F396" s="23"/>
      <c r="G396" s="69" t="s">
        <v>1744</v>
      </c>
      <c r="H396" s="69" t="s">
        <v>1745</v>
      </c>
      <c r="I396" s="70"/>
      <c r="M396" s="71" t="s">
        <v>1746</v>
      </c>
      <c r="R396"/>
      <c r="S396"/>
      <c r="T396"/>
      <c r="U396"/>
      <c r="V396"/>
      <c r="W396"/>
      <c r="X396"/>
      <c r="Y396"/>
      <c r="Z396"/>
      <c r="AA396"/>
      <c r="AB396"/>
      <c r="AC396"/>
      <c r="AD396"/>
      <c r="AE396"/>
      <c r="AF396"/>
      <c r="AG396"/>
      <c r="AH396"/>
      <c r="AI396"/>
      <c r="AJ396"/>
      <c r="AK396"/>
      <c r="AL396"/>
    </row>
    <row r="397" spans="4:38" s="3" customFormat="1" ht="14.45">
      <c r="F397" s="23"/>
      <c r="G397" s="72" t="s">
        <v>1747</v>
      </c>
      <c r="H397" s="74">
        <f>COUNTIF(H2:H386,0)</f>
        <v>13</v>
      </c>
      <c r="I397" s="73"/>
      <c r="M397" s="23">
        <f>(M395)+COUNTBLANK(N4:N8) +COUNTBLANK(N11:N20)+COUNTBLANK(N24:N51)+COUNTBLANK(N54:N61)+COUNTBLANK(N63:N84)+COUNTBLANK(N86:N88)+COUNTBLANK(N90)+COUNTBLANK(N95:N113)+COUNTBLANK(N116:N125)+COUNTBLANK(N127:N146)+COUNTBLANK(N148:N160)+COUNTBLANK(N164:N177)+COUNTBLANK(N179:N187)+COUNTBLANK(N189:N199)+COUNTBLANK(N201:N208)+COUNTBLANK(N210:N216)+COUNTBLANK(N218:N224)+COUNTBLANK(N232:N236)+COUNTBLANK(N238:N242)+COUNTBLANK(N244:N248)+COUNTBLANK(N271:N285)+COUNTBLANK(N257:N265)+COUNTBLANK(N287:N292)+COUNTBLANK(N295:N300)+COUNTBLANK(N302:N306)+COUNTBLANK(N308:N316)+COUNTBLANK(N331:N342)+COUNTBLANK(N344:N349)+COUNTBLANK(N355)+COUNTBLANK(N357:N363)+COUNTBLANK(N318:N329)</f>
        <v>298</v>
      </c>
      <c r="R397"/>
      <c r="S397"/>
      <c r="T397"/>
      <c r="U397"/>
      <c r="V397"/>
      <c r="W397"/>
      <c r="X397"/>
      <c r="Y397"/>
      <c r="Z397"/>
      <c r="AA397"/>
      <c r="AB397"/>
      <c r="AC397"/>
      <c r="AD397"/>
      <c r="AE397"/>
      <c r="AF397"/>
      <c r="AG397"/>
      <c r="AH397"/>
      <c r="AI397"/>
      <c r="AJ397"/>
      <c r="AK397"/>
      <c r="AL397"/>
    </row>
    <row r="398" spans="4:38" s="3" customFormat="1" ht="14.45">
      <c r="D398" s="100" t="s">
        <v>1748</v>
      </c>
      <c r="E398" s="97">
        <f>COUNTIFS($F$1:$F$368, "1", $G$1:$G$368, "1")</f>
        <v>13</v>
      </c>
      <c r="F398" s="23"/>
      <c r="G398" s="74">
        <v>1</v>
      </c>
      <c r="H398" s="74">
        <f t="shared" ref="H398:H422" si="29">COUNTIF($H$1:$H$366,G398)</f>
        <v>13</v>
      </c>
      <c r="I398" s="23"/>
      <c r="R398"/>
      <c r="S398"/>
      <c r="T398"/>
      <c r="U398"/>
      <c r="V398"/>
      <c r="W398"/>
      <c r="X398"/>
      <c r="Y398"/>
      <c r="Z398"/>
      <c r="AA398"/>
      <c r="AB398"/>
      <c r="AC398"/>
      <c r="AD398"/>
      <c r="AE398"/>
      <c r="AF398"/>
      <c r="AG398"/>
      <c r="AH398"/>
      <c r="AI398"/>
      <c r="AJ398"/>
      <c r="AK398"/>
      <c r="AL398"/>
    </row>
    <row r="399" spans="4:38" s="3" customFormat="1" ht="14.45">
      <c r="D399" s="100" t="s">
        <v>1749</v>
      </c>
      <c r="E399" s="97">
        <f>COUNTIFS($F$1:$F$368, "1", $G$1:$G$368, "2")</f>
        <v>0</v>
      </c>
      <c r="F399" s="23"/>
      <c r="G399" s="74">
        <v>2</v>
      </c>
      <c r="H399" s="74">
        <f t="shared" si="29"/>
        <v>21</v>
      </c>
      <c r="I399" s="23"/>
      <c r="R399"/>
      <c r="S399"/>
      <c r="T399"/>
      <c r="U399"/>
      <c r="V399"/>
      <c r="W399"/>
      <c r="X399"/>
      <c r="Y399"/>
      <c r="Z399"/>
      <c r="AA399"/>
      <c r="AB399"/>
      <c r="AC399"/>
      <c r="AD399"/>
      <c r="AE399"/>
      <c r="AF399"/>
      <c r="AG399"/>
      <c r="AH399"/>
      <c r="AI399"/>
      <c r="AJ399"/>
      <c r="AK399"/>
      <c r="AL399"/>
    </row>
    <row r="400" spans="4:38" s="3" customFormat="1" ht="14.45">
      <c r="D400" s="100" t="s">
        <v>1750</v>
      </c>
      <c r="E400" s="97">
        <f>COUNTIFS($F$1:$F$367, "1", $G$1:$G$367, "3")</f>
        <v>2</v>
      </c>
      <c r="F400" s="23"/>
      <c r="G400" s="74">
        <v>3</v>
      </c>
      <c r="H400" s="74">
        <f t="shared" si="29"/>
        <v>37</v>
      </c>
      <c r="I400" s="23"/>
      <c r="R400"/>
      <c r="S400"/>
      <c r="T400"/>
      <c r="U400"/>
      <c r="V400"/>
      <c r="W400"/>
      <c r="X400"/>
      <c r="Y400"/>
      <c r="Z400"/>
      <c r="AA400"/>
      <c r="AB400"/>
      <c r="AC400"/>
      <c r="AD400"/>
      <c r="AE400"/>
      <c r="AF400"/>
      <c r="AG400"/>
      <c r="AH400"/>
      <c r="AI400"/>
      <c r="AJ400"/>
      <c r="AK400"/>
      <c r="AL400"/>
    </row>
    <row r="401" spans="4:38" s="3" customFormat="1" ht="14.45">
      <c r="D401" s="100" t="s">
        <v>1751</v>
      </c>
      <c r="E401" s="97">
        <f>COUNTIFS($F$1:$F$367, "1", $G$1:$G$367, "4")</f>
        <v>0</v>
      </c>
      <c r="F401" s="23"/>
      <c r="G401" s="74">
        <v>4</v>
      </c>
      <c r="H401" s="74">
        <f t="shared" si="29"/>
        <v>43</v>
      </c>
      <c r="I401" s="23"/>
      <c r="R401"/>
      <c r="S401"/>
      <c r="T401"/>
      <c r="U401"/>
      <c r="V401"/>
      <c r="W401"/>
      <c r="X401"/>
      <c r="Y401"/>
      <c r="Z401"/>
      <c r="AA401"/>
      <c r="AB401"/>
      <c r="AC401"/>
      <c r="AD401"/>
      <c r="AE401"/>
      <c r="AF401"/>
      <c r="AG401"/>
      <c r="AH401"/>
      <c r="AI401"/>
      <c r="AJ401"/>
      <c r="AK401"/>
      <c r="AL401"/>
    </row>
    <row r="402" spans="4:38" s="3" customFormat="1" ht="14.45">
      <c r="D402" s="100" t="s">
        <v>1752</v>
      </c>
      <c r="E402" s="97">
        <f>COUNTIFS($F$1:$F$366, "1", $G$1:$G$366, "5")</f>
        <v>0</v>
      </c>
      <c r="F402" s="23"/>
      <c r="G402" s="74">
        <v>5</v>
      </c>
      <c r="H402" s="74">
        <f t="shared" si="29"/>
        <v>28</v>
      </c>
      <c r="I402" s="23"/>
      <c r="R402"/>
      <c r="S402"/>
      <c r="T402"/>
      <c r="U402"/>
      <c r="V402"/>
      <c r="W402"/>
      <c r="X402"/>
      <c r="Y402"/>
      <c r="Z402"/>
      <c r="AA402"/>
      <c r="AB402"/>
      <c r="AC402"/>
      <c r="AD402"/>
      <c r="AE402"/>
      <c r="AF402"/>
      <c r="AG402"/>
      <c r="AH402"/>
      <c r="AI402"/>
      <c r="AJ402"/>
      <c r="AK402"/>
      <c r="AL402"/>
    </row>
    <row r="403" spans="4:38" s="3" customFormat="1" ht="14.45">
      <c r="D403" s="100" t="s">
        <v>1753</v>
      </c>
      <c r="E403" s="97">
        <f>COUNTIFS($F$1:$F$366, "2", $G$1:$G$366, "1")</f>
        <v>21</v>
      </c>
      <c r="F403" s="23"/>
      <c r="G403" s="74">
        <v>6</v>
      </c>
      <c r="H403" s="74">
        <f t="shared" si="29"/>
        <v>25</v>
      </c>
      <c r="I403" s="23"/>
      <c r="R403"/>
      <c r="S403"/>
      <c r="T403"/>
      <c r="U403"/>
      <c r="V403"/>
      <c r="W403"/>
      <c r="X403"/>
      <c r="Y403"/>
      <c r="Z403"/>
      <c r="AA403"/>
      <c r="AB403"/>
      <c r="AC403"/>
      <c r="AD403"/>
      <c r="AE403"/>
      <c r="AF403"/>
      <c r="AG403"/>
      <c r="AH403"/>
      <c r="AI403"/>
      <c r="AJ403"/>
      <c r="AK403"/>
      <c r="AL403"/>
    </row>
    <row r="404" spans="4:38" s="3" customFormat="1" ht="14.45">
      <c r="D404" s="100" t="s">
        <v>1754</v>
      </c>
      <c r="E404" s="97">
        <f>COUNTIFS($F$1:$F$366, "2", $G$1:$G$366, "2")</f>
        <v>9</v>
      </c>
      <c r="F404" s="23"/>
      <c r="G404" s="74">
        <v>7</v>
      </c>
      <c r="H404" s="74">
        <f t="shared" si="29"/>
        <v>0</v>
      </c>
      <c r="I404" s="23"/>
      <c r="R404"/>
      <c r="S404"/>
      <c r="T404"/>
      <c r="U404"/>
      <c r="V404"/>
      <c r="W404"/>
      <c r="X404"/>
      <c r="Y404"/>
      <c r="Z404"/>
      <c r="AA404"/>
      <c r="AB404"/>
      <c r="AC404"/>
      <c r="AD404"/>
      <c r="AE404"/>
      <c r="AF404"/>
      <c r="AG404"/>
      <c r="AH404"/>
      <c r="AI404"/>
      <c r="AJ404"/>
      <c r="AK404"/>
      <c r="AL404"/>
    </row>
    <row r="405" spans="4:38" s="3" customFormat="1" ht="14.45">
      <c r="D405" s="100" t="s">
        <v>1755</v>
      </c>
      <c r="E405" s="97">
        <f>COUNTIFS($F$1:$F$366, "2", $G$1:$G$366, "3")</f>
        <v>0</v>
      </c>
      <c r="F405" s="23"/>
      <c r="G405" s="74">
        <v>8</v>
      </c>
      <c r="H405" s="74">
        <f t="shared" si="29"/>
        <v>31</v>
      </c>
      <c r="I405" s="23"/>
      <c r="R405"/>
      <c r="S405"/>
      <c r="T405"/>
      <c r="U405"/>
      <c r="V405"/>
      <c r="W405"/>
      <c r="X405"/>
      <c r="Y405"/>
      <c r="Z405"/>
      <c r="AA405"/>
      <c r="AB405"/>
      <c r="AC405"/>
      <c r="AD405"/>
      <c r="AE405"/>
      <c r="AF405"/>
      <c r="AG405"/>
      <c r="AH405"/>
      <c r="AI405"/>
      <c r="AJ405"/>
      <c r="AK405"/>
      <c r="AL405"/>
    </row>
    <row r="406" spans="4:38" s="3" customFormat="1" ht="14.45">
      <c r="D406" s="101" t="s">
        <v>1756</v>
      </c>
      <c r="E406" s="98">
        <f>COUNTIFS($F$1:$F$366, "2", $G$1:$G$366, "4")</f>
        <v>0</v>
      </c>
      <c r="F406" s="23"/>
      <c r="G406" s="74">
        <v>9</v>
      </c>
      <c r="H406" s="74">
        <f t="shared" si="29"/>
        <v>12</v>
      </c>
      <c r="I406" s="23"/>
      <c r="R406"/>
      <c r="S406"/>
      <c r="T406"/>
      <c r="U406"/>
      <c r="V406"/>
      <c r="W406"/>
      <c r="X406"/>
      <c r="Y406"/>
      <c r="Z406"/>
      <c r="AA406"/>
      <c r="AB406"/>
      <c r="AC406"/>
      <c r="AD406"/>
      <c r="AE406"/>
      <c r="AF406"/>
      <c r="AG406"/>
      <c r="AH406"/>
      <c r="AI406"/>
      <c r="AJ406"/>
      <c r="AK406"/>
      <c r="AL406"/>
    </row>
    <row r="407" spans="4:38" s="3" customFormat="1" ht="14.45">
      <c r="D407" s="101" t="s">
        <v>1757</v>
      </c>
      <c r="E407" s="98">
        <f>COUNTIFS($F$1:$F$366, "2", $G$1:$G$366, "5")</f>
        <v>0</v>
      </c>
      <c r="F407" s="23"/>
      <c r="G407" s="74">
        <v>10</v>
      </c>
      <c r="H407" s="74">
        <f t="shared" si="29"/>
        <v>29</v>
      </c>
      <c r="I407" s="23"/>
      <c r="R407"/>
      <c r="S407"/>
      <c r="T407"/>
      <c r="U407"/>
      <c r="V407"/>
      <c r="W407"/>
      <c r="X407"/>
      <c r="Y407"/>
      <c r="Z407"/>
      <c r="AA407"/>
      <c r="AB407"/>
      <c r="AC407"/>
      <c r="AD407"/>
      <c r="AE407"/>
      <c r="AF407"/>
      <c r="AG407"/>
      <c r="AH407"/>
      <c r="AI407"/>
      <c r="AJ407"/>
      <c r="AK407"/>
      <c r="AL407"/>
    </row>
    <row r="408" spans="4:38" s="3" customFormat="1" ht="14.45">
      <c r="D408" s="100" t="s">
        <v>1758</v>
      </c>
      <c r="E408" s="97">
        <f>COUNTIFS($F$1:$F$366, "3", $G$1:$G$366, "1")</f>
        <v>35</v>
      </c>
      <c r="F408" s="23"/>
      <c r="G408" s="74">
        <v>11</v>
      </c>
      <c r="H408" s="74">
        <f t="shared" si="29"/>
        <v>0</v>
      </c>
      <c r="I408" s="23"/>
      <c r="R408"/>
      <c r="S408"/>
      <c r="T408"/>
      <c r="U408"/>
      <c r="V408"/>
      <c r="W408"/>
      <c r="X408"/>
      <c r="Y408"/>
      <c r="Z408"/>
      <c r="AA408"/>
      <c r="AB408"/>
      <c r="AC408"/>
      <c r="AD408"/>
      <c r="AE408"/>
      <c r="AF408"/>
      <c r="AG408"/>
      <c r="AH408"/>
      <c r="AI408"/>
      <c r="AJ408"/>
      <c r="AK408"/>
      <c r="AL408"/>
    </row>
    <row r="409" spans="4:38" s="3" customFormat="1" ht="14.45">
      <c r="D409" s="101" t="s">
        <v>1759</v>
      </c>
      <c r="E409" s="98">
        <f>COUNTIFS($F$1:$F$366, "3", $G$1:$G$366, "2")</f>
        <v>25</v>
      </c>
      <c r="F409" s="23"/>
      <c r="G409" s="74">
        <v>12</v>
      </c>
      <c r="H409" s="74">
        <f t="shared" si="29"/>
        <v>15</v>
      </c>
      <c r="I409" s="23"/>
      <c r="R409"/>
      <c r="S409"/>
      <c r="T409"/>
      <c r="U409"/>
      <c r="V409"/>
      <c r="W409"/>
      <c r="X409"/>
      <c r="Y409"/>
      <c r="Z409"/>
      <c r="AA409"/>
      <c r="AB409"/>
      <c r="AC409"/>
      <c r="AD409"/>
      <c r="AE409"/>
      <c r="AF409"/>
      <c r="AG409"/>
      <c r="AH409"/>
      <c r="AI409"/>
      <c r="AJ409"/>
      <c r="AK409"/>
      <c r="AL409"/>
    </row>
    <row r="410" spans="4:38" s="3" customFormat="1" ht="14.45">
      <c r="D410" s="101" t="s">
        <v>1760</v>
      </c>
      <c r="E410" s="98">
        <f>COUNTIFS($F$1:$F$366, "3", $G$1:$G$366, "3")</f>
        <v>12</v>
      </c>
      <c r="F410" s="23"/>
      <c r="G410" s="74">
        <v>13</v>
      </c>
      <c r="H410" s="74">
        <f t="shared" si="29"/>
        <v>0</v>
      </c>
      <c r="I410" s="23"/>
      <c r="R410"/>
      <c r="S410"/>
      <c r="T410"/>
      <c r="U410"/>
      <c r="V410"/>
      <c r="W410"/>
      <c r="X410"/>
      <c r="Y410"/>
      <c r="Z410"/>
      <c r="AA410"/>
      <c r="AB410"/>
      <c r="AC410"/>
      <c r="AD410"/>
      <c r="AE410"/>
      <c r="AF410"/>
      <c r="AG410"/>
      <c r="AH410"/>
      <c r="AI410"/>
      <c r="AJ410"/>
      <c r="AK410"/>
      <c r="AL410"/>
    </row>
    <row r="411" spans="4:38" s="3" customFormat="1" ht="14.45">
      <c r="D411" s="101" t="s">
        <v>1761</v>
      </c>
      <c r="E411" s="98">
        <f>COUNTIFS($F$1:$F$366, "3", $G$1:$G$366, "4")</f>
        <v>3</v>
      </c>
      <c r="F411" s="23"/>
      <c r="G411" s="74">
        <v>14</v>
      </c>
      <c r="H411" s="74">
        <f t="shared" si="29"/>
        <v>0</v>
      </c>
      <c r="I411" s="23"/>
      <c r="R411"/>
      <c r="S411"/>
      <c r="T411"/>
      <c r="U411"/>
      <c r="V411"/>
      <c r="W411"/>
      <c r="X411"/>
      <c r="Y411"/>
      <c r="Z411"/>
      <c r="AA411"/>
      <c r="AB411"/>
      <c r="AC411"/>
      <c r="AD411"/>
      <c r="AE411"/>
      <c r="AF411"/>
      <c r="AG411"/>
      <c r="AH411"/>
      <c r="AI411"/>
      <c r="AJ411"/>
      <c r="AK411"/>
      <c r="AL411"/>
    </row>
    <row r="412" spans="4:38" s="3" customFormat="1" ht="14.45">
      <c r="D412" s="102" t="s">
        <v>1762</v>
      </c>
      <c r="E412" s="99">
        <f>COUNTIFS($F$1:$F$366, "3", $G$1:$G$366, "5")</f>
        <v>1</v>
      </c>
      <c r="F412" s="23"/>
      <c r="G412" s="74">
        <v>15</v>
      </c>
      <c r="H412" s="74">
        <f t="shared" si="29"/>
        <v>11</v>
      </c>
      <c r="I412" s="23"/>
      <c r="R412"/>
      <c r="S412"/>
      <c r="T412"/>
      <c r="U412"/>
      <c r="V412"/>
      <c r="W412"/>
      <c r="X412"/>
      <c r="Y412"/>
      <c r="Z412"/>
      <c r="AA412"/>
      <c r="AB412"/>
      <c r="AC412"/>
      <c r="AD412"/>
      <c r="AE412"/>
      <c r="AF412"/>
      <c r="AG412"/>
      <c r="AH412"/>
      <c r="AI412"/>
      <c r="AJ412"/>
      <c r="AK412"/>
      <c r="AL412"/>
    </row>
    <row r="413" spans="4:38" s="3" customFormat="1" ht="14.45">
      <c r="D413" s="100" t="s">
        <v>1763</v>
      </c>
      <c r="E413" s="97">
        <f>COUNTIFS($F$1:$F$366, "4", $G$1:$G$366, "1")</f>
        <v>34</v>
      </c>
      <c r="F413" s="23"/>
      <c r="G413" s="74">
        <v>16</v>
      </c>
      <c r="H413" s="74">
        <f t="shared" si="29"/>
        <v>5</v>
      </c>
      <c r="I413" s="23"/>
      <c r="R413"/>
      <c r="S413"/>
      <c r="T413"/>
      <c r="U413"/>
      <c r="V413"/>
      <c r="W413"/>
      <c r="X413"/>
      <c r="Y413"/>
      <c r="Z413"/>
      <c r="AA413"/>
      <c r="AB413"/>
      <c r="AC413"/>
      <c r="AD413"/>
      <c r="AE413"/>
      <c r="AF413"/>
      <c r="AG413"/>
      <c r="AH413"/>
      <c r="AI413"/>
      <c r="AJ413"/>
      <c r="AK413"/>
      <c r="AL413"/>
    </row>
    <row r="414" spans="4:38" s="3" customFormat="1" ht="14.45">
      <c r="D414" s="101" t="s">
        <v>1764</v>
      </c>
      <c r="E414" s="98">
        <f>COUNTIFS($F$1:$F$366, "4", $G$1:$G$366, "2")</f>
        <v>31</v>
      </c>
      <c r="F414" s="23"/>
      <c r="G414" s="74">
        <v>17</v>
      </c>
      <c r="H414" s="74">
        <f t="shared" si="29"/>
        <v>0</v>
      </c>
      <c r="I414" s="23"/>
      <c r="R414"/>
      <c r="S414"/>
      <c r="T414"/>
      <c r="U414"/>
      <c r="V414"/>
      <c r="W414"/>
      <c r="X414"/>
      <c r="Y414"/>
      <c r="Z414"/>
      <c r="AA414"/>
      <c r="AB414"/>
      <c r="AC414"/>
      <c r="AD414"/>
      <c r="AE414"/>
      <c r="AF414"/>
      <c r="AG414"/>
      <c r="AH414"/>
      <c r="AI414"/>
      <c r="AJ414"/>
      <c r="AK414"/>
      <c r="AL414"/>
    </row>
    <row r="415" spans="4:38" s="3" customFormat="1" ht="14.45">
      <c r="D415" s="101" t="s">
        <v>1765</v>
      </c>
      <c r="E415" s="98">
        <f>COUNTIFS($F$1:$F$366, "4", $G$1:$G$366, "3")</f>
        <v>12</v>
      </c>
      <c r="F415" s="23"/>
      <c r="G415" s="74">
        <v>18</v>
      </c>
      <c r="H415" s="74">
        <f t="shared" si="29"/>
        <v>0</v>
      </c>
      <c r="I415" s="23"/>
      <c r="R415"/>
      <c r="S415"/>
      <c r="T415"/>
      <c r="U415"/>
      <c r="V415"/>
      <c r="W415"/>
      <c r="X415"/>
      <c r="Y415"/>
      <c r="Z415"/>
      <c r="AA415"/>
      <c r="AB415"/>
      <c r="AC415"/>
      <c r="AD415"/>
      <c r="AE415"/>
      <c r="AF415"/>
      <c r="AG415"/>
      <c r="AH415"/>
      <c r="AI415"/>
      <c r="AJ415"/>
      <c r="AK415"/>
      <c r="AL415"/>
    </row>
    <row r="416" spans="4:38" s="3" customFormat="1" ht="14.45">
      <c r="D416" s="102" t="s">
        <v>1766</v>
      </c>
      <c r="E416" s="99">
        <f>COUNTIFS($F$1:$F$366, "4", $G$1:$G$366, "4")</f>
        <v>5</v>
      </c>
      <c r="F416" s="23"/>
      <c r="G416" s="74">
        <v>19</v>
      </c>
      <c r="H416" s="74">
        <f t="shared" si="29"/>
        <v>0</v>
      </c>
      <c r="I416" s="23"/>
      <c r="R416"/>
      <c r="S416"/>
      <c r="T416"/>
      <c r="U416"/>
      <c r="V416"/>
      <c r="W416"/>
      <c r="X416"/>
      <c r="Y416"/>
      <c r="Z416"/>
      <c r="AA416"/>
      <c r="AB416"/>
      <c r="AC416"/>
      <c r="AD416"/>
      <c r="AE416"/>
      <c r="AF416"/>
      <c r="AG416"/>
      <c r="AH416"/>
      <c r="AI416"/>
      <c r="AJ416"/>
      <c r="AK416"/>
      <c r="AL416"/>
    </row>
    <row r="417" spans="4:38" s="3" customFormat="1" ht="14.45">
      <c r="D417" s="102" t="s">
        <v>1767</v>
      </c>
      <c r="E417" s="99">
        <f>COUNTIFS($F$1:$F$366, "4", $G$1:$G$366, "5")</f>
        <v>1</v>
      </c>
      <c r="F417" s="23"/>
      <c r="G417" s="74">
        <v>20</v>
      </c>
      <c r="H417" s="74">
        <f t="shared" si="29"/>
        <v>9</v>
      </c>
      <c r="I417" s="23"/>
      <c r="R417"/>
      <c r="S417"/>
      <c r="T417"/>
      <c r="U417"/>
      <c r="V417"/>
      <c r="W417"/>
      <c r="X417"/>
      <c r="Y417"/>
      <c r="Z417"/>
      <c r="AA417"/>
      <c r="AB417"/>
      <c r="AC417"/>
      <c r="AD417"/>
      <c r="AE417"/>
      <c r="AF417"/>
      <c r="AG417"/>
      <c r="AH417"/>
      <c r="AI417"/>
      <c r="AJ417"/>
      <c r="AK417"/>
      <c r="AL417"/>
    </row>
    <row r="418" spans="4:38" s="3" customFormat="1" ht="14.45">
      <c r="D418" s="101" t="s">
        <v>1768</v>
      </c>
      <c r="E418" s="98">
        <f>COUNTIFS($F$1:$F$366, "5", $G$1:$G$366, "1")</f>
        <v>28</v>
      </c>
      <c r="F418" s="23"/>
      <c r="G418" s="74">
        <v>21</v>
      </c>
      <c r="H418" s="74">
        <f t="shared" si="29"/>
        <v>0</v>
      </c>
      <c r="I418" s="23"/>
      <c r="R418"/>
      <c r="S418"/>
      <c r="T418"/>
      <c r="U418"/>
      <c r="V418"/>
      <c r="W418"/>
      <c r="X418"/>
      <c r="Y418"/>
      <c r="Z418"/>
      <c r="AA418"/>
      <c r="AB418"/>
      <c r="AC418"/>
      <c r="AD418"/>
      <c r="AE418"/>
      <c r="AF418"/>
      <c r="AG418"/>
      <c r="AH418"/>
      <c r="AI418"/>
      <c r="AJ418"/>
      <c r="AK418"/>
      <c r="AL418"/>
    </row>
    <row r="419" spans="4:38" s="3" customFormat="1" ht="14.45">
      <c r="D419" s="101" t="s">
        <v>1769</v>
      </c>
      <c r="E419" s="98">
        <f>COUNTIFS($F$1:$F$366, "5", $G$1:$G$366, "2")</f>
        <v>29</v>
      </c>
      <c r="F419" s="23"/>
      <c r="G419" s="74">
        <v>22</v>
      </c>
      <c r="H419" s="74">
        <f t="shared" si="29"/>
        <v>0</v>
      </c>
      <c r="I419" s="23"/>
      <c r="R419"/>
      <c r="S419"/>
      <c r="T419"/>
      <c r="U419"/>
      <c r="V419"/>
      <c r="W419"/>
      <c r="X419"/>
      <c r="Y419"/>
      <c r="Z419"/>
      <c r="AA419"/>
      <c r="AB419"/>
      <c r="AC419"/>
      <c r="AD419"/>
      <c r="AE419"/>
      <c r="AF419"/>
      <c r="AG419"/>
      <c r="AH419"/>
      <c r="AI419"/>
      <c r="AJ419"/>
      <c r="AK419"/>
      <c r="AL419"/>
    </row>
    <row r="420" spans="4:38" s="3" customFormat="1" ht="14.45">
      <c r="D420" s="102" t="s">
        <v>1770</v>
      </c>
      <c r="E420" s="99">
        <f>COUNTIFS($F$1:$F$366, "5", $G$1:$G$366, "3")</f>
        <v>10</v>
      </c>
      <c r="F420" s="23"/>
      <c r="G420" s="74">
        <v>23</v>
      </c>
      <c r="H420" s="74">
        <f t="shared" si="29"/>
        <v>0</v>
      </c>
      <c r="I420" s="23"/>
      <c r="R420"/>
      <c r="S420"/>
      <c r="T420"/>
      <c r="U420"/>
      <c r="V420"/>
      <c r="W420"/>
      <c r="X420"/>
      <c r="Y420"/>
      <c r="Z420"/>
      <c r="AA420"/>
      <c r="AB420"/>
      <c r="AC420"/>
      <c r="AD420"/>
      <c r="AE420"/>
      <c r="AF420"/>
      <c r="AG420"/>
      <c r="AH420"/>
      <c r="AI420"/>
      <c r="AJ420"/>
      <c r="AK420"/>
      <c r="AL420"/>
    </row>
    <row r="421" spans="4:38" s="3" customFormat="1" ht="14.45">
      <c r="D421" s="102" t="s">
        <v>1771</v>
      </c>
      <c r="E421" s="99">
        <f>COUNTIFS($F$1:$F$368, "5", $G$1:$G$368, "4")</f>
        <v>8</v>
      </c>
      <c r="F421" s="23"/>
      <c r="G421" s="74">
        <v>24</v>
      </c>
      <c r="H421" s="74">
        <f t="shared" si="29"/>
        <v>0</v>
      </c>
      <c r="I421" s="23"/>
      <c r="R421"/>
      <c r="S421"/>
      <c r="T421"/>
      <c r="U421"/>
      <c r="V421"/>
      <c r="W421"/>
      <c r="X421"/>
      <c r="Y421"/>
      <c r="Z421"/>
      <c r="AA421"/>
      <c r="AB421"/>
      <c r="AC421"/>
      <c r="AD421"/>
      <c r="AE421"/>
      <c r="AF421"/>
      <c r="AG421"/>
      <c r="AH421"/>
      <c r="AI421"/>
      <c r="AJ421"/>
      <c r="AK421"/>
      <c r="AL421"/>
    </row>
    <row r="422" spans="4:38" s="3" customFormat="1" thickBot="1">
      <c r="D422" s="102" t="s">
        <v>1772</v>
      </c>
      <c r="E422" s="99">
        <f>COUNTIFS($F$1:$F$368, "5", $G$1:$G$368, "5")</f>
        <v>0</v>
      </c>
      <c r="F422" s="23"/>
      <c r="G422" s="74">
        <v>25</v>
      </c>
      <c r="H422" s="74">
        <f t="shared" si="29"/>
        <v>0</v>
      </c>
      <c r="I422" s="23"/>
      <c r="R422"/>
      <c r="S422"/>
      <c r="T422"/>
      <c r="U422"/>
      <c r="V422"/>
      <c r="W422"/>
      <c r="X422"/>
      <c r="Y422"/>
      <c r="Z422"/>
      <c r="AA422"/>
      <c r="AB422"/>
      <c r="AC422"/>
      <c r="AD422"/>
      <c r="AE422"/>
      <c r="AF422"/>
      <c r="AG422"/>
      <c r="AH422"/>
      <c r="AI422"/>
      <c r="AJ422"/>
      <c r="AK422"/>
      <c r="AL422"/>
    </row>
    <row r="423" spans="4:38" s="3" customFormat="1" thickBot="1">
      <c r="E423" s="3">
        <f>SUM(E398:E422)</f>
        <v>279</v>
      </c>
      <c r="F423" s="23"/>
      <c r="G423" s="108" t="s">
        <v>1773</v>
      </c>
      <c r="H423" s="109">
        <f>SUM(H398:H422)</f>
        <v>279</v>
      </c>
      <c r="R423"/>
      <c r="S423"/>
      <c r="T423"/>
      <c r="U423"/>
      <c r="V423"/>
      <c r="W423"/>
      <c r="X423"/>
      <c r="Y423"/>
      <c r="Z423"/>
      <c r="AA423"/>
      <c r="AB423"/>
      <c r="AC423"/>
      <c r="AD423"/>
      <c r="AE423"/>
      <c r="AF423"/>
      <c r="AG423"/>
      <c r="AH423"/>
      <c r="AI423"/>
      <c r="AJ423"/>
      <c r="AK423"/>
      <c r="AL423"/>
    </row>
    <row r="424" spans="4:38" s="3" customFormat="1" ht="14.45">
      <c r="F424" s="23"/>
      <c r="R424"/>
      <c r="S424"/>
      <c r="T424"/>
      <c r="U424"/>
      <c r="V424"/>
      <c r="W424"/>
      <c r="X424"/>
      <c r="Y424"/>
      <c r="Z424"/>
      <c r="AA424"/>
      <c r="AB424"/>
      <c r="AC424"/>
      <c r="AD424"/>
      <c r="AE424"/>
      <c r="AF424"/>
      <c r="AG424"/>
      <c r="AH424"/>
      <c r="AI424"/>
      <c r="AJ424"/>
      <c r="AK424"/>
      <c r="AL424"/>
    </row>
    <row r="425" spans="4:38" s="3" customFormat="1" ht="14.45">
      <c r="F425" s="23"/>
      <c r="R425"/>
      <c r="S425"/>
      <c r="T425"/>
      <c r="U425"/>
      <c r="V425"/>
      <c r="W425"/>
      <c r="X425"/>
      <c r="Y425"/>
      <c r="Z425"/>
      <c r="AA425"/>
      <c r="AB425"/>
      <c r="AC425"/>
      <c r="AD425"/>
      <c r="AE425"/>
      <c r="AF425"/>
      <c r="AG425"/>
      <c r="AH425"/>
      <c r="AI425"/>
      <c r="AJ425"/>
      <c r="AK425"/>
      <c r="AL425"/>
    </row>
    <row r="426" spans="4:38" s="3" customFormat="1" ht="14.45">
      <c r="F426" s="23"/>
      <c r="G426" s="74"/>
      <c r="H426" s="74" t="s">
        <v>1745</v>
      </c>
      <c r="I426" s="74" t="s">
        <v>1774</v>
      </c>
      <c r="J426" s="74" t="s">
        <v>1775</v>
      </c>
      <c r="R426"/>
      <c r="S426"/>
      <c r="T426"/>
      <c r="U426"/>
      <c r="V426"/>
      <c r="W426"/>
      <c r="X426"/>
      <c r="Y426"/>
      <c r="Z426"/>
      <c r="AA426"/>
      <c r="AB426"/>
      <c r="AC426"/>
      <c r="AD426"/>
      <c r="AE426"/>
      <c r="AF426"/>
      <c r="AG426"/>
      <c r="AH426"/>
      <c r="AI426"/>
      <c r="AJ426"/>
      <c r="AK426"/>
      <c r="AL426"/>
    </row>
    <row r="427" spans="4:38" s="3" customFormat="1" ht="14.45">
      <c r="F427" s="23"/>
      <c r="G427" s="115" t="s">
        <v>1776</v>
      </c>
      <c r="H427" s="110">
        <f>E408+E413+E405+E404+E403+E402+E401+E400+E399+E398</f>
        <v>114</v>
      </c>
      <c r="I427" s="116">
        <f>H427/H430</f>
        <v>0.40860215053763443</v>
      </c>
      <c r="J427" s="74"/>
      <c r="R427"/>
      <c r="S427"/>
      <c r="T427"/>
      <c r="U427"/>
      <c r="V427"/>
      <c r="W427"/>
      <c r="X427"/>
      <c r="Y427"/>
      <c r="Z427"/>
      <c r="AA427"/>
      <c r="AB427"/>
      <c r="AC427"/>
      <c r="AD427"/>
      <c r="AE427"/>
      <c r="AF427"/>
      <c r="AG427"/>
      <c r="AH427"/>
      <c r="AI427"/>
      <c r="AJ427"/>
      <c r="AK427"/>
      <c r="AL427"/>
    </row>
    <row r="428" spans="4:38" s="3" customFormat="1" ht="14.45">
      <c r="F428" s="23"/>
      <c r="G428" s="117" t="s">
        <v>1777</v>
      </c>
      <c r="H428" s="110">
        <f>E406+E407+E409+E410+E411+E415+E414+E418+E419</f>
        <v>140</v>
      </c>
      <c r="I428" s="116">
        <f>H428/H430</f>
        <v>0.50179211469534046</v>
      </c>
      <c r="J428" s="74"/>
      <c r="R428"/>
      <c r="S428"/>
      <c r="T428"/>
      <c r="U428"/>
      <c r="V428"/>
      <c r="W428"/>
      <c r="X428"/>
      <c r="Y428"/>
      <c r="Z428"/>
      <c r="AA428"/>
      <c r="AB428"/>
      <c r="AC428"/>
      <c r="AD428"/>
      <c r="AE428"/>
      <c r="AF428"/>
      <c r="AG428"/>
      <c r="AH428"/>
      <c r="AI428"/>
      <c r="AJ428"/>
      <c r="AK428"/>
      <c r="AL428"/>
    </row>
    <row r="429" spans="4:38" s="3" customFormat="1" ht="14.45">
      <c r="F429" s="23"/>
      <c r="G429" s="118" t="s">
        <v>1778</v>
      </c>
      <c r="H429" s="110">
        <f>E412+E416+E417+E420+E421+E422</f>
        <v>25</v>
      </c>
      <c r="I429" s="116">
        <f>H429/H430</f>
        <v>8.9605734767025089E-2</v>
      </c>
      <c r="J429" s="74"/>
      <c r="R429"/>
      <c r="S429"/>
      <c r="T429"/>
      <c r="U429"/>
      <c r="V429"/>
      <c r="W429"/>
      <c r="X429"/>
      <c r="Y429"/>
      <c r="Z429"/>
      <c r="AA429"/>
      <c r="AB429"/>
      <c r="AC429"/>
      <c r="AD429"/>
      <c r="AE429"/>
      <c r="AF429"/>
      <c r="AG429"/>
      <c r="AH429"/>
      <c r="AI429"/>
      <c r="AJ429"/>
      <c r="AK429"/>
      <c r="AL429"/>
    </row>
    <row r="430" spans="4:38" s="3" customFormat="1" ht="14.45">
      <c r="F430" s="23"/>
      <c r="G430" s="74" t="s">
        <v>1773</v>
      </c>
      <c r="H430" s="74">
        <f>SUM(H427:H429)</f>
        <v>279</v>
      </c>
      <c r="I430" s="116">
        <f>SUM(I427:I429)</f>
        <v>0.99999999999999989</v>
      </c>
      <c r="J430" s="74"/>
      <c r="R430"/>
      <c r="S430"/>
      <c r="T430"/>
      <c r="U430"/>
      <c r="V430"/>
      <c r="W430"/>
      <c r="X430"/>
      <c r="Y430"/>
      <c r="Z430"/>
      <c r="AA430"/>
      <c r="AB430"/>
      <c r="AC430"/>
      <c r="AD430"/>
      <c r="AE430"/>
      <c r="AF430"/>
      <c r="AG430"/>
      <c r="AH430"/>
      <c r="AI430"/>
      <c r="AJ430"/>
      <c r="AK430"/>
      <c r="AL430"/>
    </row>
    <row r="431" spans="4:38" s="3" customFormat="1" ht="14.45">
      <c r="F431" s="23"/>
      <c r="G431" s="23"/>
      <c r="H431" s="23"/>
      <c r="I431" s="23"/>
      <c r="R431"/>
      <c r="S431"/>
      <c r="T431"/>
      <c r="U431"/>
      <c r="V431"/>
      <c r="W431"/>
      <c r="X431"/>
      <c r="Y431"/>
      <c r="Z431"/>
      <c r="AA431"/>
      <c r="AB431"/>
      <c r="AC431"/>
      <c r="AD431"/>
      <c r="AE431"/>
      <c r="AF431"/>
      <c r="AG431"/>
      <c r="AH431"/>
      <c r="AI431"/>
      <c r="AJ431"/>
      <c r="AK431"/>
      <c r="AL431"/>
    </row>
    <row r="432" spans="4:38" s="3" customFormat="1" ht="14.45">
      <c r="F432" s="23"/>
      <c r="G432" s="23"/>
      <c r="H432" s="23"/>
      <c r="I432" s="23"/>
      <c r="R432"/>
      <c r="S432"/>
      <c r="T432"/>
      <c r="U432"/>
      <c r="V432"/>
      <c r="W432"/>
      <c r="X432"/>
      <c r="Y432"/>
      <c r="Z432"/>
      <c r="AA432"/>
      <c r="AB432"/>
      <c r="AC432"/>
      <c r="AD432"/>
      <c r="AE432"/>
      <c r="AF432"/>
      <c r="AG432"/>
      <c r="AH432"/>
      <c r="AI432"/>
      <c r="AJ432"/>
      <c r="AK432"/>
      <c r="AL432"/>
    </row>
    <row r="433" spans="6:38" s="3" customFormat="1" ht="14.45">
      <c r="F433" s="23"/>
      <c r="G433" s="23"/>
      <c r="H433" s="23"/>
      <c r="I433" s="23"/>
      <c r="R433"/>
      <c r="S433"/>
      <c r="T433"/>
      <c r="U433"/>
      <c r="V433"/>
      <c r="W433"/>
      <c r="X433"/>
      <c r="Y433"/>
      <c r="Z433"/>
      <c r="AA433"/>
      <c r="AB433"/>
      <c r="AC433"/>
      <c r="AD433"/>
      <c r="AE433"/>
      <c r="AF433"/>
      <c r="AG433"/>
      <c r="AH433"/>
      <c r="AI433"/>
      <c r="AJ433"/>
      <c r="AK433"/>
      <c r="AL433"/>
    </row>
    <row r="434" spans="6:38" s="3" customFormat="1" ht="14.45">
      <c r="F434" s="23"/>
      <c r="G434" s="23"/>
      <c r="H434" s="23"/>
      <c r="I434" s="23"/>
      <c r="R434"/>
      <c r="S434"/>
      <c r="T434"/>
      <c r="U434"/>
      <c r="V434"/>
      <c r="W434"/>
      <c r="X434"/>
      <c r="Y434"/>
      <c r="Z434"/>
      <c r="AA434"/>
      <c r="AB434"/>
      <c r="AC434"/>
      <c r="AD434"/>
      <c r="AE434"/>
      <c r="AF434"/>
      <c r="AG434"/>
      <c r="AH434"/>
      <c r="AI434"/>
      <c r="AJ434"/>
      <c r="AK434"/>
      <c r="AL434"/>
    </row>
    <row r="435" spans="6:38" s="3" customFormat="1" ht="14.45">
      <c r="F435" s="23"/>
      <c r="G435" s="23"/>
      <c r="H435" s="23"/>
      <c r="I435" s="23"/>
      <c r="R435"/>
      <c r="S435"/>
      <c r="T435"/>
      <c r="U435"/>
      <c r="V435"/>
      <c r="W435"/>
      <c r="X435"/>
      <c r="Y435"/>
      <c r="Z435"/>
      <c r="AA435"/>
      <c r="AB435"/>
      <c r="AC435"/>
      <c r="AD435"/>
      <c r="AE435"/>
      <c r="AF435"/>
      <c r="AG435"/>
      <c r="AH435"/>
      <c r="AI435"/>
      <c r="AJ435"/>
      <c r="AK435"/>
      <c r="AL435"/>
    </row>
    <row r="436" spans="6:38" s="3" customFormat="1" ht="14.45">
      <c r="F436" s="23"/>
      <c r="G436" s="23"/>
      <c r="H436" s="23"/>
      <c r="I436" s="23"/>
      <c r="R436"/>
      <c r="S436"/>
      <c r="T436"/>
      <c r="U436"/>
      <c r="V436"/>
      <c r="W436"/>
      <c r="X436"/>
      <c r="Y436"/>
      <c r="Z436"/>
      <c r="AA436"/>
      <c r="AB436"/>
      <c r="AC436"/>
      <c r="AD436"/>
      <c r="AE436"/>
      <c r="AF436"/>
      <c r="AG436"/>
      <c r="AH436"/>
      <c r="AI436"/>
      <c r="AJ436"/>
      <c r="AK436"/>
      <c r="AL436"/>
    </row>
    <row r="437" spans="6:38" s="3" customFormat="1" ht="14.45">
      <c r="F437" s="23"/>
      <c r="G437" s="23"/>
      <c r="H437" s="23"/>
      <c r="I437" s="23"/>
      <c r="R437"/>
      <c r="S437"/>
      <c r="T437"/>
      <c r="U437"/>
      <c r="V437"/>
      <c r="W437"/>
      <c r="X437"/>
      <c r="Y437"/>
      <c r="Z437"/>
      <c r="AA437"/>
      <c r="AB437"/>
      <c r="AC437"/>
      <c r="AD437"/>
      <c r="AE437"/>
      <c r="AF437"/>
      <c r="AG437"/>
      <c r="AH437"/>
      <c r="AI437"/>
      <c r="AJ437"/>
      <c r="AK437"/>
      <c r="AL437"/>
    </row>
    <row r="438" spans="6:38" s="3" customFormat="1" ht="14.45">
      <c r="F438" s="23"/>
      <c r="G438" s="23"/>
      <c r="H438" s="23"/>
      <c r="I438" s="23"/>
      <c r="R438"/>
      <c r="S438"/>
      <c r="T438"/>
      <c r="U438"/>
      <c r="V438"/>
      <c r="W438"/>
      <c r="X438"/>
      <c r="Y438"/>
      <c r="Z438"/>
      <c r="AA438"/>
      <c r="AB438"/>
      <c r="AC438"/>
      <c r="AD438"/>
      <c r="AE438"/>
      <c r="AF438"/>
      <c r="AG438"/>
      <c r="AH438"/>
      <c r="AI438"/>
      <c r="AJ438"/>
      <c r="AK438"/>
      <c r="AL438"/>
    </row>
    <row r="439" spans="6:38" s="3" customFormat="1" ht="14.45">
      <c r="F439" s="23"/>
      <c r="G439" s="23"/>
      <c r="H439" s="23"/>
      <c r="I439" s="23"/>
      <c r="R439"/>
      <c r="S439"/>
      <c r="T439"/>
      <c r="U439"/>
      <c r="V439"/>
      <c r="W439"/>
      <c r="X439"/>
      <c r="Y439"/>
      <c r="Z439"/>
      <c r="AA439"/>
      <c r="AB439"/>
      <c r="AC439"/>
      <c r="AD439"/>
      <c r="AE439"/>
      <c r="AF439"/>
      <c r="AG439"/>
      <c r="AH439"/>
      <c r="AI439"/>
      <c r="AJ439"/>
      <c r="AK439"/>
      <c r="AL439"/>
    </row>
    <row r="440" spans="6:38" s="3" customFormat="1" ht="14.45">
      <c r="F440" s="23"/>
      <c r="G440" s="23"/>
      <c r="H440" s="23"/>
      <c r="I440" s="23"/>
      <c r="R440"/>
      <c r="S440"/>
      <c r="T440"/>
      <c r="U440"/>
      <c r="V440"/>
      <c r="W440"/>
      <c r="X440"/>
      <c r="Y440"/>
      <c r="Z440"/>
      <c r="AA440"/>
      <c r="AB440"/>
      <c r="AC440"/>
      <c r="AD440"/>
      <c r="AE440"/>
      <c r="AF440"/>
      <c r="AG440"/>
      <c r="AH440"/>
      <c r="AI440"/>
      <c r="AJ440"/>
      <c r="AK440"/>
      <c r="AL440"/>
    </row>
    <row r="441" spans="6:38" s="3" customFormat="1" ht="14.45">
      <c r="F441" s="23"/>
      <c r="G441" s="23"/>
      <c r="H441" s="23"/>
      <c r="I441" s="23"/>
      <c r="R441"/>
      <c r="S441"/>
      <c r="T441"/>
      <c r="U441"/>
      <c r="V441"/>
      <c r="W441"/>
      <c r="X441"/>
      <c r="Y441"/>
      <c r="Z441"/>
      <c r="AA441"/>
      <c r="AB441"/>
      <c r="AC441"/>
      <c r="AD441"/>
      <c r="AE441"/>
      <c r="AF441"/>
      <c r="AG441"/>
      <c r="AH441"/>
      <c r="AI441"/>
      <c r="AJ441"/>
      <c r="AK441"/>
      <c r="AL441"/>
    </row>
    <row r="442" spans="6:38" s="3" customFormat="1" ht="14.45">
      <c r="F442" s="23"/>
      <c r="G442" s="23"/>
      <c r="H442" s="23"/>
      <c r="I442" s="23"/>
      <c r="R442"/>
      <c r="S442"/>
      <c r="T442"/>
      <c r="U442"/>
      <c r="V442"/>
      <c r="W442"/>
      <c r="X442"/>
      <c r="Y442"/>
      <c r="Z442"/>
      <c r="AA442"/>
      <c r="AB442"/>
      <c r="AC442"/>
      <c r="AD442"/>
      <c r="AE442"/>
      <c r="AF442"/>
      <c r="AG442"/>
      <c r="AH442"/>
      <c r="AI442"/>
      <c r="AJ442"/>
      <c r="AK442"/>
      <c r="AL442"/>
    </row>
    <row r="443" spans="6:38" s="3" customFormat="1" ht="14.45">
      <c r="F443" s="23"/>
      <c r="G443" s="23"/>
      <c r="H443" s="23"/>
      <c r="I443" s="23"/>
      <c r="R443"/>
      <c r="S443"/>
      <c r="T443"/>
      <c r="U443"/>
      <c r="V443"/>
      <c r="W443"/>
      <c r="X443"/>
      <c r="Y443"/>
      <c r="Z443"/>
      <c r="AA443"/>
      <c r="AB443"/>
      <c r="AC443"/>
      <c r="AD443"/>
      <c r="AE443"/>
      <c r="AF443"/>
      <c r="AG443"/>
      <c r="AH443"/>
      <c r="AI443"/>
      <c r="AJ443"/>
      <c r="AK443"/>
      <c r="AL443"/>
    </row>
    <row r="444" spans="6:38" s="3" customFormat="1" ht="14.45">
      <c r="F444" s="23"/>
      <c r="G444" s="23"/>
      <c r="H444" s="23"/>
      <c r="I444" s="23"/>
      <c r="R444"/>
      <c r="S444"/>
      <c r="T444"/>
      <c r="U444"/>
      <c r="V444"/>
      <c r="W444"/>
      <c r="X444"/>
      <c r="Y444"/>
      <c r="Z444"/>
      <c r="AA444"/>
      <c r="AB444"/>
      <c r="AC444"/>
      <c r="AD444"/>
      <c r="AE444"/>
      <c r="AF444"/>
      <c r="AG444"/>
      <c r="AH444"/>
      <c r="AI444"/>
      <c r="AJ444"/>
      <c r="AK444"/>
      <c r="AL444"/>
    </row>
    <row r="445" spans="6:38" s="3" customFormat="1" ht="14.45">
      <c r="F445" s="23"/>
      <c r="G445" s="23"/>
      <c r="H445" s="23"/>
      <c r="I445" s="23"/>
      <c r="R445"/>
      <c r="S445"/>
      <c r="T445"/>
      <c r="U445"/>
      <c r="V445"/>
      <c r="W445"/>
      <c r="X445"/>
      <c r="Y445"/>
      <c r="Z445"/>
      <c r="AA445"/>
      <c r="AB445"/>
      <c r="AC445"/>
      <c r="AD445"/>
      <c r="AE445"/>
      <c r="AF445"/>
      <c r="AG445"/>
      <c r="AH445"/>
      <c r="AI445"/>
      <c r="AJ445"/>
      <c r="AK445"/>
      <c r="AL445"/>
    </row>
    <row r="446" spans="6:38" s="3" customFormat="1" ht="14.45">
      <c r="F446" s="23"/>
      <c r="G446" s="23"/>
      <c r="H446" s="23"/>
      <c r="I446" s="23"/>
      <c r="R446"/>
      <c r="S446"/>
      <c r="T446"/>
      <c r="U446"/>
      <c r="V446"/>
      <c r="W446"/>
      <c r="X446"/>
      <c r="Y446"/>
      <c r="Z446"/>
      <c r="AA446"/>
      <c r="AB446"/>
      <c r="AC446"/>
      <c r="AD446"/>
      <c r="AE446"/>
      <c r="AF446"/>
      <c r="AG446"/>
      <c r="AH446"/>
      <c r="AI446"/>
      <c r="AJ446"/>
      <c r="AK446"/>
      <c r="AL446"/>
    </row>
    <row r="447" spans="6:38" s="3" customFormat="1" ht="14.45">
      <c r="F447" s="23"/>
      <c r="G447" s="23"/>
      <c r="H447" s="23"/>
      <c r="I447" s="23"/>
      <c r="R447"/>
      <c r="S447"/>
      <c r="T447"/>
      <c r="U447"/>
      <c r="V447"/>
      <c r="W447"/>
      <c r="X447"/>
      <c r="Y447"/>
      <c r="Z447"/>
      <c r="AA447"/>
      <c r="AB447"/>
      <c r="AC447"/>
      <c r="AD447"/>
      <c r="AE447"/>
      <c r="AF447"/>
      <c r="AG447"/>
      <c r="AH447"/>
      <c r="AI447"/>
      <c r="AJ447"/>
      <c r="AK447"/>
      <c r="AL447"/>
    </row>
    <row r="448" spans="6:38" s="3" customFormat="1" ht="14.45">
      <c r="F448" s="23"/>
      <c r="G448" s="23"/>
      <c r="H448" s="23"/>
      <c r="I448" s="23"/>
      <c r="R448"/>
      <c r="S448"/>
      <c r="T448"/>
      <c r="U448"/>
      <c r="V448"/>
      <c r="W448"/>
      <c r="X448"/>
      <c r="Y448"/>
      <c r="Z448"/>
      <c r="AA448"/>
      <c r="AB448"/>
      <c r="AC448"/>
      <c r="AD448"/>
      <c r="AE448"/>
      <c r="AF448"/>
      <c r="AG448"/>
      <c r="AH448"/>
      <c r="AI448"/>
      <c r="AJ448"/>
      <c r="AK448"/>
      <c r="AL448"/>
    </row>
    <row r="449" spans="6:38" s="3" customFormat="1" ht="14.45">
      <c r="F449" s="23"/>
      <c r="G449" s="23"/>
      <c r="H449" s="23"/>
      <c r="I449" s="23"/>
      <c r="R449"/>
      <c r="S449"/>
      <c r="T449"/>
      <c r="U449"/>
      <c r="V449"/>
      <c r="W449"/>
      <c r="X449"/>
      <c r="Y449"/>
      <c r="Z449"/>
      <c r="AA449"/>
      <c r="AB449"/>
      <c r="AC449"/>
      <c r="AD449"/>
      <c r="AE449"/>
      <c r="AF449"/>
      <c r="AG449"/>
      <c r="AH449"/>
      <c r="AI449"/>
      <c r="AJ449"/>
      <c r="AK449"/>
      <c r="AL449"/>
    </row>
    <row r="450" spans="6:38" s="3" customFormat="1" ht="14.45">
      <c r="F450" s="23"/>
      <c r="G450" s="23"/>
      <c r="H450" s="23"/>
      <c r="I450" s="23"/>
      <c r="R450"/>
      <c r="S450"/>
      <c r="T450"/>
      <c r="U450"/>
      <c r="V450"/>
      <c r="W450"/>
      <c r="X450"/>
      <c r="Y450"/>
      <c r="Z450"/>
      <c r="AA450"/>
      <c r="AB450"/>
      <c r="AC450"/>
      <c r="AD450"/>
      <c r="AE450"/>
      <c r="AF450"/>
      <c r="AG450"/>
      <c r="AH450"/>
      <c r="AI450"/>
      <c r="AJ450"/>
      <c r="AK450"/>
      <c r="AL450"/>
    </row>
    <row r="451" spans="6:38" s="3" customFormat="1" ht="14.45">
      <c r="F451" s="23"/>
      <c r="G451" s="23"/>
      <c r="H451" s="23"/>
      <c r="I451" s="23"/>
      <c r="R451"/>
      <c r="S451"/>
      <c r="T451"/>
      <c r="U451"/>
      <c r="V451"/>
      <c r="W451"/>
      <c r="X451"/>
      <c r="Y451"/>
      <c r="Z451"/>
      <c r="AA451"/>
      <c r="AB451"/>
      <c r="AC451"/>
      <c r="AD451"/>
      <c r="AE451"/>
      <c r="AF451"/>
      <c r="AG451"/>
      <c r="AH451"/>
      <c r="AI451"/>
      <c r="AJ451"/>
      <c r="AK451"/>
      <c r="AL451"/>
    </row>
    <row r="452" spans="6:38" s="3" customFormat="1" ht="14.45">
      <c r="F452" s="23"/>
      <c r="G452" s="23"/>
      <c r="H452" s="23"/>
      <c r="I452" s="23"/>
      <c r="R452"/>
      <c r="S452"/>
      <c r="T452"/>
      <c r="U452"/>
      <c r="V452"/>
      <c r="W452"/>
      <c r="X452"/>
      <c r="Y452"/>
      <c r="Z452"/>
      <c r="AA452"/>
      <c r="AB452"/>
      <c r="AC452"/>
      <c r="AD452"/>
      <c r="AE452"/>
      <c r="AF452"/>
      <c r="AG452"/>
      <c r="AH452"/>
      <c r="AI452"/>
      <c r="AJ452"/>
      <c r="AK452"/>
      <c r="AL452"/>
    </row>
    <row r="453" spans="6:38" s="3" customFormat="1" ht="14.45">
      <c r="F453" s="23"/>
      <c r="G453" s="23"/>
      <c r="H453" s="23"/>
      <c r="I453" s="23"/>
      <c r="R453"/>
      <c r="S453"/>
      <c r="T453"/>
      <c r="U453"/>
      <c r="V453"/>
      <c r="W453"/>
      <c r="X453"/>
      <c r="Y453"/>
      <c r="Z453"/>
      <c r="AA453"/>
      <c r="AB453"/>
      <c r="AC453"/>
      <c r="AD453"/>
      <c r="AE453"/>
      <c r="AF453"/>
      <c r="AG453"/>
      <c r="AH453"/>
      <c r="AI453"/>
      <c r="AJ453"/>
      <c r="AK453"/>
      <c r="AL453"/>
    </row>
    <row r="454" spans="6:38" s="3" customFormat="1" ht="14.45">
      <c r="F454" s="23"/>
      <c r="G454" s="23"/>
      <c r="H454" s="23"/>
      <c r="I454" s="23"/>
      <c r="R454"/>
      <c r="S454"/>
      <c r="T454"/>
      <c r="U454"/>
      <c r="V454"/>
      <c r="W454"/>
      <c r="X454"/>
      <c r="Y454"/>
      <c r="Z454"/>
      <c r="AA454"/>
      <c r="AB454"/>
      <c r="AC454"/>
      <c r="AD454"/>
      <c r="AE454"/>
      <c r="AF454"/>
      <c r="AG454"/>
      <c r="AH454"/>
      <c r="AI454"/>
      <c r="AJ454"/>
      <c r="AK454"/>
      <c r="AL454"/>
    </row>
    <row r="455" spans="6:38" s="3" customFormat="1" ht="14.45">
      <c r="F455" s="23"/>
      <c r="G455" s="23"/>
      <c r="H455" s="23"/>
      <c r="I455" s="23"/>
      <c r="R455"/>
      <c r="S455"/>
      <c r="T455"/>
      <c r="U455"/>
      <c r="V455"/>
      <c r="W455"/>
      <c r="X455"/>
      <c r="Y455"/>
      <c r="Z455"/>
      <c r="AA455"/>
      <c r="AB455"/>
      <c r="AC455"/>
      <c r="AD455"/>
      <c r="AE455"/>
      <c r="AF455"/>
      <c r="AG455"/>
      <c r="AH455"/>
      <c r="AI455"/>
      <c r="AJ455"/>
      <c r="AK455"/>
      <c r="AL455"/>
    </row>
    <row r="456" spans="6:38" s="3" customFormat="1" ht="14.45">
      <c r="F456" s="23"/>
      <c r="G456" s="23"/>
      <c r="H456" s="23"/>
      <c r="I456" s="23"/>
      <c r="R456"/>
      <c r="S456"/>
      <c r="T456"/>
      <c r="U456"/>
      <c r="V456"/>
      <c r="W456"/>
      <c r="X456"/>
      <c r="Y456"/>
      <c r="Z456"/>
      <c r="AA456"/>
      <c r="AB456"/>
      <c r="AC456"/>
      <c r="AD456"/>
      <c r="AE456"/>
      <c r="AF456"/>
      <c r="AG456"/>
      <c r="AH456"/>
      <c r="AI456"/>
      <c r="AJ456"/>
      <c r="AK456"/>
      <c r="AL456"/>
    </row>
    <row r="457" spans="6:38" s="3" customFormat="1" ht="14.45">
      <c r="F457" s="23"/>
      <c r="G457" s="23"/>
      <c r="H457" s="23"/>
      <c r="I457" s="23"/>
      <c r="R457"/>
      <c r="S457"/>
      <c r="T457"/>
      <c r="U457"/>
      <c r="V457"/>
      <c r="W457"/>
      <c r="X457"/>
      <c r="Y457"/>
      <c r="Z457"/>
      <c r="AA457"/>
      <c r="AB457"/>
      <c r="AC457"/>
      <c r="AD457"/>
      <c r="AE457"/>
      <c r="AF457"/>
      <c r="AG457"/>
      <c r="AH457"/>
      <c r="AI457"/>
      <c r="AJ457"/>
      <c r="AK457"/>
      <c r="AL457"/>
    </row>
    <row r="458" spans="6:38" s="3" customFormat="1" ht="14.45">
      <c r="F458" s="23"/>
      <c r="G458" s="23"/>
      <c r="H458" s="23"/>
      <c r="I458" s="23"/>
      <c r="R458"/>
      <c r="S458"/>
      <c r="T458"/>
      <c r="U458"/>
      <c r="V458"/>
      <c r="W458"/>
      <c r="X458"/>
      <c r="Y458"/>
      <c r="Z458"/>
      <c r="AA458"/>
      <c r="AB458"/>
      <c r="AC458"/>
      <c r="AD458"/>
      <c r="AE458"/>
      <c r="AF458"/>
      <c r="AG458"/>
      <c r="AH458"/>
      <c r="AI458"/>
      <c r="AJ458"/>
      <c r="AK458"/>
      <c r="AL458"/>
    </row>
    <row r="459" spans="6:38" s="3" customFormat="1" ht="14.45">
      <c r="F459" s="23"/>
      <c r="G459" s="23"/>
      <c r="H459" s="23"/>
      <c r="I459" s="23"/>
      <c r="R459"/>
      <c r="S459"/>
      <c r="T459"/>
      <c r="U459"/>
      <c r="V459"/>
      <c r="W459"/>
      <c r="X459"/>
      <c r="Y459"/>
      <c r="Z459"/>
      <c r="AA459"/>
      <c r="AB459"/>
      <c r="AC459"/>
      <c r="AD459"/>
      <c r="AE459"/>
      <c r="AF459"/>
      <c r="AG459"/>
      <c r="AH459"/>
      <c r="AI459"/>
      <c r="AJ459"/>
      <c r="AK459"/>
      <c r="AL459"/>
    </row>
    <row r="460" spans="6:38" s="3" customFormat="1" ht="14.45">
      <c r="F460" s="23"/>
      <c r="G460" s="23"/>
      <c r="H460" s="23"/>
      <c r="I460" s="23"/>
      <c r="R460"/>
      <c r="S460"/>
      <c r="T460"/>
      <c r="U460"/>
      <c r="V460"/>
      <c r="W460"/>
      <c r="X460"/>
      <c r="Y460"/>
      <c r="Z460"/>
      <c r="AA460"/>
      <c r="AB460"/>
      <c r="AC460"/>
      <c r="AD460"/>
      <c r="AE460"/>
      <c r="AF460"/>
      <c r="AG460"/>
      <c r="AH460"/>
      <c r="AI460"/>
      <c r="AJ460"/>
      <c r="AK460"/>
      <c r="AL460"/>
    </row>
    <row r="461" spans="6:38" s="3" customFormat="1" ht="14.45">
      <c r="F461" s="23"/>
      <c r="G461" s="23"/>
      <c r="H461" s="23"/>
      <c r="I461" s="23"/>
      <c r="R461"/>
      <c r="S461"/>
      <c r="T461"/>
      <c r="U461"/>
      <c r="V461"/>
      <c r="W461"/>
      <c r="X461"/>
      <c r="Y461"/>
      <c r="Z461"/>
      <c r="AA461"/>
      <c r="AB461"/>
      <c r="AC461"/>
      <c r="AD461"/>
      <c r="AE461"/>
      <c r="AF461"/>
      <c r="AG461"/>
      <c r="AH461"/>
      <c r="AI461"/>
      <c r="AJ461"/>
      <c r="AK461"/>
      <c r="AL461"/>
    </row>
    <row r="462" spans="6:38" s="3" customFormat="1" ht="14.45">
      <c r="F462" s="23"/>
      <c r="G462" s="23"/>
      <c r="H462" s="23"/>
      <c r="I462" s="23"/>
      <c r="R462"/>
      <c r="S462"/>
      <c r="T462"/>
      <c r="U462"/>
      <c r="V462"/>
      <c r="W462"/>
      <c r="X462"/>
      <c r="Y462"/>
      <c r="Z462"/>
      <c r="AA462"/>
      <c r="AB462"/>
      <c r="AC462"/>
      <c r="AD462"/>
      <c r="AE462"/>
      <c r="AF462"/>
      <c r="AG462"/>
      <c r="AH462"/>
      <c r="AI462"/>
      <c r="AJ462"/>
      <c r="AK462"/>
      <c r="AL462"/>
    </row>
    <row r="463" spans="6:38" s="3" customFormat="1" ht="14.45">
      <c r="F463" s="23"/>
      <c r="G463" s="23"/>
      <c r="H463" s="23"/>
      <c r="I463" s="23"/>
      <c r="R463"/>
      <c r="S463"/>
      <c r="T463"/>
      <c r="U463"/>
      <c r="V463"/>
      <c r="W463"/>
      <c r="X463"/>
      <c r="Y463"/>
      <c r="Z463"/>
      <c r="AA463"/>
      <c r="AB463"/>
      <c r="AC463"/>
      <c r="AD463"/>
      <c r="AE463"/>
      <c r="AF463"/>
      <c r="AG463"/>
      <c r="AH463"/>
      <c r="AI463"/>
      <c r="AJ463"/>
      <c r="AK463"/>
      <c r="AL463"/>
    </row>
    <row r="464" spans="6:38" s="3" customFormat="1" ht="14.45">
      <c r="F464" s="23"/>
      <c r="G464" s="23"/>
      <c r="H464" s="23"/>
      <c r="I464" s="23"/>
      <c r="R464"/>
      <c r="S464"/>
      <c r="T464"/>
      <c r="U464"/>
      <c r="V464"/>
      <c r="W464"/>
      <c r="X464"/>
      <c r="Y464"/>
      <c r="Z464"/>
      <c r="AA464"/>
      <c r="AB464"/>
      <c r="AC464"/>
      <c r="AD464"/>
      <c r="AE464"/>
      <c r="AF464"/>
      <c r="AG464"/>
      <c r="AH464"/>
      <c r="AI464"/>
      <c r="AJ464"/>
      <c r="AK464"/>
      <c r="AL464"/>
    </row>
    <row r="465" spans="1:38" s="3" customFormat="1" ht="14.45">
      <c r="F465" s="23"/>
      <c r="G465" s="23"/>
      <c r="H465" s="23"/>
      <c r="I465" s="23"/>
      <c r="R465"/>
      <c r="S465"/>
      <c r="T465"/>
      <c r="U465"/>
      <c r="V465"/>
      <c r="W465"/>
      <c r="X465"/>
      <c r="Y465"/>
      <c r="Z465"/>
      <c r="AA465"/>
      <c r="AB465"/>
      <c r="AC465"/>
      <c r="AD465"/>
      <c r="AE465"/>
      <c r="AF465"/>
      <c r="AG465"/>
      <c r="AH465"/>
      <c r="AI465"/>
      <c r="AJ465"/>
      <c r="AK465"/>
      <c r="AL465"/>
    </row>
    <row r="466" spans="1:38" s="3" customFormat="1" ht="14.45">
      <c r="F466" s="23"/>
      <c r="G466" s="23"/>
      <c r="H466" s="23"/>
      <c r="I466" s="23"/>
      <c r="R466"/>
      <c r="S466"/>
      <c r="T466"/>
      <c r="U466"/>
      <c r="V466"/>
      <c r="W466"/>
      <c r="X466"/>
      <c r="Y466"/>
      <c r="Z466"/>
      <c r="AA466"/>
      <c r="AB466"/>
      <c r="AC466"/>
      <c r="AD466"/>
      <c r="AE466"/>
      <c r="AF466"/>
      <c r="AG466"/>
      <c r="AH466"/>
      <c r="AI466"/>
      <c r="AJ466"/>
      <c r="AK466"/>
      <c r="AL466"/>
    </row>
    <row r="467" spans="1:38" s="3" customFormat="1" ht="14.45">
      <c r="F467" s="23"/>
      <c r="G467" s="23"/>
      <c r="H467" s="23"/>
      <c r="I467" s="23"/>
      <c r="R467"/>
      <c r="S467"/>
      <c r="T467"/>
      <c r="U467"/>
      <c r="V467"/>
      <c r="W467"/>
      <c r="X467"/>
      <c r="Y467"/>
      <c r="Z467"/>
      <c r="AA467"/>
      <c r="AB467"/>
      <c r="AC467"/>
      <c r="AD467"/>
      <c r="AE467"/>
      <c r="AF467"/>
      <c r="AG467"/>
      <c r="AH467"/>
      <c r="AI467"/>
      <c r="AJ467"/>
      <c r="AK467"/>
      <c r="AL467"/>
    </row>
    <row r="468" spans="1:38" s="3" customFormat="1" ht="14.45">
      <c r="A468" s="141"/>
      <c r="B468" s="141"/>
      <c r="C468" s="141"/>
      <c r="D468" s="141"/>
      <c r="E468" s="141"/>
      <c r="F468" s="141"/>
      <c r="G468" s="23"/>
      <c r="H468" s="23"/>
      <c r="I468" s="23"/>
      <c r="R468"/>
      <c r="S468"/>
      <c r="T468"/>
      <c r="U468"/>
      <c r="V468"/>
      <c r="W468"/>
      <c r="X468"/>
      <c r="Y468"/>
      <c r="Z468"/>
      <c r="AA468"/>
      <c r="AB468"/>
      <c r="AC468"/>
      <c r="AD468"/>
      <c r="AE468"/>
      <c r="AF468"/>
      <c r="AG468"/>
      <c r="AH468"/>
      <c r="AI468"/>
      <c r="AJ468"/>
      <c r="AK468"/>
      <c r="AL468"/>
    </row>
    <row r="469" spans="1:38" s="3" customFormat="1" ht="14.45">
      <c r="A469" s="6"/>
      <c r="B469" s="6"/>
      <c r="C469" s="6"/>
      <c r="D469" s="6"/>
      <c r="E469" s="6"/>
      <c r="F469" s="142"/>
      <c r="G469" s="23"/>
      <c r="H469" s="23"/>
      <c r="I469" s="23"/>
      <c r="R469"/>
      <c r="S469"/>
      <c r="T469"/>
      <c r="U469"/>
      <c r="V469"/>
      <c r="W469"/>
      <c r="X469"/>
      <c r="Y469"/>
      <c r="Z469"/>
      <c r="AA469"/>
      <c r="AB469"/>
      <c r="AC469"/>
      <c r="AD469"/>
      <c r="AE469"/>
      <c r="AF469"/>
      <c r="AG469"/>
      <c r="AH469"/>
      <c r="AI469"/>
      <c r="AJ469"/>
      <c r="AK469"/>
      <c r="AL469"/>
    </row>
    <row r="470" spans="1:38" s="3" customFormat="1" ht="14.45">
      <c r="A470" s="6"/>
      <c r="B470" s="6"/>
      <c r="C470" s="6"/>
      <c r="D470" s="6"/>
      <c r="E470" s="6"/>
      <c r="F470" s="142"/>
      <c r="G470" s="23"/>
      <c r="H470" s="23"/>
      <c r="I470" s="23"/>
      <c r="R470"/>
      <c r="S470"/>
      <c r="T470"/>
      <c r="U470"/>
      <c r="V470"/>
      <c r="W470"/>
      <c r="X470"/>
      <c r="Y470"/>
      <c r="Z470"/>
      <c r="AA470"/>
      <c r="AB470"/>
      <c r="AC470"/>
      <c r="AD470"/>
      <c r="AE470"/>
      <c r="AF470"/>
      <c r="AG470"/>
      <c r="AH470"/>
      <c r="AI470"/>
      <c r="AJ470"/>
      <c r="AK470"/>
      <c r="AL470"/>
    </row>
    <row r="471" spans="1:38" s="3" customFormat="1" ht="14.45">
      <c r="A471" s="6"/>
      <c r="B471" s="6"/>
      <c r="C471" s="6"/>
      <c r="D471" s="6"/>
      <c r="E471" s="6"/>
      <c r="F471" s="142"/>
      <c r="G471" s="23"/>
      <c r="H471" s="23"/>
      <c r="I471" s="23"/>
      <c r="R471"/>
      <c r="S471"/>
      <c r="T471"/>
      <c r="U471"/>
      <c r="V471"/>
      <c r="W471"/>
      <c r="X471"/>
      <c r="Y471"/>
      <c r="Z471"/>
      <c r="AA471"/>
      <c r="AB471"/>
      <c r="AC471"/>
      <c r="AD471"/>
      <c r="AE471"/>
      <c r="AF471"/>
      <c r="AG471"/>
      <c r="AH471"/>
      <c r="AI471"/>
      <c r="AJ471"/>
      <c r="AK471"/>
      <c r="AL471"/>
    </row>
    <row r="472" spans="1:38" s="3" customFormat="1" ht="14.45">
      <c r="A472" s="6"/>
      <c r="B472" s="6"/>
      <c r="C472" s="6"/>
      <c r="D472" s="6"/>
      <c r="E472" s="6"/>
      <c r="F472" s="142"/>
      <c r="G472" s="23"/>
      <c r="H472" s="23"/>
      <c r="I472" s="23"/>
      <c r="R472"/>
      <c r="S472"/>
      <c r="T472"/>
      <c r="U472"/>
      <c r="V472"/>
      <c r="W472"/>
      <c r="X472"/>
      <c r="Y472"/>
      <c r="Z472"/>
      <c r="AA472"/>
      <c r="AB472"/>
      <c r="AC472"/>
      <c r="AD472"/>
      <c r="AE472"/>
      <c r="AF472"/>
      <c r="AG472"/>
      <c r="AH472"/>
      <c r="AI472"/>
      <c r="AJ472"/>
      <c r="AK472"/>
      <c r="AL472"/>
    </row>
    <row r="473" spans="1:38" s="3" customFormat="1" ht="14.45">
      <c r="A473" s="6"/>
      <c r="B473" s="6"/>
      <c r="C473" s="6"/>
      <c r="D473" s="6"/>
      <c r="E473" s="6"/>
      <c r="F473" s="142"/>
      <c r="G473" s="23"/>
      <c r="H473" s="23"/>
      <c r="I473" s="23"/>
      <c r="R473"/>
      <c r="S473"/>
      <c r="T473"/>
      <c r="U473"/>
      <c r="V473"/>
      <c r="W473"/>
      <c r="X473"/>
      <c r="Y473"/>
      <c r="Z473"/>
      <c r="AA473"/>
      <c r="AB473"/>
      <c r="AC473"/>
      <c r="AD473"/>
      <c r="AE473"/>
      <c r="AF473"/>
      <c r="AG473"/>
      <c r="AH473"/>
      <c r="AI473"/>
      <c r="AJ473"/>
      <c r="AK473"/>
      <c r="AL473"/>
    </row>
    <row r="474" spans="1:38" s="3" customFormat="1" ht="14.45">
      <c r="A474" s="6"/>
      <c r="B474" s="6"/>
      <c r="C474" s="6"/>
      <c r="D474" s="6"/>
      <c r="E474" s="6"/>
      <c r="F474" s="142"/>
      <c r="G474" s="23"/>
      <c r="H474" s="23"/>
      <c r="I474" s="23"/>
      <c r="R474"/>
      <c r="S474"/>
      <c r="T474"/>
      <c r="U474"/>
      <c r="V474"/>
      <c r="W474"/>
      <c r="X474"/>
      <c r="Y474"/>
      <c r="Z474"/>
      <c r="AA474"/>
      <c r="AB474"/>
      <c r="AC474"/>
      <c r="AD474"/>
      <c r="AE474"/>
      <c r="AF474"/>
      <c r="AG474"/>
      <c r="AH474"/>
      <c r="AI474"/>
      <c r="AJ474"/>
      <c r="AK474"/>
      <c r="AL474"/>
    </row>
    <row r="475" spans="1:38" s="3" customFormat="1" ht="14.45">
      <c r="A475" s="6"/>
      <c r="B475" s="6"/>
      <c r="C475" s="6"/>
      <c r="D475" s="6"/>
      <c r="E475" s="6"/>
      <c r="F475" s="142"/>
      <c r="G475" s="23"/>
      <c r="H475" s="23"/>
      <c r="I475" s="23"/>
      <c r="R475"/>
      <c r="S475"/>
      <c r="T475"/>
      <c r="U475"/>
      <c r="V475"/>
      <c r="W475"/>
      <c r="X475"/>
      <c r="Y475"/>
      <c r="Z475"/>
      <c r="AA475"/>
      <c r="AB475"/>
      <c r="AC475"/>
      <c r="AD475"/>
      <c r="AE475"/>
      <c r="AF475"/>
      <c r="AG475"/>
      <c r="AH475"/>
      <c r="AI475"/>
      <c r="AJ475"/>
      <c r="AK475"/>
      <c r="AL475"/>
    </row>
    <row r="476" spans="1:38" s="3" customFormat="1" ht="14.45">
      <c r="F476" s="23"/>
      <c r="G476" s="23"/>
      <c r="H476" s="23"/>
      <c r="I476" s="23"/>
      <c r="R476"/>
      <c r="S476"/>
      <c r="T476"/>
      <c r="U476"/>
      <c r="V476"/>
      <c r="W476"/>
      <c r="X476"/>
      <c r="Y476"/>
      <c r="Z476"/>
      <c r="AA476"/>
      <c r="AB476"/>
      <c r="AC476"/>
      <c r="AD476"/>
      <c r="AE476"/>
      <c r="AF476"/>
      <c r="AG476"/>
      <c r="AH476"/>
      <c r="AI476"/>
      <c r="AJ476"/>
      <c r="AK476"/>
      <c r="AL476"/>
    </row>
    <row r="477" spans="1:38" s="3" customFormat="1" ht="14.45">
      <c r="F477" s="23"/>
      <c r="G477" s="23"/>
      <c r="H477" s="23"/>
      <c r="I477" s="23"/>
      <c r="R477"/>
      <c r="S477"/>
      <c r="T477"/>
      <c r="U477"/>
      <c r="V477"/>
      <c r="W477"/>
      <c r="X477"/>
      <c r="Y477"/>
      <c r="Z477"/>
      <c r="AA477"/>
      <c r="AB477"/>
      <c r="AC477"/>
      <c r="AD477"/>
      <c r="AE477"/>
      <c r="AF477"/>
      <c r="AG477"/>
      <c r="AH477"/>
      <c r="AI477"/>
      <c r="AJ477"/>
      <c r="AK477"/>
      <c r="AL477"/>
    </row>
    <row r="478" spans="1:38" s="3" customFormat="1" ht="14.45">
      <c r="F478" s="23"/>
      <c r="G478" s="23"/>
      <c r="H478" s="23"/>
      <c r="I478" s="23"/>
      <c r="R478"/>
      <c r="S478"/>
      <c r="T478"/>
      <c r="U478"/>
      <c r="V478"/>
      <c r="W478"/>
      <c r="X478"/>
      <c r="Y478"/>
      <c r="Z478"/>
      <c r="AA478"/>
      <c r="AB478"/>
      <c r="AC478"/>
      <c r="AD478"/>
      <c r="AE478"/>
      <c r="AF478"/>
      <c r="AG478"/>
      <c r="AH478"/>
      <c r="AI478"/>
      <c r="AJ478"/>
      <c r="AK478"/>
      <c r="AL478"/>
    </row>
    <row r="479" spans="1:38" s="3" customFormat="1" ht="14.45">
      <c r="F479" s="23"/>
      <c r="G479" s="23"/>
      <c r="H479" s="23"/>
      <c r="I479" s="23"/>
      <c r="R479"/>
      <c r="S479"/>
      <c r="T479"/>
      <c r="U479"/>
      <c r="V479"/>
      <c r="W479"/>
      <c r="X479"/>
      <c r="Y479"/>
      <c r="Z479"/>
      <c r="AA479"/>
      <c r="AB479"/>
      <c r="AC479"/>
      <c r="AD479"/>
      <c r="AE479"/>
      <c r="AF479"/>
      <c r="AG479"/>
      <c r="AH479"/>
      <c r="AI479"/>
      <c r="AJ479"/>
      <c r="AK479"/>
      <c r="AL479"/>
    </row>
    <row r="480" spans="1:38" s="3" customFormat="1" ht="14.45">
      <c r="F480" s="23"/>
      <c r="G480" s="23"/>
      <c r="H480" s="23"/>
      <c r="I480" s="23"/>
      <c r="R480"/>
      <c r="S480"/>
      <c r="T480"/>
      <c r="U480"/>
      <c r="V480"/>
      <c r="W480"/>
      <c r="X480"/>
      <c r="Y480"/>
      <c r="Z480"/>
      <c r="AA480"/>
      <c r="AB480"/>
      <c r="AC480"/>
      <c r="AD480"/>
      <c r="AE480"/>
      <c r="AF480"/>
      <c r="AG480"/>
      <c r="AH480"/>
      <c r="AI480"/>
      <c r="AJ480"/>
      <c r="AK480"/>
      <c r="AL480"/>
    </row>
    <row r="481" spans="6:38" s="3" customFormat="1" ht="14.45">
      <c r="F481" s="23"/>
      <c r="G481" s="23"/>
      <c r="H481" s="23"/>
      <c r="I481" s="23"/>
      <c r="R481"/>
      <c r="S481"/>
      <c r="T481"/>
      <c r="U481"/>
      <c r="V481"/>
      <c r="W481"/>
      <c r="X481"/>
      <c r="Y481"/>
      <c r="Z481"/>
      <c r="AA481"/>
      <c r="AB481"/>
      <c r="AC481"/>
      <c r="AD481"/>
      <c r="AE481"/>
      <c r="AF481"/>
      <c r="AG481"/>
      <c r="AH481"/>
      <c r="AI481"/>
      <c r="AJ481"/>
      <c r="AK481"/>
      <c r="AL481"/>
    </row>
    <row r="482" spans="6:38" s="3" customFormat="1" ht="14.45">
      <c r="F482" s="23"/>
      <c r="G482" s="23"/>
      <c r="H482" s="23"/>
      <c r="I482" s="23"/>
      <c r="R482"/>
      <c r="S482"/>
      <c r="T482"/>
      <c r="U482"/>
      <c r="V482"/>
      <c r="W482"/>
      <c r="X482"/>
      <c r="Y482"/>
      <c r="Z482"/>
      <c r="AA482"/>
      <c r="AB482"/>
      <c r="AC482"/>
      <c r="AD482"/>
      <c r="AE482"/>
      <c r="AF482"/>
      <c r="AG482"/>
      <c r="AH482"/>
      <c r="AI482"/>
      <c r="AJ482"/>
      <c r="AK482"/>
      <c r="AL482"/>
    </row>
    <row r="483" spans="6:38" s="3" customFormat="1" ht="14.45">
      <c r="F483" s="23"/>
      <c r="G483" s="23"/>
      <c r="H483" s="23"/>
      <c r="I483" s="23"/>
      <c r="R483"/>
      <c r="S483"/>
      <c r="T483"/>
      <c r="U483"/>
      <c r="V483"/>
      <c r="W483"/>
      <c r="X483"/>
      <c r="Y483"/>
      <c r="Z483"/>
      <c r="AA483"/>
      <c r="AB483"/>
      <c r="AC483"/>
      <c r="AD483"/>
      <c r="AE483"/>
      <c r="AF483"/>
      <c r="AG483"/>
      <c r="AH483"/>
      <c r="AI483"/>
      <c r="AJ483"/>
      <c r="AK483"/>
      <c r="AL483"/>
    </row>
    <row r="484" spans="6:38" s="3" customFormat="1" ht="14.45">
      <c r="F484" s="23"/>
      <c r="G484" s="23"/>
      <c r="H484" s="23"/>
      <c r="I484" s="23"/>
      <c r="R484"/>
      <c r="S484"/>
      <c r="T484"/>
      <c r="U484"/>
      <c r="V484"/>
      <c r="W484"/>
      <c r="X484"/>
      <c r="Y484"/>
      <c r="Z484"/>
      <c r="AA484"/>
      <c r="AB484"/>
      <c r="AC484"/>
      <c r="AD484"/>
      <c r="AE484"/>
      <c r="AF484"/>
      <c r="AG484"/>
      <c r="AH484"/>
      <c r="AI484"/>
      <c r="AJ484"/>
      <c r="AK484"/>
      <c r="AL484"/>
    </row>
    <row r="485" spans="6:38" s="3" customFormat="1" ht="14.45">
      <c r="F485" s="23"/>
      <c r="G485" s="23"/>
      <c r="H485" s="23"/>
      <c r="I485" s="23"/>
      <c r="R485"/>
      <c r="S485"/>
      <c r="T485"/>
      <c r="U485"/>
      <c r="V485"/>
      <c r="W485"/>
      <c r="X485"/>
      <c r="Y485"/>
      <c r="Z485"/>
      <c r="AA485"/>
      <c r="AB485"/>
      <c r="AC485"/>
      <c r="AD485"/>
      <c r="AE485"/>
      <c r="AF485"/>
      <c r="AG485"/>
      <c r="AH485"/>
      <c r="AI485"/>
      <c r="AJ485"/>
      <c r="AK485"/>
      <c r="AL485"/>
    </row>
    <row r="486" spans="6:38" s="3" customFormat="1" ht="14.45">
      <c r="F486" s="23"/>
      <c r="G486" s="23"/>
      <c r="H486" s="23"/>
      <c r="I486" s="23"/>
      <c r="R486"/>
      <c r="S486"/>
      <c r="T486"/>
      <c r="U486"/>
      <c r="V486"/>
      <c r="W486"/>
      <c r="X486"/>
      <c r="Y486"/>
      <c r="Z486"/>
      <c r="AA486"/>
      <c r="AB486"/>
      <c r="AC486"/>
      <c r="AD486"/>
      <c r="AE486"/>
      <c r="AF486"/>
      <c r="AG486"/>
      <c r="AH486"/>
      <c r="AI486"/>
      <c r="AJ486"/>
      <c r="AK486"/>
      <c r="AL486"/>
    </row>
    <row r="487" spans="6:38" s="3" customFormat="1" ht="14.45">
      <c r="F487" s="23"/>
      <c r="G487" s="23"/>
      <c r="H487" s="23"/>
      <c r="I487" s="23"/>
      <c r="R487"/>
      <c r="S487"/>
      <c r="T487"/>
      <c r="U487"/>
      <c r="V487"/>
      <c r="W487"/>
      <c r="X487"/>
      <c r="Y487"/>
      <c r="Z487"/>
      <c r="AA487"/>
      <c r="AB487"/>
      <c r="AC487"/>
      <c r="AD487"/>
      <c r="AE487"/>
      <c r="AF487"/>
      <c r="AG487"/>
      <c r="AH487"/>
      <c r="AI487"/>
      <c r="AJ487"/>
      <c r="AK487"/>
      <c r="AL487"/>
    </row>
    <row r="488" spans="6:38" s="3" customFormat="1" ht="14.45">
      <c r="F488" s="23"/>
      <c r="G488" s="23"/>
      <c r="H488" s="23"/>
      <c r="I488" s="23"/>
      <c r="R488"/>
      <c r="S488"/>
      <c r="T488"/>
      <c r="U488"/>
      <c r="V488"/>
      <c r="W488"/>
      <c r="X488"/>
      <c r="Y488"/>
      <c r="Z488"/>
      <c r="AA488"/>
      <c r="AB488"/>
      <c r="AC488"/>
      <c r="AD488"/>
      <c r="AE488"/>
      <c r="AF488"/>
      <c r="AG488"/>
      <c r="AH488"/>
      <c r="AI488"/>
      <c r="AJ488"/>
      <c r="AK488"/>
      <c r="AL488"/>
    </row>
    <row r="489" spans="6:38" s="3" customFormat="1" ht="14.45">
      <c r="F489" s="23"/>
      <c r="G489" s="23"/>
      <c r="H489" s="23"/>
      <c r="I489" s="23"/>
      <c r="R489"/>
      <c r="S489"/>
      <c r="T489"/>
      <c r="U489"/>
      <c r="V489"/>
      <c r="W489"/>
      <c r="X489"/>
      <c r="Y489"/>
      <c r="Z489"/>
      <c r="AA489"/>
      <c r="AB489"/>
      <c r="AC489"/>
      <c r="AD489"/>
      <c r="AE489"/>
      <c r="AF489"/>
      <c r="AG489"/>
      <c r="AH489"/>
      <c r="AI489"/>
      <c r="AJ489"/>
      <c r="AK489"/>
      <c r="AL489"/>
    </row>
    <row r="490" spans="6:38" s="3" customFormat="1" ht="14.45">
      <c r="F490" s="23"/>
      <c r="G490" s="23"/>
      <c r="H490" s="23"/>
      <c r="I490" s="23"/>
      <c r="R490"/>
      <c r="S490"/>
      <c r="T490"/>
      <c r="U490"/>
      <c r="V490"/>
      <c r="W490"/>
      <c r="X490"/>
      <c r="Y490"/>
      <c r="Z490"/>
      <c r="AA490"/>
      <c r="AB490"/>
      <c r="AC490"/>
      <c r="AD490"/>
      <c r="AE490"/>
      <c r="AF490"/>
      <c r="AG490"/>
      <c r="AH490"/>
      <c r="AI490"/>
      <c r="AJ490"/>
      <c r="AK490"/>
      <c r="AL490"/>
    </row>
    <row r="491" spans="6:38" s="3" customFormat="1" ht="14.45">
      <c r="F491" s="23"/>
      <c r="G491" s="23"/>
      <c r="H491" s="23"/>
      <c r="I491" s="23"/>
      <c r="R491"/>
      <c r="S491"/>
      <c r="T491"/>
      <c r="U491"/>
      <c r="V491"/>
      <c r="W491"/>
      <c r="X491"/>
      <c r="Y491"/>
      <c r="Z491"/>
      <c r="AA491"/>
      <c r="AB491"/>
      <c r="AC491"/>
      <c r="AD491"/>
      <c r="AE491"/>
      <c r="AF491"/>
      <c r="AG491"/>
      <c r="AH491"/>
      <c r="AI491"/>
      <c r="AJ491"/>
      <c r="AK491"/>
      <c r="AL491"/>
    </row>
    <row r="492" spans="6:38" s="3" customFormat="1" ht="14.45">
      <c r="F492" s="23"/>
      <c r="G492" s="23"/>
      <c r="H492" s="23"/>
      <c r="I492" s="23"/>
      <c r="R492"/>
      <c r="S492"/>
      <c r="T492"/>
      <c r="U492"/>
      <c r="V492"/>
      <c r="W492"/>
      <c r="X492"/>
      <c r="Y492"/>
      <c r="Z492"/>
      <c r="AA492"/>
      <c r="AB492"/>
      <c r="AC492"/>
      <c r="AD492"/>
      <c r="AE492"/>
      <c r="AF492"/>
      <c r="AG492"/>
      <c r="AH492"/>
      <c r="AI492"/>
      <c r="AJ492"/>
      <c r="AK492"/>
      <c r="AL492"/>
    </row>
    <row r="493" spans="6:38" s="3" customFormat="1" ht="14.45">
      <c r="F493" s="23"/>
      <c r="G493" s="23"/>
      <c r="H493" s="23"/>
      <c r="I493" s="23"/>
      <c r="R493"/>
      <c r="S493"/>
      <c r="T493"/>
      <c r="U493"/>
      <c r="V493"/>
      <c r="W493"/>
      <c r="X493"/>
      <c r="Y493"/>
      <c r="Z493"/>
      <c r="AA493"/>
      <c r="AB493"/>
      <c r="AC493"/>
      <c r="AD493"/>
      <c r="AE493"/>
      <c r="AF493"/>
      <c r="AG493"/>
      <c r="AH493"/>
      <c r="AI493"/>
      <c r="AJ493"/>
      <c r="AK493"/>
      <c r="AL493"/>
    </row>
    <row r="494" spans="6:38" s="3" customFormat="1" ht="14.45">
      <c r="F494" s="23"/>
      <c r="G494" s="23"/>
      <c r="H494" s="23"/>
      <c r="I494" s="23"/>
      <c r="R494"/>
      <c r="S494"/>
      <c r="T494"/>
      <c r="U494"/>
      <c r="V494"/>
      <c r="W494"/>
      <c r="X494"/>
      <c r="Y494"/>
      <c r="Z494"/>
      <c r="AA494"/>
      <c r="AB494"/>
      <c r="AC494"/>
      <c r="AD494"/>
      <c r="AE494"/>
      <c r="AF494"/>
      <c r="AG494"/>
      <c r="AH494"/>
      <c r="AI494"/>
      <c r="AJ494"/>
      <c r="AK494"/>
      <c r="AL494"/>
    </row>
    <row r="495" spans="6:38" s="3" customFormat="1" ht="14.45">
      <c r="F495" s="23"/>
      <c r="G495" s="23"/>
      <c r="H495" s="23"/>
      <c r="I495" s="23"/>
      <c r="R495"/>
      <c r="S495"/>
      <c r="T495"/>
      <c r="U495"/>
      <c r="V495"/>
      <c r="W495"/>
      <c r="X495"/>
      <c r="Y495"/>
      <c r="Z495"/>
      <c r="AA495"/>
      <c r="AB495"/>
      <c r="AC495"/>
      <c r="AD495"/>
      <c r="AE495"/>
      <c r="AF495"/>
      <c r="AG495"/>
      <c r="AH495"/>
      <c r="AI495"/>
      <c r="AJ495"/>
      <c r="AK495"/>
      <c r="AL495"/>
    </row>
    <row r="496" spans="6:38" s="3" customFormat="1" ht="14.45">
      <c r="F496" s="23"/>
      <c r="G496" s="23"/>
      <c r="H496" s="23"/>
      <c r="I496" s="23"/>
      <c r="R496"/>
      <c r="S496"/>
      <c r="T496"/>
      <c r="U496"/>
      <c r="V496"/>
      <c r="W496"/>
      <c r="X496"/>
      <c r="Y496"/>
      <c r="Z496"/>
      <c r="AA496"/>
      <c r="AB496"/>
      <c r="AC496"/>
      <c r="AD496"/>
      <c r="AE496"/>
      <c r="AF496"/>
      <c r="AG496"/>
      <c r="AH496"/>
      <c r="AI496"/>
      <c r="AJ496"/>
      <c r="AK496"/>
      <c r="AL496"/>
    </row>
    <row r="497" spans="6:38" s="3" customFormat="1" ht="14.45">
      <c r="F497" s="23"/>
      <c r="G497" s="23"/>
      <c r="H497" s="23"/>
      <c r="I497" s="23"/>
      <c r="R497"/>
      <c r="S497"/>
      <c r="T497"/>
      <c r="U497"/>
      <c r="V497"/>
      <c r="W497"/>
      <c r="X497"/>
      <c r="Y497"/>
      <c r="Z497"/>
      <c r="AA497"/>
      <c r="AB497"/>
      <c r="AC497"/>
      <c r="AD497"/>
      <c r="AE497"/>
      <c r="AF497"/>
      <c r="AG497"/>
      <c r="AH497"/>
      <c r="AI497"/>
      <c r="AJ497"/>
      <c r="AK497"/>
      <c r="AL497"/>
    </row>
    <row r="498" spans="6:38" s="3" customFormat="1" ht="14.45">
      <c r="F498" s="23"/>
      <c r="G498" s="23"/>
      <c r="H498" s="23"/>
      <c r="I498" s="23"/>
      <c r="R498"/>
      <c r="S498"/>
      <c r="T498"/>
      <c r="U498"/>
      <c r="V498"/>
      <c r="W498"/>
      <c r="X498"/>
      <c r="Y498"/>
      <c r="Z498"/>
      <c r="AA498"/>
      <c r="AB498"/>
      <c r="AC498"/>
      <c r="AD498"/>
      <c r="AE498"/>
      <c r="AF498"/>
      <c r="AG498"/>
      <c r="AH498"/>
      <c r="AI498"/>
      <c r="AJ498"/>
      <c r="AK498"/>
      <c r="AL498"/>
    </row>
    <row r="499" spans="6:38" s="3" customFormat="1" ht="14.45">
      <c r="F499" s="23"/>
      <c r="G499" s="23"/>
      <c r="H499" s="23"/>
      <c r="I499" s="23"/>
      <c r="R499"/>
      <c r="S499"/>
      <c r="T499"/>
      <c r="U499"/>
      <c r="V499"/>
      <c r="W499"/>
      <c r="X499"/>
      <c r="Y499"/>
      <c r="Z499"/>
      <c r="AA499"/>
      <c r="AB499"/>
      <c r="AC499"/>
      <c r="AD499"/>
      <c r="AE499"/>
      <c r="AF499"/>
      <c r="AG499"/>
      <c r="AH499"/>
      <c r="AI499"/>
      <c r="AJ499"/>
      <c r="AK499"/>
      <c r="AL499"/>
    </row>
    <row r="500" spans="6:38" s="3" customFormat="1" ht="14.45">
      <c r="F500" s="23"/>
      <c r="G500" s="23"/>
      <c r="H500" s="23"/>
      <c r="I500" s="23"/>
      <c r="R500"/>
      <c r="S500"/>
      <c r="T500"/>
      <c r="U500"/>
      <c r="V500"/>
      <c r="W500"/>
      <c r="X500"/>
      <c r="Y500"/>
      <c r="Z500"/>
      <c r="AA500"/>
      <c r="AB500"/>
      <c r="AC500"/>
      <c r="AD500"/>
      <c r="AE500"/>
      <c r="AF500"/>
      <c r="AG500"/>
      <c r="AH500"/>
      <c r="AI500"/>
      <c r="AJ500"/>
      <c r="AK500"/>
      <c r="AL500"/>
    </row>
    <row r="501" spans="6:38" s="3" customFormat="1" ht="14.45">
      <c r="F501" s="23"/>
      <c r="G501" s="23"/>
      <c r="H501" s="23"/>
      <c r="I501" s="23"/>
      <c r="R501"/>
      <c r="S501"/>
      <c r="T501"/>
      <c r="U501"/>
      <c r="V501"/>
      <c r="W501"/>
      <c r="X501"/>
      <c r="Y501"/>
      <c r="Z501"/>
      <c r="AA501"/>
      <c r="AB501"/>
      <c r="AC501"/>
      <c r="AD501"/>
      <c r="AE501"/>
      <c r="AF501"/>
      <c r="AG501"/>
      <c r="AH501"/>
      <c r="AI501"/>
      <c r="AJ501"/>
      <c r="AK501"/>
      <c r="AL501"/>
    </row>
    <row r="502" spans="6:38" s="3" customFormat="1" ht="14.45">
      <c r="F502" s="23"/>
      <c r="G502" s="23"/>
      <c r="H502" s="23"/>
      <c r="I502" s="23"/>
      <c r="R502"/>
      <c r="S502"/>
      <c r="T502"/>
      <c r="U502"/>
      <c r="V502"/>
      <c r="W502"/>
      <c r="X502"/>
      <c r="Y502"/>
      <c r="Z502"/>
      <c r="AA502"/>
      <c r="AB502"/>
      <c r="AC502"/>
      <c r="AD502"/>
      <c r="AE502"/>
      <c r="AF502"/>
      <c r="AG502"/>
      <c r="AH502"/>
      <c r="AI502"/>
      <c r="AJ502"/>
      <c r="AK502"/>
      <c r="AL502"/>
    </row>
    <row r="503" spans="6:38" s="3" customFormat="1" ht="14.45">
      <c r="F503" s="23"/>
      <c r="G503" s="23"/>
      <c r="H503" s="23"/>
      <c r="I503" s="23"/>
      <c r="R503"/>
      <c r="S503"/>
      <c r="T503"/>
      <c r="U503"/>
      <c r="V503"/>
      <c r="W503"/>
      <c r="X503"/>
      <c r="Y503"/>
      <c r="Z503"/>
      <c r="AA503"/>
      <c r="AB503"/>
      <c r="AC503"/>
      <c r="AD503"/>
      <c r="AE503"/>
      <c r="AF503"/>
      <c r="AG503"/>
      <c r="AH503"/>
      <c r="AI503"/>
      <c r="AJ503"/>
      <c r="AK503"/>
      <c r="AL503"/>
    </row>
    <row r="504" spans="6:38" s="3" customFormat="1" ht="14.45">
      <c r="F504" s="23"/>
      <c r="G504" s="23"/>
      <c r="H504" s="23"/>
      <c r="I504" s="23"/>
      <c r="R504"/>
      <c r="S504"/>
      <c r="T504"/>
      <c r="U504"/>
      <c r="V504"/>
      <c r="W504"/>
      <c r="X504"/>
      <c r="Y504"/>
      <c r="Z504"/>
      <c r="AA504"/>
      <c r="AB504"/>
      <c r="AC504"/>
      <c r="AD504"/>
      <c r="AE504"/>
      <c r="AF504"/>
      <c r="AG504"/>
      <c r="AH504"/>
      <c r="AI504"/>
      <c r="AJ504"/>
      <c r="AK504"/>
      <c r="AL504"/>
    </row>
    <row r="505" spans="6:38" s="3" customFormat="1" ht="14.45">
      <c r="F505" s="23"/>
      <c r="G505" s="23"/>
      <c r="H505" s="23"/>
      <c r="I505" s="23"/>
      <c r="R505"/>
      <c r="S505"/>
      <c r="T505"/>
      <c r="U505"/>
      <c r="V505"/>
      <c r="W505"/>
      <c r="X505"/>
      <c r="Y505"/>
      <c r="Z505"/>
      <c r="AA505"/>
      <c r="AB505"/>
      <c r="AC505"/>
      <c r="AD505"/>
      <c r="AE505"/>
      <c r="AF505"/>
      <c r="AG505"/>
      <c r="AH505"/>
      <c r="AI505"/>
      <c r="AJ505"/>
      <c r="AK505"/>
      <c r="AL505"/>
    </row>
    <row r="506" spans="6:38" s="3" customFormat="1" ht="14.45">
      <c r="F506" s="23"/>
      <c r="G506" s="23"/>
      <c r="H506" s="23"/>
      <c r="I506" s="23"/>
      <c r="R506"/>
      <c r="S506"/>
      <c r="T506"/>
      <c r="U506"/>
      <c r="V506"/>
      <c r="W506"/>
      <c r="X506"/>
      <c r="Y506"/>
      <c r="Z506"/>
      <c r="AA506"/>
      <c r="AB506"/>
      <c r="AC506"/>
      <c r="AD506"/>
      <c r="AE506"/>
      <c r="AF506"/>
      <c r="AG506"/>
      <c r="AH506"/>
      <c r="AI506"/>
      <c r="AJ506"/>
      <c r="AK506"/>
      <c r="AL506"/>
    </row>
    <row r="507" spans="6:38" s="3" customFormat="1" ht="14.45">
      <c r="F507" s="23"/>
      <c r="G507" s="23"/>
      <c r="H507" s="23"/>
      <c r="I507" s="23"/>
      <c r="R507"/>
      <c r="S507"/>
      <c r="T507"/>
      <c r="U507"/>
      <c r="V507"/>
      <c r="W507"/>
      <c r="X507"/>
      <c r="Y507"/>
      <c r="Z507"/>
      <c r="AA507"/>
      <c r="AB507"/>
      <c r="AC507"/>
      <c r="AD507"/>
      <c r="AE507"/>
      <c r="AF507"/>
      <c r="AG507"/>
      <c r="AH507"/>
      <c r="AI507"/>
      <c r="AJ507"/>
      <c r="AK507"/>
      <c r="AL507"/>
    </row>
    <row r="508" spans="6:38" s="3" customFormat="1" ht="14.45">
      <c r="F508" s="23"/>
      <c r="G508" s="23"/>
      <c r="H508" s="23"/>
      <c r="I508" s="23"/>
      <c r="R508"/>
      <c r="S508"/>
      <c r="T508"/>
      <c r="U508"/>
      <c r="V508"/>
      <c r="W508"/>
      <c r="X508"/>
      <c r="Y508"/>
      <c r="Z508"/>
      <c r="AA508"/>
      <c r="AB508"/>
      <c r="AC508"/>
      <c r="AD508"/>
      <c r="AE508"/>
      <c r="AF508"/>
      <c r="AG508"/>
      <c r="AH508"/>
      <c r="AI508"/>
      <c r="AJ508"/>
      <c r="AK508"/>
      <c r="AL508"/>
    </row>
    <row r="509" spans="6:38" s="3" customFormat="1" ht="14.45">
      <c r="F509" s="23"/>
      <c r="G509" s="23"/>
      <c r="H509" s="23"/>
      <c r="I509" s="23"/>
      <c r="R509"/>
      <c r="S509"/>
      <c r="T509"/>
      <c r="U509"/>
      <c r="V509"/>
      <c r="W509"/>
      <c r="X509"/>
      <c r="Y509"/>
      <c r="Z509"/>
      <c r="AA509"/>
      <c r="AB509"/>
      <c r="AC509"/>
      <c r="AD509"/>
      <c r="AE509"/>
      <c r="AF509"/>
      <c r="AG509"/>
      <c r="AH509"/>
      <c r="AI509"/>
      <c r="AJ509"/>
      <c r="AK509"/>
      <c r="AL509"/>
    </row>
    <row r="510" spans="6:38" s="3" customFormat="1" ht="14.45">
      <c r="F510" s="23"/>
      <c r="G510" s="23"/>
      <c r="H510" s="23"/>
      <c r="I510" s="23"/>
      <c r="R510"/>
      <c r="S510"/>
      <c r="T510"/>
      <c r="U510"/>
      <c r="V510"/>
      <c r="W510"/>
      <c r="X510"/>
      <c r="Y510"/>
      <c r="Z510"/>
      <c r="AA510"/>
      <c r="AB510"/>
      <c r="AC510"/>
      <c r="AD510"/>
      <c r="AE510"/>
      <c r="AF510"/>
      <c r="AG510"/>
      <c r="AH510"/>
      <c r="AI510"/>
      <c r="AJ510"/>
      <c r="AK510"/>
      <c r="AL510"/>
    </row>
    <row r="511" spans="6:38" s="3" customFormat="1" ht="14.45">
      <c r="F511" s="23"/>
      <c r="G511" s="23"/>
      <c r="H511" s="23"/>
      <c r="I511" s="23"/>
      <c r="R511"/>
      <c r="S511"/>
      <c r="T511"/>
      <c r="U511"/>
      <c r="V511"/>
      <c r="W511"/>
      <c r="X511"/>
      <c r="Y511"/>
      <c r="Z511"/>
      <c r="AA511"/>
      <c r="AB511"/>
      <c r="AC511"/>
      <c r="AD511"/>
      <c r="AE511"/>
      <c r="AF511"/>
      <c r="AG511"/>
      <c r="AH511"/>
      <c r="AI511"/>
      <c r="AJ511"/>
      <c r="AK511"/>
      <c r="AL511"/>
    </row>
    <row r="512" spans="6:38" s="3" customFormat="1" ht="14.45">
      <c r="F512" s="23"/>
      <c r="G512" s="23"/>
      <c r="H512" s="23"/>
      <c r="I512" s="23"/>
      <c r="R512"/>
      <c r="S512"/>
      <c r="T512"/>
      <c r="U512"/>
      <c r="V512"/>
      <c r="W512"/>
      <c r="X512"/>
      <c r="Y512"/>
      <c r="Z512"/>
      <c r="AA512"/>
      <c r="AB512"/>
      <c r="AC512"/>
      <c r="AD512"/>
      <c r="AE512"/>
      <c r="AF512"/>
      <c r="AG512"/>
      <c r="AH512"/>
      <c r="AI512"/>
      <c r="AJ512"/>
      <c r="AK512"/>
      <c r="AL512"/>
    </row>
    <row r="513" spans="6:38" s="3" customFormat="1" ht="14.45">
      <c r="F513" s="23"/>
      <c r="G513" s="23"/>
      <c r="H513" s="23"/>
      <c r="I513" s="23"/>
      <c r="R513"/>
      <c r="S513"/>
      <c r="T513"/>
      <c r="U513"/>
      <c r="V513"/>
      <c r="W513"/>
      <c r="X513"/>
      <c r="Y513"/>
      <c r="Z513"/>
      <c r="AA513"/>
      <c r="AB513"/>
      <c r="AC513"/>
      <c r="AD513"/>
      <c r="AE513"/>
      <c r="AF513"/>
      <c r="AG513"/>
      <c r="AH513"/>
      <c r="AI513"/>
      <c r="AJ513"/>
      <c r="AK513"/>
      <c r="AL513"/>
    </row>
    <row r="514" spans="6:38" s="3" customFormat="1" ht="14.45">
      <c r="F514" s="23"/>
      <c r="G514" s="23"/>
      <c r="H514" s="23"/>
      <c r="I514" s="23"/>
      <c r="R514"/>
      <c r="S514"/>
      <c r="T514"/>
      <c r="U514"/>
      <c r="V514"/>
      <c r="W514"/>
      <c r="X514"/>
      <c r="Y514"/>
      <c r="Z514"/>
      <c r="AA514"/>
      <c r="AB514"/>
      <c r="AC514"/>
      <c r="AD514"/>
      <c r="AE514"/>
      <c r="AF514"/>
      <c r="AG514"/>
      <c r="AH514"/>
      <c r="AI514"/>
      <c r="AJ514"/>
      <c r="AK514"/>
      <c r="AL514"/>
    </row>
    <row r="515" spans="6:38" s="3" customFormat="1" ht="14.45">
      <c r="F515" s="23"/>
      <c r="G515" s="23"/>
      <c r="H515" s="23"/>
      <c r="I515" s="23"/>
      <c r="R515"/>
      <c r="S515"/>
      <c r="T515"/>
      <c r="U515"/>
      <c r="V515"/>
      <c r="W515"/>
      <c r="X515"/>
      <c r="Y515"/>
      <c r="Z515"/>
      <c r="AA515"/>
      <c r="AB515"/>
      <c r="AC515"/>
      <c r="AD515"/>
      <c r="AE515"/>
      <c r="AF515"/>
      <c r="AG515"/>
      <c r="AH515"/>
      <c r="AI515"/>
      <c r="AJ515"/>
      <c r="AK515"/>
      <c r="AL515"/>
    </row>
    <row r="516" spans="6:38" s="3" customFormat="1" ht="14.45">
      <c r="F516" s="23"/>
      <c r="G516" s="23"/>
      <c r="H516" s="23"/>
      <c r="I516" s="23"/>
      <c r="R516"/>
      <c r="S516"/>
      <c r="T516"/>
      <c r="U516"/>
      <c r="V516"/>
      <c r="W516"/>
      <c r="X516"/>
      <c r="Y516"/>
      <c r="Z516"/>
      <c r="AA516"/>
      <c r="AB516"/>
      <c r="AC516"/>
      <c r="AD516"/>
      <c r="AE516"/>
      <c r="AF516"/>
      <c r="AG516"/>
      <c r="AH516"/>
      <c r="AI516"/>
      <c r="AJ516"/>
      <c r="AK516"/>
      <c r="AL516"/>
    </row>
    <row r="517" spans="6:38" s="3" customFormat="1" ht="14.45">
      <c r="F517" s="23"/>
      <c r="G517" s="23"/>
      <c r="H517" s="23"/>
      <c r="I517" s="23"/>
      <c r="R517"/>
      <c r="S517"/>
      <c r="T517"/>
      <c r="U517"/>
      <c r="V517"/>
      <c r="W517"/>
      <c r="X517"/>
      <c r="Y517"/>
      <c r="Z517"/>
      <c r="AA517"/>
      <c r="AB517"/>
      <c r="AC517"/>
      <c r="AD517"/>
      <c r="AE517"/>
      <c r="AF517"/>
      <c r="AG517"/>
      <c r="AH517"/>
      <c r="AI517"/>
      <c r="AJ517"/>
      <c r="AK517"/>
      <c r="AL517"/>
    </row>
    <row r="518" spans="6:38" s="3" customFormat="1" ht="14.45">
      <c r="F518" s="23"/>
      <c r="G518" s="23"/>
      <c r="H518" s="23"/>
      <c r="I518" s="23"/>
      <c r="R518"/>
      <c r="S518"/>
      <c r="T518"/>
      <c r="U518"/>
      <c r="V518"/>
      <c r="W518"/>
      <c r="X518"/>
      <c r="Y518"/>
      <c r="Z518"/>
      <c r="AA518"/>
      <c r="AB518"/>
      <c r="AC518"/>
      <c r="AD518"/>
      <c r="AE518"/>
      <c r="AF518"/>
      <c r="AG518"/>
      <c r="AH518"/>
      <c r="AI518"/>
      <c r="AJ518"/>
      <c r="AK518"/>
      <c r="AL518"/>
    </row>
    <row r="519" spans="6:38" s="3" customFormat="1" ht="14.45">
      <c r="F519" s="23"/>
      <c r="G519" s="23"/>
      <c r="H519" s="23"/>
      <c r="I519" s="23"/>
      <c r="R519"/>
      <c r="S519"/>
      <c r="T519"/>
      <c r="U519"/>
      <c r="V519"/>
      <c r="W519"/>
      <c r="X519"/>
      <c r="Y519"/>
      <c r="Z519"/>
      <c r="AA519"/>
      <c r="AB519"/>
      <c r="AC519"/>
      <c r="AD519"/>
      <c r="AE519"/>
      <c r="AF519"/>
      <c r="AG519"/>
      <c r="AH519"/>
      <c r="AI519"/>
      <c r="AJ519"/>
      <c r="AK519"/>
      <c r="AL519"/>
    </row>
    <row r="520" spans="6:38" s="3" customFormat="1" ht="14.45">
      <c r="F520" s="23"/>
      <c r="G520" s="23"/>
      <c r="H520" s="23"/>
      <c r="I520" s="23"/>
      <c r="R520"/>
      <c r="S520"/>
      <c r="T520"/>
      <c r="U520"/>
      <c r="V520"/>
      <c r="W520"/>
      <c r="X520"/>
      <c r="Y520"/>
      <c r="Z520"/>
      <c r="AA520"/>
      <c r="AB520"/>
      <c r="AC520"/>
      <c r="AD520"/>
      <c r="AE520"/>
      <c r="AF520"/>
      <c r="AG520"/>
      <c r="AH520"/>
      <c r="AI520"/>
      <c r="AJ520"/>
      <c r="AK520"/>
      <c r="AL520"/>
    </row>
    <row r="521" spans="6:38" s="3" customFormat="1" ht="14.45">
      <c r="F521" s="23"/>
      <c r="G521" s="23"/>
      <c r="H521" s="23"/>
      <c r="I521" s="23"/>
      <c r="R521"/>
      <c r="S521"/>
      <c r="T521"/>
      <c r="U521"/>
      <c r="V521"/>
      <c r="W521"/>
      <c r="X521"/>
      <c r="Y521"/>
      <c r="Z521"/>
      <c r="AA521"/>
      <c r="AB521"/>
      <c r="AC521"/>
      <c r="AD521"/>
      <c r="AE521"/>
      <c r="AF521"/>
      <c r="AG521"/>
      <c r="AH521"/>
      <c r="AI521"/>
      <c r="AJ521"/>
      <c r="AK521"/>
      <c r="AL521"/>
    </row>
    <row r="522" spans="6:38" s="3" customFormat="1" ht="14.45">
      <c r="F522" s="23"/>
      <c r="G522" s="23"/>
      <c r="H522" s="23"/>
      <c r="I522" s="23"/>
      <c r="R522"/>
      <c r="S522"/>
      <c r="T522"/>
      <c r="U522"/>
      <c r="V522"/>
      <c r="W522"/>
      <c r="X522"/>
      <c r="Y522"/>
      <c r="Z522"/>
      <c r="AA522"/>
      <c r="AB522"/>
      <c r="AC522"/>
      <c r="AD522"/>
      <c r="AE522"/>
      <c r="AF522"/>
      <c r="AG522"/>
      <c r="AH522"/>
      <c r="AI522"/>
      <c r="AJ522"/>
      <c r="AK522"/>
      <c r="AL522"/>
    </row>
    <row r="523" spans="6:38" s="3" customFormat="1" ht="14.45">
      <c r="F523" s="23"/>
      <c r="G523" s="23"/>
      <c r="H523" s="23"/>
      <c r="I523" s="23"/>
      <c r="R523"/>
      <c r="S523"/>
      <c r="T523"/>
      <c r="U523"/>
      <c r="V523"/>
      <c r="W523"/>
      <c r="X523"/>
      <c r="Y523"/>
      <c r="Z523"/>
      <c r="AA523"/>
      <c r="AB523"/>
      <c r="AC523"/>
      <c r="AD523"/>
      <c r="AE523"/>
      <c r="AF523"/>
      <c r="AG523"/>
      <c r="AH523"/>
      <c r="AI523"/>
      <c r="AJ523"/>
      <c r="AK523"/>
      <c r="AL523"/>
    </row>
    <row r="524" spans="6:38" s="3" customFormat="1" ht="14.45">
      <c r="F524" s="23"/>
      <c r="G524" s="23"/>
      <c r="H524" s="23"/>
      <c r="I524" s="23"/>
      <c r="R524"/>
      <c r="S524"/>
      <c r="T524"/>
      <c r="U524"/>
      <c r="V524"/>
      <c r="W524"/>
      <c r="X524"/>
      <c r="Y524"/>
      <c r="Z524"/>
      <c r="AA524"/>
      <c r="AB524"/>
      <c r="AC524"/>
      <c r="AD524"/>
      <c r="AE524"/>
      <c r="AF524"/>
      <c r="AG524"/>
      <c r="AH524"/>
      <c r="AI524"/>
      <c r="AJ524"/>
      <c r="AK524"/>
      <c r="AL524"/>
    </row>
    <row r="525" spans="6:38" s="3" customFormat="1" ht="14.45">
      <c r="F525" s="23"/>
      <c r="G525" s="23"/>
      <c r="H525" s="23"/>
      <c r="I525" s="23"/>
      <c r="R525"/>
      <c r="S525"/>
      <c r="T525"/>
      <c r="U525"/>
      <c r="V525"/>
      <c r="W525"/>
      <c r="X525"/>
      <c r="Y525"/>
      <c r="Z525"/>
      <c r="AA525"/>
      <c r="AB525"/>
      <c r="AC525"/>
      <c r="AD525"/>
      <c r="AE525"/>
      <c r="AF525"/>
      <c r="AG525"/>
      <c r="AH525"/>
      <c r="AI525"/>
      <c r="AJ525"/>
      <c r="AK525"/>
      <c r="AL525"/>
    </row>
    <row r="526" spans="6:38" s="3" customFormat="1" ht="14.45">
      <c r="F526" s="23"/>
      <c r="G526" s="23"/>
      <c r="H526" s="23"/>
      <c r="I526" s="23"/>
      <c r="R526"/>
      <c r="S526"/>
      <c r="T526"/>
      <c r="U526"/>
      <c r="V526"/>
      <c r="W526"/>
      <c r="X526"/>
      <c r="Y526"/>
      <c r="Z526"/>
      <c r="AA526"/>
      <c r="AB526"/>
      <c r="AC526"/>
      <c r="AD526"/>
      <c r="AE526"/>
      <c r="AF526"/>
      <c r="AG526"/>
      <c r="AH526"/>
      <c r="AI526"/>
      <c r="AJ526"/>
      <c r="AK526"/>
      <c r="AL526"/>
    </row>
    <row r="527" spans="6:38" s="3" customFormat="1" ht="14.45">
      <c r="F527" s="23"/>
      <c r="G527" s="23"/>
      <c r="H527" s="23"/>
      <c r="I527" s="23"/>
      <c r="R527"/>
      <c r="S527"/>
      <c r="T527"/>
      <c r="U527"/>
      <c r="V527"/>
      <c r="W527"/>
      <c r="X527"/>
      <c r="Y527"/>
      <c r="Z527"/>
      <c r="AA527"/>
      <c r="AB527"/>
      <c r="AC527"/>
      <c r="AD527"/>
      <c r="AE527"/>
      <c r="AF527"/>
      <c r="AG527"/>
      <c r="AH527"/>
      <c r="AI527"/>
      <c r="AJ527"/>
      <c r="AK527"/>
      <c r="AL527"/>
    </row>
    <row r="528" spans="6:38" s="3" customFormat="1" ht="14.45">
      <c r="F528" s="23"/>
      <c r="G528" s="23"/>
      <c r="H528" s="23"/>
      <c r="I528" s="23"/>
      <c r="R528"/>
      <c r="S528"/>
      <c r="T528"/>
      <c r="U528"/>
      <c r="V528"/>
      <c r="W528"/>
      <c r="X528"/>
      <c r="Y528"/>
      <c r="Z528"/>
      <c r="AA528"/>
      <c r="AB528"/>
      <c r="AC528"/>
      <c r="AD528"/>
      <c r="AE528"/>
      <c r="AF528"/>
      <c r="AG528"/>
      <c r="AH528"/>
      <c r="AI528"/>
      <c r="AJ528"/>
      <c r="AK528"/>
      <c r="AL528"/>
    </row>
    <row r="529" spans="6:38" s="3" customFormat="1" ht="14.45">
      <c r="F529" s="23"/>
      <c r="G529" s="23"/>
      <c r="H529" s="23"/>
      <c r="I529" s="23"/>
      <c r="R529"/>
      <c r="S529"/>
      <c r="T529"/>
      <c r="U529"/>
      <c r="V529"/>
      <c r="W529"/>
      <c r="X529"/>
      <c r="Y529"/>
      <c r="Z529"/>
      <c r="AA529"/>
      <c r="AB529"/>
      <c r="AC529"/>
      <c r="AD529"/>
      <c r="AE529"/>
      <c r="AF529"/>
      <c r="AG529"/>
      <c r="AH529"/>
      <c r="AI529"/>
      <c r="AJ529"/>
      <c r="AK529"/>
      <c r="AL529"/>
    </row>
    <row r="530" spans="6:38" s="3" customFormat="1" ht="14.45">
      <c r="F530" s="23"/>
      <c r="G530" s="23"/>
      <c r="H530" s="23"/>
      <c r="I530" s="23"/>
      <c r="R530"/>
      <c r="S530"/>
      <c r="T530"/>
      <c r="U530"/>
      <c r="V530"/>
      <c r="W530"/>
      <c r="X530"/>
      <c r="Y530"/>
      <c r="Z530"/>
      <c r="AA530"/>
      <c r="AB530"/>
      <c r="AC530"/>
      <c r="AD530"/>
      <c r="AE530"/>
      <c r="AF530"/>
      <c r="AG530"/>
      <c r="AH530"/>
      <c r="AI530"/>
      <c r="AJ530"/>
      <c r="AK530"/>
      <c r="AL530"/>
    </row>
    <row r="531" spans="6:38" s="3" customFormat="1" ht="14.45">
      <c r="F531" s="23"/>
      <c r="G531" s="23"/>
      <c r="H531" s="23"/>
      <c r="I531" s="23"/>
      <c r="R531"/>
      <c r="S531"/>
      <c r="T531"/>
      <c r="U531"/>
      <c r="V531"/>
      <c r="W531"/>
      <c r="X531"/>
      <c r="Y531"/>
      <c r="Z531"/>
      <c r="AA531"/>
      <c r="AB531"/>
      <c r="AC531"/>
      <c r="AD531"/>
      <c r="AE531"/>
      <c r="AF531"/>
      <c r="AG531"/>
      <c r="AH531"/>
      <c r="AI531"/>
      <c r="AJ531"/>
      <c r="AK531"/>
      <c r="AL531"/>
    </row>
    <row r="532" spans="6:38" s="3" customFormat="1" ht="14.45">
      <c r="F532" s="23"/>
      <c r="G532" s="23"/>
      <c r="H532" s="23"/>
      <c r="I532" s="23"/>
      <c r="R532"/>
      <c r="S532"/>
      <c r="T532"/>
      <c r="U532"/>
      <c r="V532"/>
      <c r="W532"/>
      <c r="X532"/>
      <c r="Y532"/>
      <c r="Z532"/>
      <c r="AA532"/>
      <c r="AB532"/>
      <c r="AC532"/>
      <c r="AD532"/>
      <c r="AE532"/>
      <c r="AF532"/>
      <c r="AG532"/>
      <c r="AH532"/>
      <c r="AI532"/>
      <c r="AJ532"/>
      <c r="AK532"/>
      <c r="AL532"/>
    </row>
    <row r="533" spans="6:38" s="3" customFormat="1" ht="14.45">
      <c r="F533" s="23"/>
      <c r="G533" s="23"/>
      <c r="H533" s="23"/>
      <c r="I533" s="23"/>
      <c r="R533"/>
      <c r="S533"/>
      <c r="T533"/>
      <c r="U533"/>
      <c r="V533"/>
      <c r="W533"/>
      <c r="X533"/>
      <c r="Y533"/>
      <c r="Z533"/>
      <c r="AA533"/>
      <c r="AB533"/>
      <c r="AC533"/>
      <c r="AD533"/>
      <c r="AE533"/>
      <c r="AF533"/>
      <c r="AG533"/>
      <c r="AH533"/>
      <c r="AI533"/>
      <c r="AJ533"/>
      <c r="AK533"/>
      <c r="AL533"/>
    </row>
    <row r="534" spans="6:38" s="3" customFormat="1" ht="14.45">
      <c r="F534" s="23"/>
      <c r="G534" s="23"/>
      <c r="H534" s="23"/>
      <c r="I534" s="23"/>
      <c r="R534"/>
      <c r="S534"/>
      <c r="T534"/>
      <c r="U534"/>
      <c r="V534"/>
      <c r="W534"/>
      <c r="X534"/>
      <c r="Y534"/>
      <c r="Z534"/>
      <c r="AA534"/>
      <c r="AB534"/>
      <c r="AC534"/>
      <c r="AD534"/>
      <c r="AE534"/>
      <c r="AF534"/>
      <c r="AG534"/>
      <c r="AH534"/>
      <c r="AI534"/>
      <c r="AJ534"/>
      <c r="AK534"/>
      <c r="AL534"/>
    </row>
    <row r="535" spans="6:38" s="3" customFormat="1" ht="14.45">
      <c r="F535" s="23"/>
      <c r="G535" s="23"/>
      <c r="H535" s="23"/>
      <c r="I535" s="23"/>
      <c r="R535"/>
      <c r="S535"/>
      <c r="T535"/>
      <c r="U535"/>
      <c r="V535"/>
      <c r="W535"/>
      <c r="X535"/>
      <c r="Y535"/>
      <c r="Z535"/>
      <c r="AA535"/>
      <c r="AB535"/>
      <c r="AC535"/>
      <c r="AD535"/>
      <c r="AE535"/>
      <c r="AF535"/>
      <c r="AG535"/>
      <c r="AH535"/>
      <c r="AI535"/>
      <c r="AJ535"/>
      <c r="AK535"/>
      <c r="AL535"/>
    </row>
    <row r="536" spans="6:38" s="3" customFormat="1" ht="14.45">
      <c r="F536" s="23"/>
      <c r="G536" s="23"/>
      <c r="H536" s="23"/>
      <c r="I536" s="23"/>
      <c r="R536"/>
      <c r="S536"/>
      <c r="T536"/>
      <c r="U536"/>
      <c r="V536"/>
      <c r="W536"/>
      <c r="X536"/>
      <c r="Y536"/>
      <c r="Z536"/>
      <c r="AA536"/>
      <c r="AB536"/>
      <c r="AC536"/>
      <c r="AD536"/>
      <c r="AE536"/>
      <c r="AF536"/>
      <c r="AG536"/>
      <c r="AH536"/>
      <c r="AI536"/>
      <c r="AJ536"/>
      <c r="AK536"/>
      <c r="AL536"/>
    </row>
    <row r="537" spans="6:38" s="3" customFormat="1" ht="14.45">
      <c r="F537" s="23"/>
      <c r="G537" s="23"/>
      <c r="H537" s="23"/>
      <c r="I537" s="23"/>
      <c r="R537"/>
      <c r="S537"/>
      <c r="T537"/>
      <c r="U537"/>
      <c r="V537"/>
      <c r="W537"/>
      <c r="X537"/>
      <c r="Y537"/>
      <c r="Z537"/>
      <c r="AA537"/>
      <c r="AB537"/>
      <c r="AC537"/>
      <c r="AD537"/>
      <c r="AE537"/>
      <c r="AF537"/>
      <c r="AG537"/>
      <c r="AH537"/>
      <c r="AI537"/>
      <c r="AJ537"/>
      <c r="AK537"/>
      <c r="AL537"/>
    </row>
    <row r="538" spans="6:38" s="3" customFormat="1" ht="14.45">
      <c r="F538" s="23"/>
      <c r="G538" s="23"/>
      <c r="H538" s="23"/>
      <c r="I538" s="23"/>
      <c r="R538"/>
      <c r="S538"/>
      <c r="T538"/>
      <c r="U538"/>
      <c r="V538"/>
      <c r="W538"/>
      <c r="X538"/>
      <c r="Y538"/>
      <c r="Z538"/>
      <c r="AA538"/>
      <c r="AB538"/>
      <c r="AC538"/>
      <c r="AD538"/>
      <c r="AE538"/>
      <c r="AF538"/>
      <c r="AG538"/>
      <c r="AH538"/>
      <c r="AI538"/>
      <c r="AJ538"/>
      <c r="AK538"/>
      <c r="AL538"/>
    </row>
    <row r="539" spans="6:38" s="3" customFormat="1" ht="14.45">
      <c r="F539" s="23"/>
      <c r="G539" s="23"/>
      <c r="H539" s="23"/>
      <c r="I539" s="23"/>
      <c r="R539"/>
      <c r="S539"/>
      <c r="T539"/>
      <c r="U539"/>
      <c r="V539"/>
      <c r="W539"/>
      <c r="X539"/>
      <c r="Y539"/>
      <c r="Z539"/>
      <c r="AA539"/>
      <c r="AB539"/>
      <c r="AC539"/>
      <c r="AD539"/>
      <c r="AE539"/>
      <c r="AF539"/>
      <c r="AG539"/>
      <c r="AH539"/>
      <c r="AI539"/>
      <c r="AJ539"/>
      <c r="AK539"/>
      <c r="AL539"/>
    </row>
    <row r="540" spans="6:38" s="3" customFormat="1" ht="14.45">
      <c r="F540" s="23"/>
      <c r="G540" s="23"/>
      <c r="H540" s="23"/>
      <c r="I540" s="23"/>
      <c r="R540"/>
      <c r="S540"/>
      <c r="T540"/>
      <c r="U540"/>
      <c r="V540"/>
      <c r="W540"/>
      <c r="X540"/>
      <c r="Y540"/>
      <c r="Z540"/>
      <c r="AA540"/>
      <c r="AB540"/>
      <c r="AC540"/>
      <c r="AD540"/>
      <c r="AE540"/>
      <c r="AF540"/>
      <c r="AG540"/>
      <c r="AH540"/>
      <c r="AI540"/>
      <c r="AJ540"/>
      <c r="AK540"/>
      <c r="AL540"/>
    </row>
    <row r="541" spans="6:38" s="3" customFormat="1" ht="14.45">
      <c r="F541" s="23"/>
      <c r="G541" s="23"/>
      <c r="H541" s="23"/>
      <c r="I541" s="23"/>
      <c r="R541"/>
      <c r="S541"/>
      <c r="T541"/>
      <c r="U541"/>
      <c r="V541"/>
      <c r="W541"/>
      <c r="X541"/>
      <c r="Y541"/>
      <c r="Z541"/>
      <c r="AA541"/>
      <c r="AB541"/>
      <c r="AC541"/>
      <c r="AD541"/>
      <c r="AE541"/>
      <c r="AF541"/>
      <c r="AG541"/>
      <c r="AH541"/>
      <c r="AI541"/>
      <c r="AJ541"/>
      <c r="AK541"/>
      <c r="AL541"/>
    </row>
    <row r="542" spans="6:38" s="3" customFormat="1" ht="14.45">
      <c r="F542" s="23"/>
      <c r="G542" s="23"/>
      <c r="H542" s="23"/>
      <c r="I542" s="23"/>
      <c r="R542"/>
      <c r="S542"/>
      <c r="T542"/>
      <c r="U542"/>
      <c r="V542"/>
      <c r="W542"/>
      <c r="X542"/>
      <c r="Y542"/>
      <c r="Z542"/>
      <c r="AA542"/>
      <c r="AB542"/>
      <c r="AC542"/>
      <c r="AD542"/>
      <c r="AE542"/>
      <c r="AF542"/>
      <c r="AG542"/>
      <c r="AH542"/>
      <c r="AI542"/>
      <c r="AJ542"/>
      <c r="AK542"/>
      <c r="AL542"/>
    </row>
    <row r="543" spans="6:38" s="3" customFormat="1" ht="14.45">
      <c r="F543" s="23"/>
      <c r="G543" s="23"/>
      <c r="H543" s="23"/>
      <c r="I543" s="23"/>
      <c r="R543"/>
      <c r="S543"/>
      <c r="T543"/>
      <c r="U543"/>
      <c r="V543"/>
      <c r="W543"/>
      <c r="X543"/>
      <c r="Y543"/>
      <c r="Z543"/>
      <c r="AA543"/>
      <c r="AB543"/>
      <c r="AC543"/>
      <c r="AD543"/>
      <c r="AE543"/>
      <c r="AF543"/>
      <c r="AG543"/>
      <c r="AH543"/>
      <c r="AI543"/>
      <c r="AJ543"/>
      <c r="AK543"/>
      <c r="AL543"/>
    </row>
    <row r="544" spans="6:38" s="3" customFormat="1" ht="14.45">
      <c r="F544" s="23"/>
      <c r="G544" s="23"/>
      <c r="H544" s="23"/>
      <c r="I544" s="23"/>
      <c r="R544"/>
      <c r="S544"/>
      <c r="T544"/>
      <c r="U544"/>
      <c r="V544"/>
      <c r="W544"/>
      <c r="X544"/>
      <c r="Y544"/>
      <c r="Z544"/>
      <c r="AA544"/>
      <c r="AB544"/>
      <c r="AC544"/>
      <c r="AD544"/>
      <c r="AE544"/>
      <c r="AF544"/>
      <c r="AG544"/>
      <c r="AH544"/>
      <c r="AI544"/>
      <c r="AJ544"/>
      <c r="AK544"/>
      <c r="AL544"/>
    </row>
    <row r="545" spans="6:38" s="3" customFormat="1" ht="14.45">
      <c r="F545" s="23"/>
      <c r="G545" s="23"/>
      <c r="H545" s="23"/>
      <c r="I545" s="23"/>
      <c r="R545"/>
      <c r="S545"/>
      <c r="T545"/>
      <c r="U545"/>
      <c r="V545"/>
      <c r="W545"/>
      <c r="X545"/>
      <c r="Y545"/>
      <c r="Z545"/>
      <c r="AA545"/>
      <c r="AB545"/>
      <c r="AC545"/>
      <c r="AD545"/>
      <c r="AE545"/>
      <c r="AF545"/>
      <c r="AG545"/>
      <c r="AH545"/>
      <c r="AI545"/>
      <c r="AJ545"/>
      <c r="AK545"/>
      <c r="AL545"/>
    </row>
    <row r="546" spans="6:38" s="3" customFormat="1" ht="14.45">
      <c r="F546" s="23"/>
      <c r="G546" s="23"/>
      <c r="H546" s="23"/>
      <c r="I546" s="23"/>
      <c r="R546"/>
      <c r="S546"/>
      <c r="T546"/>
      <c r="U546"/>
      <c r="V546"/>
      <c r="W546"/>
      <c r="X546"/>
      <c r="Y546"/>
      <c r="Z546"/>
      <c r="AA546"/>
      <c r="AB546"/>
      <c r="AC546"/>
      <c r="AD546"/>
      <c r="AE546"/>
      <c r="AF546"/>
      <c r="AG546"/>
      <c r="AH546"/>
      <c r="AI546"/>
      <c r="AJ546"/>
      <c r="AK546"/>
      <c r="AL546"/>
    </row>
    <row r="547" spans="6:38" s="3" customFormat="1" ht="14.45">
      <c r="F547" s="23"/>
      <c r="G547" s="23"/>
      <c r="H547" s="23"/>
      <c r="I547" s="23"/>
      <c r="R547"/>
      <c r="S547"/>
      <c r="T547"/>
      <c r="U547"/>
      <c r="V547"/>
      <c r="W547"/>
      <c r="X547"/>
      <c r="Y547"/>
      <c r="Z547"/>
      <c r="AA547"/>
      <c r="AB547"/>
      <c r="AC547"/>
      <c r="AD547"/>
      <c r="AE547"/>
      <c r="AF547"/>
      <c r="AG547"/>
      <c r="AH547"/>
      <c r="AI547"/>
      <c r="AJ547"/>
      <c r="AK547"/>
      <c r="AL547"/>
    </row>
    <row r="548" spans="6:38" s="3" customFormat="1" ht="14.45">
      <c r="F548" s="23"/>
      <c r="G548" s="23"/>
      <c r="H548" s="23"/>
      <c r="I548" s="23"/>
      <c r="R548"/>
      <c r="S548"/>
      <c r="T548"/>
      <c r="U548"/>
      <c r="V548"/>
      <c r="W548"/>
      <c r="X548"/>
      <c r="Y548"/>
      <c r="Z548"/>
      <c r="AA548"/>
      <c r="AB548"/>
      <c r="AC548"/>
      <c r="AD548"/>
      <c r="AE548"/>
      <c r="AF548"/>
      <c r="AG548"/>
      <c r="AH548"/>
      <c r="AI548"/>
      <c r="AJ548"/>
      <c r="AK548"/>
      <c r="AL548"/>
    </row>
    <row r="549" spans="6:38" s="3" customFormat="1" ht="14.45">
      <c r="F549" s="23"/>
      <c r="G549" s="23"/>
      <c r="H549" s="23"/>
      <c r="I549" s="23"/>
      <c r="R549"/>
      <c r="S549"/>
      <c r="T549"/>
      <c r="U549"/>
      <c r="V549"/>
      <c r="W549"/>
      <c r="X549"/>
      <c r="Y549"/>
      <c r="Z549"/>
      <c r="AA549"/>
      <c r="AB549"/>
      <c r="AC549"/>
      <c r="AD549"/>
      <c r="AE549"/>
      <c r="AF549"/>
      <c r="AG549"/>
      <c r="AH549"/>
      <c r="AI549"/>
      <c r="AJ549"/>
      <c r="AK549"/>
      <c r="AL549"/>
    </row>
    <row r="550" spans="6:38" s="3" customFormat="1" ht="14.45">
      <c r="F550" s="23"/>
      <c r="G550" s="23"/>
      <c r="H550" s="23"/>
      <c r="I550" s="23"/>
      <c r="R550"/>
      <c r="S550"/>
      <c r="T550"/>
      <c r="U550"/>
      <c r="V550"/>
      <c r="W550"/>
      <c r="X550"/>
      <c r="Y550"/>
      <c r="Z550"/>
      <c r="AA550"/>
      <c r="AB550"/>
      <c r="AC550"/>
      <c r="AD550"/>
      <c r="AE550"/>
      <c r="AF550"/>
      <c r="AG550"/>
      <c r="AH550"/>
      <c r="AI550"/>
      <c r="AJ550"/>
      <c r="AK550"/>
      <c r="AL550"/>
    </row>
    <row r="551" spans="6:38" s="3" customFormat="1" ht="14.45">
      <c r="F551" s="23"/>
      <c r="G551" s="23"/>
      <c r="H551" s="23"/>
      <c r="I551" s="23"/>
      <c r="R551"/>
      <c r="S551"/>
      <c r="T551"/>
      <c r="U551"/>
      <c r="V551"/>
      <c r="W551"/>
      <c r="X551"/>
      <c r="Y551"/>
      <c r="Z551"/>
      <c r="AA551"/>
      <c r="AB551"/>
      <c r="AC551"/>
      <c r="AD551"/>
      <c r="AE551"/>
      <c r="AF551"/>
      <c r="AG551"/>
      <c r="AH551"/>
      <c r="AI551"/>
      <c r="AJ551"/>
      <c r="AK551"/>
      <c r="AL551"/>
    </row>
    <row r="552" spans="6:38" s="3" customFormat="1" ht="14.45">
      <c r="F552" s="23"/>
      <c r="G552" s="23"/>
      <c r="H552" s="23"/>
      <c r="I552" s="23"/>
      <c r="R552"/>
      <c r="S552"/>
      <c r="T552"/>
      <c r="U552"/>
      <c r="V552"/>
      <c r="W552"/>
      <c r="X552"/>
      <c r="Y552"/>
      <c r="Z552"/>
      <c r="AA552"/>
      <c r="AB552"/>
      <c r="AC552"/>
      <c r="AD552"/>
      <c r="AE552"/>
      <c r="AF552"/>
      <c r="AG552"/>
      <c r="AH552"/>
      <c r="AI552"/>
      <c r="AJ552"/>
      <c r="AK552"/>
      <c r="AL552"/>
    </row>
    <row r="553" spans="6:38" s="3" customFormat="1" ht="14.45">
      <c r="F553" s="23"/>
      <c r="G553" s="23"/>
      <c r="H553" s="23"/>
      <c r="I553" s="23"/>
      <c r="R553"/>
      <c r="S553"/>
      <c r="T553"/>
      <c r="U553"/>
      <c r="V553"/>
      <c r="W553"/>
      <c r="X553"/>
      <c r="Y553"/>
      <c r="Z553"/>
      <c r="AA553"/>
      <c r="AB553"/>
      <c r="AC553"/>
      <c r="AD553"/>
      <c r="AE553"/>
      <c r="AF553"/>
      <c r="AG553"/>
      <c r="AH553"/>
      <c r="AI553"/>
      <c r="AJ553"/>
      <c r="AK553"/>
      <c r="AL553"/>
    </row>
    <row r="554" spans="6:38" s="3" customFormat="1" ht="14.45">
      <c r="F554" s="23"/>
      <c r="G554" s="23"/>
      <c r="H554" s="23"/>
      <c r="I554" s="23"/>
      <c r="R554"/>
      <c r="S554"/>
      <c r="T554"/>
      <c r="U554"/>
      <c r="V554"/>
      <c r="W554"/>
      <c r="X554"/>
      <c r="Y554"/>
      <c r="Z554"/>
      <c r="AA554"/>
      <c r="AB554"/>
      <c r="AC554"/>
      <c r="AD554"/>
      <c r="AE554"/>
      <c r="AF554"/>
      <c r="AG554"/>
      <c r="AH554"/>
      <c r="AI554"/>
      <c r="AJ554"/>
      <c r="AK554"/>
      <c r="AL554"/>
    </row>
    <row r="555" spans="6:38" s="3" customFormat="1" ht="14.45">
      <c r="F555" s="23"/>
      <c r="G555" s="23"/>
      <c r="H555" s="23"/>
      <c r="I555" s="23"/>
      <c r="R555"/>
      <c r="S555"/>
      <c r="T555"/>
      <c r="U555"/>
      <c r="V555"/>
      <c r="W555"/>
      <c r="X555"/>
      <c r="Y555"/>
      <c r="Z555"/>
      <c r="AA555"/>
      <c r="AB555"/>
      <c r="AC555"/>
      <c r="AD555"/>
      <c r="AE555"/>
      <c r="AF555"/>
      <c r="AG555"/>
      <c r="AH555"/>
      <c r="AI555"/>
      <c r="AJ555"/>
      <c r="AK555"/>
      <c r="AL555"/>
    </row>
    <row r="556" spans="6:38" s="3" customFormat="1" ht="14.45">
      <c r="F556" s="23"/>
      <c r="G556" s="23"/>
      <c r="H556" s="23"/>
      <c r="I556" s="23"/>
      <c r="R556"/>
      <c r="S556"/>
      <c r="T556"/>
      <c r="U556"/>
      <c r="V556"/>
      <c r="W556"/>
      <c r="X556"/>
      <c r="Y556"/>
      <c r="Z556"/>
      <c r="AA556"/>
      <c r="AB556"/>
      <c r="AC556"/>
      <c r="AD556"/>
      <c r="AE556"/>
      <c r="AF556"/>
      <c r="AG556"/>
      <c r="AH556"/>
      <c r="AI556"/>
      <c r="AJ556"/>
      <c r="AK556"/>
      <c r="AL556"/>
    </row>
    <row r="557" spans="6:38" s="3" customFormat="1" ht="14.45">
      <c r="F557" s="23"/>
      <c r="G557" s="23"/>
      <c r="H557" s="23"/>
      <c r="I557" s="23"/>
      <c r="R557"/>
      <c r="S557"/>
      <c r="T557"/>
      <c r="U557"/>
      <c r="V557"/>
      <c r="W557"/>
      <c r="X557"/>
      <c r="Y557"/>
      <c r="Z557"/>
      <c r="AA557"/>
      <c r="AB557"/>
      <c r="AC557"/>
      <c r="AD557"/>
      <c r="AE557"/>
      <c r="AF557"/>
      <c r="AG557"/>
      <c r="AH557"/>
      <c r="AI557"/>
      <c r="AJ557"/>
      <c r="AK557"/>
      <c r="AL557"/>
    </row>
    <row r="558" spans="6:38" s="3" customFormat="1" ht="14.45">
      <c r="F558" s="23"/>
      <c r="G558" s="23"/>
      <c r="H558" s="23"/>
      <c r="I558" s="23"/>
      <c r="R558"/>
      <c r="S558"/>
      <c r="T558"/>
      <c r="U558"/>
      <c r="V558"/>
      <c r="W558"/>
      <c r="X558"/>
      <c r="Y558"/>
      <c r="Z558"/>
      <c r="AA558"/>
      <c r="AB558"/>
      <c r="AC558"/>
      <c r="AD558"/>
      <c r="AE558"/>
      <c r="AF558"/>
      <c r="AG558"/>
      <c r="AH558"/>
      <c r="AI558"/>
      <c r="AJ558"/>
      <c r="AK558"/>
      <c r="AL558"/>
    </row>
    <row r="559" spans="6:38" s="3" customFormat="1" ht="14.45">
      <c r="F559" s="23"/>
      <c r="G559" s="23"/>
      <c r="H559" s="23"/>
      <c r="I559" s="23"/>
      <c r="R559"/>
      <c r="S559"/>
      <c r="T559"/>
      <c r="U559"/>
      <c r="V559"/>
      <c r="W559"/>
      <c r="X559"/>
      <c r="Y559"/>
      <c r="Z559"/>
      <c r="AA559"/>
      <c r="AB559"/>
      <c r="AC559"/>
      <c r="AD559"/>
      <c r="AE559"/>
      <c r="AF559"/>
      <c r="AG559"/>
      <c r="AH559"/>
      <c r="AI559"/>
      <c r="AJ559"/>
      <c r="AK559"/>
      <c r="AL559"/>
    </row>
    <row r="560" spans="6:38" s="3" customFormat="1" ht="14.45">
      <c r="F560" s="23"/>
      <c r="G560" s="23"/>
      <c r="H560" s="23"/>
      <c r="I560" s="23"/>
      <c r="R560"/>
      <c r="S560"/>
      <c r="T560"/>
      <c r="U560"/>
      <c r="V560"/>
      <c r="W560"/>
      <c r="X560"/>
      <c r="Y560"/>
      <c r="Z560"/>
      <c r="AA560"/>
      <c r="AB560"/>
      <c r="AC560"/>
      <c r="AD560"/>
      <c r="AE560"/>
      <c r="AF560"/>
      <c r="AG560"/>
      <c r="AH560"/>
      <c r="AI560"/>
      <c r="AJ560"/>
      <c r="AK560"/>
      <c r="AL560"/>
    </row>
    <row r="561" spans="6:38" s="3" customFormat="1" ht="14.45">
      <c r="F561" s="23"/>
      <c r="G561" s="23"/>
      <c r="H561" s="23"/>
      <c r="I561" s="23"/>
      <c r="R561"/>
      <c r="S561"/>
      <c r="T561"/>
      <c r="U561"/>
      <c r="V561"/>
      <c r="W561"/>
      <c r="X561"/>
      <c r="Y561"/>
      <c r="Z561"/>
      <c r="AA561"/>
      <c r="AB561"/>
      <c r="AC561"/>
      <c r="AD561"/>
      <c r="AE561"/>
      <c r="AF561"/>
      <c r="AG561"/>
      <c r="AH561"/>
      <c r="AI561"/>
      <c r="AJ561"/>
      <c r="AK561"/>
      <c r="AL561"/>
    </row>
    <row r="562" spans="6:38" s="3" customFormat="1" ht="14.45">
      <c r="F562" s="23"/>
      <c r="G562" s="23"/>
      <c r="H562" s="23"/>
      <c r="I562" s="23"/>
      <c r="R562"/>
      <c r="S562"/>
      <c r="T562"/>
      <c r="U562"/>
      <c r="V562"/>
      <c r="W562"/>
      <c r="X562"/>
      <c r="Y562"/>
      <c r="Z562"/>
      <c r="AA562"/>
      <c r="AB562"/>
      <c r="AC562"/>
      <c r="AD562"/>
      <c r="AE562"/>
      <c r="AF562"/>
      <c r="AG562"/>
      <c r="AH562"/>
      <c r="AI562"/>
      <c r="AJ562"/>
      <c r="AK562"/>
      <c r="AL562"/>
    </row>
    <row r="563" spans="6:38" s="3" customFormat="1" ht="14.45">
      <c r="F563" s="23"/>
      <c r="G563" s="23"/>
      <c r="H563" s="23"/>
      <c r="I563" s="23"/>
      <c r="R563"/>
      <c r="S563"/>
      <c r="T563"/>
      <c r="U563"/>
      <c r="V563"/>
      <c r="W563"/>
      <c r="X563"/>
      <c r="Y563"/>
      <c r="Z563"/>
      <c r="AA563"/>
      <c r="AB563"/>
      <c r="AC563"/>
      <c r="AD563"/>
      <c r="AE563"/>
      <c r="AF563"/>
      <c r="AG563"/>
      <c r="AH563"/>
      <c r="AI563"/>
      <c r="AJ563"/>
      <c r="AK563"/>
      <c r="AL563"/>
    </row>
    <row r="564" spans="6:38" s="3" customFormat="1" ht="14.45">
      <c r="F564" s="23"/>
      <c r="G564" s="23"/>
      <c r="H564" s="23"/>
      <c r="I564" s="23"/>
      <c r="R564"/>
      <c r="S564"/>
      <c r="T564"/>
      <c r="U564"/>
      <c r="V564"/>
      <c r="W564"/>
      <c r="X564"/>
      <c r="Y564"/>
      <c r="Z564"/>
      <c r="AA564"/>
      <c r="AB564"/>
      <c r="AC564"/>
      <c r="AD564"/>
      <c r="AE564"/>
      <c r="AF564"/>
      <c r="AG564"/>
      <c r="AH564"/>
      <c r="AI564"/>
      <c r="AJ564"/>
      <c r="AK564"/>
      <c r="AL564"/>
    </row>
    <row r="565" spans="6:38" s="3" customFormat="1" ht="14.45">
      <c r="F565" s="23"/>
      <c r="G565" s="23"/>
      <c r="H565" s="23"/>
      <c r="I565" s="23"/>
      <c r="R565"/>
      <c r="S565"/>
      <c r="T565"/>
      <c r="U565"/>
      <c r="V565"/>
      <c r="W565"/>
      <c r="X565"/>
      <c r="Y565"/>
      <c r="Z565"/>
      <c r="AA565"/>
      <c r="AB565"/>
      <c r="AC565"/>
      <c r="AD565"/>
      <c r="AE565"/>
      <c r="AF565"/>
      <c r="AG565"/>
      <c r="AH565"/>
      <c r="AI565"/>
      <c r="AJ565"/>
      <c r="AK565"/>
      <c r="AL565"/>
    </row>
    <row r="566" spans="6:38" s="3" customFormat="1" ht="14.45">
      <c r="F566" s="23"/>
      <c r="G566" s="23"/>
      <c r="H566" s="23"/>
      <c r="I566" s="23"/>
      <c r="R566"/>
      <c r="S566"/>
      <c r="T566"/>
      <c r="U566"/>
      <c r="V566"/>
      <c r="W566"/>
      <c r="X566"/>
      <c r="Y566"/>
      <c r="Z566"/>
      <c r="AA566"/>
      <c r="AB566"/>
      <c r="AC566"/>
      <c r="AD566"/>
      <c r="AE566"/>
      <c r="AF566"/>
      <c r="AG566"/>
      <c r="AH566"/>
      <c r="AI566"/>
      <c r="AJ566"/>
      <c r="AK566"/>
      <c r="AL566"/>
    </row>
    <row r="567" spans="6:38" s="3" customFormat="1" ht="14.45">
      <c r="F567" s="23"/>
      <c r="G567" s="23"/>
      <c r="H567" s="23"/>
      <c r="I567" s="23"/>
      <c r="R567"/>
      <c r="S567"/>
      <c r="T567"/>
      <c r="U567"/>
      <c r="V567"/>
      <c r="W567"/>
      <c r="X567"/>
      <c r="Y567"/>
      <c r="Z567"/>
      <c r="AA567"/>
      <c r="AB567"/>
      <c r="AC567"/>
      <c r="AD567"/>
      <c r="AE567"/>
      <c r="AF567"/>
      <c r="AG567"/>
      <c r="AH567"/>
      <c r="AI567"/>
      <c r="AJ567"/>
      <c r="AK567"/>
      <c r="AL567"/>
    </row>
    <row r="568" spans="6:38" s="3" customFormat="1" ht="14.45">
      <c r="F568" s="23"/>
      <c r="G568" s="23"/>
      <c r="H568" s="23"/>
      <c r="I568" s="23"/>
      <c r="R568"/>
      <c r="S568"/>
      <c r="T568"/>
      <c r="U568"/>
      <c r="V568"/>
      <c r="W568"/>
      <c r="X568"/>
      <c r="Y568"/>
      <c r="Z568"/>
      <c r="AA568"/>
      <c r="AB568"/>
      <c r="AC568"/>
      <c r="AD568"/>
      <c r="AE568"/>
      <c r="AF568"/>
      <c r="AG568"/>
      <c r="AH568"/>
      <c r="AI568"/>
      <c r="AJ568"/>
      <c r="AK568"/>
      <c r="AL568"/>
    </row>
    <row r="569" spans="6:38" s="3" customFormat="1" ht="14.45">
      <c r="F569" s="23"/>
      <c r="G569" s="23"/>
      <c r="H569" s="23"/>
      <c r="I569" s="23"/>
      <c r="R569"/>
      <c r="S569"/>
      <c r="T569"/>
      <c r="U569"/>
      <c r="V569"/>
      <c r="W569"/>
      <c r="X569"/>
      <c r="Y569"/>
      <c r="Z569"/>
      <c r="AA569"/>
      <c r="AB569"/>
      <c r="AC569"/>
      <c r="AD569"/>
      <c r="AE569"/>
      <c r="AF569"/>
      <c r="AG569"/>
      <c r="AH569"/>
      <c r="AI569"/>
      <c r="AJ569"/>
      <c r="AK569"/>
      <c r="AL569"/>
    </row>
    <row r="570" spans="6:38" s="3" customFormat="1" ht="14.45">
      <c r="F570" s="23"/>
      <c r="G570" s="23"/>
      <c r="H570" s="23"/>
      <c r="I570" s="23"/>
      <c r="R570"/>
      <c r="S570"/>
      <c r="T570"/>
      <c r="U570"/>
      <c r="V570"/>
      <c r="W570"/>
      <c r="X570"/>
      <c r="Y570"/>
      <c r="Z570"/>
      <c r="AA570"/>
      <c r="AB570"/>
      <c r="AC570"/>
      <c r="AD570"/>
      <c r="AE570"/>
      <c r="AF570"/>
      <c r="AG570"/>
      <c r="AH570"/>
      <c r="AI570"/>
      <c r="AJ570"/>
      <c r="AK570"/>
      <c r="AL570"/>
    </row>
    <row r="571" spans="6:38" s="3" customFormat="1" ht="14.45">
      <c r="F571" s="23"/>
      <c r="G571" s="23"/>
      <c r="H571" s="23"/>
      <c r="I571" s="23"/>
      <c r="R571"/>
      <c r="S571"/>
      <c r="T571"/>
      <c r="U571"/>
      <c r="V571"/>
      <c r="W571"/>
      <c r="X571"/>
      <c r="Y571"/>
      <c r="Z571"/>
      <c r="AA571"/>
      <c r="AB571"/>
      <c r="AC571"/>
      <c r="AD571"/>
      <c r="AE571"/>
      <c r="AF571"/>
      <c r="AG571"/>
      <c r="AH571"/>
      <c r="AI571"/>
      <c r="AJ571"/>
      <c r="AK571"/>
      <c r="AL571"/>
    </row>
    <row r="572" spans="6:38" s="3" customFormat="1" ht="14.45">
      <c r="F572" s="23"/>
      <c r="G572" s="23"/>
      <c r="H572" s="23"/>
      <c r="I572" s="23"/>
      <c r="R572"/>
      <c r="S572"/>
      <c r="T572"/>
      <c r="U572"/>
      <c r="V572"/>
      <c r="W572"/>
      <c r="X572"/>
      <c r="Y572"/>
      <c r="Z572"/>
      <c r="AA572"/>
      <c r="AB572"/>
      <c r="AC572"/>
      <c r="AD572"/>
      <c r="AE572"/>
      <c r="AF572"/>
      <c r="AG572"/>
      <c r="AH572"/>
      <c r="AI572"/>
      <c r="AJ572"/>
      <c r="AK572"/>
      <c r="AL572"/>
    </row>
    <row r="573" spans="6:38" s="3" customFormat="1" ht="14.45">
      <c r="F573" s="23"/>
      <c r="G573" s="23"/>
      <c r="H573" s="23"/>
      <c r="I573" s="23"/>
      <c r="R573"/>
      <c r="S573"/>
      <c r="T573"/>
      <c r="U573"/>
      <c r="V573"/>
      <c r="W573"/>
      <c r="X573"/>
      <c r="Y573"/>
      <c r="Z573"/>
      <c r="AA573"/>
      <c r="AB573"/>
      <c r="AC573"/>
      <c r="AD573"/>
      <c r="AE573"/>
      <c r="AF573"/>
      <c r="AG573"/>
      <c r="AH573"/>
      <c r="AI573"/>
      <c r="AJ573"/>
      <c r="AK573"/>
      <c r="AL573"/>
    </row>
    <row r="574" spans="6:38" s="3" customFormat="1" ht="14.45">
      <c r="F574" s="23"/>
      <c r="G574" s="23"/>
      <c r="H574" s="23"/>
      <c r="I574" s="23"/>
      <c r="R574"/>
      <c r="S574"/>
      <c r="T574"/>
      <c r="U574"/>
      <c r="V574"/>
      <c r="W574"/>
      <c r="X574"/>
      <c r="Y574"/>
      <c r="Z574"/>
      <c r="AA574"/>
      <c r="AB574"/>
      <c r="AC574"/>
      <c r="AD574"/>
      <c r="AE574"/>
      <c r="AF574"/>
      <c r="AG574"/>
      <c r="AH574"/>
      <c r="AI574"/>
      <c r="AJ574"/>
      <c r="AK574"/>
      <c r="AL574"/>
    </row>
    <row r="575" spans="6:38" s="3" customFormat="1" ht="14.45">
      <c r="F575" s="23"/>
      <c r="G575" s="23"/>
      <c r="H575" s="23"/>
      <c r="I575" s="23"/>
      <c r="R575"/>
      <c r="S575"/>
      <c r="T575"/>
      <c r="U575"/>
      <c r="V575"/>
      <c r="W575"/>
      <c r="X575"/>
      <c r="Y575"/>
      <c r="Z575"/>
      <c r="AA575"/>
      <c r="AB575"/>
      <c r="AC575"/>
      <c r="AD575"/>
      <c r="AE575"/>
      <c r="AF575"/>
      <c r="AG575"/>
      <c r="AH575"/>
      <c r="AI575"/>
      <c r="AJ575"/>
      <c r="AK575"/>
      <c r="AL575"/>
    </row>
    <row r="576" spans="6:38" s="3" customFormat="1" ht="14.45">
      <c r="F576" s="23"/>
      <c r="G576" s="23"/>
      <c r="H576" s="23"/>
      <c r="I576" s="23"/>
      <c r="R576"/>
      <c r="S576"/>
      <c r="T576"/>
      <c r="U576"/>
      <c r="V576"/>
      <c r="W576"/>
      <c r="X576"/>
      <c r="Y576"/>
      <c r="Z576"/>
      <c r="AA576"/>
      <c r="AB576"/>
      <c r="AC576"/>
      <c r="AD576"/>
      <c r="AE576"/>
      <c r="AF576"/>
      <c r="AG576"/>
      <c r="AH576"/>
      <c r="AI576"/>
      <c r="AJ576"/>
      <c r="AK576"/>
      <c r="AL576"/>
    </row>
    <row r="577" spans="6:38" s="3" customFormat="1" ht="14.45">
      <c r="F577" s="23"/>
      <c r="G577" s="23"/>
      <c r="H577" s="23"/>
      <c r="I577" s="23"/>
      <c r="R577"/>
      <c r="S577"/>
      <c r="T577"/>
      <c r="U577"/>
      <c r="V577"/>
      <c r="W577"/>
      <c r="X577"/>
      <c r="Y577"/>
      <c r="Z577"/>
      <c r="AA577"/>
      <c r="AB577"/>
      <c r="AC577"/>
      <c r="AD577"/>
      <c r="AE577"/>
      <c r="AF577"/>
      <c r="AG577"/>
      <c r="AH577"/>
      <c r="AI577"/>
      <c r="AJ577"/>
      <c r="AK577"/>
      <c r="AL577"/>
    </row>
    <row r="578" spans="6:38" s="3" customFormat="1" ht="14.45">
      <c r="F578" s="23"/>
      <c r="G578" s="23"/>
      <c r="H578" s="23"/>
      <c r="I578" s="23"/>
      <c r="R578"/>
      <c r="S578"/>
      <c r="T578"/>
      <c r="U578"/>
      <c r="V578"/>
      <c r="W578"/>
      <c r="X578"/>
      <c r="Y578"/>
      <c r="Z578"/>
      <c r="AA578"/>
      <c r="AB578"/>
      <c r="AC578"/>
      <c r="AD578"/>
      <c r="AE578"/>
      <c r="AF578"/>
      <c r="AG578"/>
      <c r="AH578"/>
      <c r="AI578"/>
      <c r="AJ578"/>
      <c r="AK578"/>
      <c r="AL578"/>
    </row>
    <row r="579" spans="6:38" s="3" customFormat="1" ht="14.45">
      <c r="F579" s="23"/>
      <c r="G579" s="23"/>
      <c r="H579" s="23"/>
      <c r="I579" s="23"/>
      <c r="R579"/>
      <c r="S579"/>
      <c r="T579"/>
      <c r="U579"/>
      <c r="V579"/>
      <c r="W579"/>
      <c r="X579"/>
      <c r="Y579"/>
      <c r="Z579"/>
      <c r="AA579"/>
      <c r="AB579"/>
      <c r="AC579"/>
      <c r="AD579"/>
      <c r="AE579"/>
      <c r="AF579"/>
      <c r="AG579"/>
      <c r="AH579"/>
      <c r="AI579"/>
      <c r="AJ579"/>
      <c r="AK579"/>
      <c r="AL579"/>
    </row>
    <row r="580" spans="6:38" s="3" customFormat="1" ht="14.45">
      <c r="F580" s="23"/>
      <c r="G580" s="23"/>
      <c r="H580" s="23"/>
      <c r="I580" s="23"/>
      <c r="R580"/>
      <c r="S580"/>
      <c r="T580"/>
      <c r="U580"/>
      <c r="V580"/>
      <c r="W580"/>
      <c r="X580"/>
      <c r="Y580"/>
      <c r="Z580"/>
      <c r="AA580"/>
      <c r="AB580"/>
      <c r="AC580"/>
      <c r="AD580"/>
      <c r="AE580"/>
      <c r="AF580"/>
      <c r="AG580"/>
      <c r="AH580"/>
      <c r="AI580"/>
      <c r="AJ580"/>
      <c r="AK580"/>
      <c r="AL580"/>
    </row>
    <row r="581" spans="6:38" s="3" customFormat="1" ht="14.45">
      <c r="F581" s="23"/>
      <c r="G581" s="23"/>
      <c r="H581" s="23"/>
      <c r="I581" s="23"/>
      <c r="R581"/>
      <c r="S581"/>
      <c r="T581"/>
      <c r="U581"/>
      <c r="V581"/>
      <c r="W581"/>
      <c r="X581"/>
      <c r="Y581"/>
      <c r="Z581"/>
      <c r="AA581"/>
      <c r="AB581"/>
      <c r="AC581"/>
      <c r="AD581"/>
      <c r="AE581"/>
      <c r="AF581"/>
      <c r="AG581"/>
      <c r="AH581"/>
      <c r="AI581"/>
      <c r="AJ581"/>
      <c r="AK581"/>
      <c r="AL581"/>
    </row>
    <row r="582" spans="6:38" s="3" customFormat="1" ht="14.45">
      <c r="F582" s="23"/>
      <c r="G582" s="23"/>
      <c r="H582" s="23"/>
      <c r="I582" s="23"/>
      <c r="R582"/>
      <c r="S582"/>
      <c r="T582"/>
      <c r="U582"/>
      <c r="V582"/>
      <c r="W582"/>
      <c r="X582"/>
      <c r="Y582"/>
      <c r="Z582"/>
      <c r="AA582"/>
      <c r="AB582"/>
      <c r="AC582"/>
      <c r="AD582"/>
      <c r="AE582"/>
      <c r="AF582"/>
      <c r="AG582"/>
      <c r="AH582"/>
      <c r="AI582"/>
      <c r="AJ582"/>
      <c r="AK582"/>
      <c r="AL582"/>
    </row>
    <row r="583" spans="6:38" s="3" customFormat="1" ht="14.45">
      <c r="F583" s="23"/>
      <c r="G583" s="23"/>
      <c r="H583" s="23"/>
      <c r="I583" s="23"/>
      <c r="R583"/>
      <c r="S583"/>
      <c r="T583"/>
      <c r="U583"/>
      <c r="V583"/>
      <c r="W583"/>
      <c r="X583"/>
      <c r="Y583"/>
      <c r="Z583"/>
      <c r="AA583"/>
      <c r="AB583"/>
      <c r="AC583"/>
      <c r="AD583"/>
      <c r="AE583"/>
      <c r="AF583"/>
      <c r="AG583"/>
      <c r="AH583"/>
      <c r="AI583"/>
      <c r="AJ583"/>
      <c r="AK583"/>
      <c r="AL583"/>
    </row>
    <row r="584" spans="6:38" s="3" customFormat="1" ht="14.45">
      <c r="F584" s="23"/>
      <c r="G584" s="23"/>
      <c r="H584" s="23"/>
      <c r="I584" s="23"/>
      <c r="R584"/>
      <c r="S584"/>
      <c r="T584"/>
      <c r="U584"/>
      <c r="V584"/>
      <c r="W584"/>
      <c r="X584"/>
      <c r="Y584"/>
      <c r="Z584"/>
      <c r="AA584"/>
      <c r="AB584"/>
      <c r="AC584"/>
      <c r="AD584"/>
      <c r="AE584"/>
      <c r="AF584"/>
      <c r="AG584"/>
      <c r="AH584"/>
      <c r="AI584"/>
      <c r="AJ584"/>
      <c r="AK584"/>
      <c r="AL584"/>
    </row>
    <row r="585" spans="6:38" s="3" customFormat="1" ht="14.45">
      <c r="F585" s="23"/>
      <c r="G585" s="23"/>
      <c r="H585" s="23"/>
      <c r="I585" s="23"/>
      <c r="R585"/>
      <c r="S585"/>
      <c r="T585"/>
      <c r="U585"/>
      <c r="V585"/>
      <c r="W585"/>
      <c r="X585"/>
      <c r="Y585"/>
      <c r="Z585"/>
      <c r="AA585"/>
      <c r="AB585"/>
      <c r="AC585"/>
      <c r="AD585"/>
      <c r="AE585"/>
      <c r="AF585"/>
      <c r="AG585"/>
      <c r="AH585"/>
      <c r="AI585"/>
      <c r="AJ585"/>
      <c r="AK585"/>
      <c r="AL585"/>
    </row>
    <row r="586" spans="6:38" s="3" customFormat="1" ht="14.45">
      <c r="F586" s="23"/>
      <c r="G586" s="23"/>
      <c r="H586" s="23"/>
      <c r="I586" s="23"/>
      <c r="R586"/>
      <c r="S586"/>
      <c r="T586"/>
      <c r="U586"/>
      <c r="V586"/>
      <c r="W586"/>
      <c r="X586"/>
      <c r="Y586"/>
      <c r="Z586"/>
      <c r="AA586"/>
      <c r="AB586"/>
      <c r="AC586"/>
      <c r="AD586"/>
      <c r="AE586"/>
      <c r="AF586"/>
      <c r="AG586"/>
      <c r="AH586"/>
      <c r="AI586"/>
      <c r="AJ586"/>
      <c r="AK586"/>
      <c r="AL586"/>
    </row>
    <row r="587" spans="6:38" s="3" customFormat="1" ht="14.45">
      <c r="F587" s="23"/>
      <c r="G587" s="23"/>
      <c r="H587" s="23"/>
      <c r="I587" s="23"/>
      <c r="R587"/>
      <c r="S587"/>
      <c r="T587"/>
      <c r="U587"/>
      <c r="V587"/>
      <c r="W587"/>
      <c r="X587"/>
      <c r="Y587"/>
      <c r="Z587"/>
      <c r="AA587"/>
      <c r="AB587"/>
      <c r="AC587"/>
      <c r="AD587"/>
      <c r="AE587"/>
      <c r="AF587"/>
      <c r="AG587"/>
      <c r="AH587"/>
      <c r="AI587"/>
      <c r="AJ587"/>
      <c r="AK587"/>
      <c r="AL587"/>
    </row>
    <row r="588" spans="6:38" s="3" customFormat="1" ht="14.45">
      <c r="F588" s="23"/>
      <c r="G588" s="23"/>
      <c r="H588" s="23"/>
      <c r="I588" s="23"/>
      <c r="R588"/>
      <c r="S588"/>
      <c r="T588"/>
      <c r="U588"/>
      <c r="V588"/>
      <c r="W588"/>
      <c r="X588"/>
      <c r="Y588"/>
      <c r="Z588"/>
      <c r="AA588"/>
      <c r="AB588"/>
      <c r="AC588"/>
      <c r="AD588"/>
      <c r="AE588"/>
      <c r="AF588"/>
      <c r="AG588"/>
      <c r="AH588"/>
      <c r="AI588"/>
      <c r="AJ588"/>
      <c r="AK588"/>
      <c r="AL588"/>
    </row>
    <row r="589" spans="6:38" s="3" customFormat="1" ht="14.45">
      <c r="F589" s="23"/>
      <c r="G589" s="23"/>
      <c r="H589" s="23"/>
      <c r="I589" s="23"/>
      <c r="R589"/>
      <c r="S589"/>
      <c r="T589"/>
      <c r="U589"/>
      <c r="V589"/>
      <c r="W589"/>
      <c r="X589"/>
      <c r="Y589"/>
      <c r="Z589"/>
      <c r="AA589"/>
      <c r="AB589"/>
      <c r="AC589"/>
      <c r="AD589"/>
      <c r="AE589"/>
      <c r="AF589"/>
      <c r="AG589"/>
      <c r="AH589"/>
      <c r="AI589"/>
      <c r="AJ589"/>
      <c r="AK589"/>
      <c r="AL589"/>
    </row>
    <row r="590" spans="6:38" s="3" customFormat="1" ht="14.45">
      <c r="F590" s="23"/>
      <c r="G590" s="23"/>
      <c r="H590" s="23"/>
      <c r="I590" s="23"/>
      <c r="R590"/>
      <c r="S590"/>
      <c r="T590"/>
      <c r="U590"/>
      <c r="V590"/>
      <c r="W590"/>
      <c r="X590"/>
      <c r="Y590"/>
      <c r="Z590"/>
      <c r="AA590"/>
      <c r="AB590"/>
      <c r="AC590"/>
      <c r="AD590"/>
      <c r="AE590"/>
      <c r="AF590"/>
      <c r="AG590"/>
      <c r="AH590"/>
      <c r="AI590"/>
      <c r="AJ590"/>
      <c r="AK590"/>
      <c r="AL590"/>
    </row>
    <row r="591" spans="6:38" s="3" customFormat="1" ht="14.45">
      <c r="F591" s="23"/>
      <c r="G591" s="23"/>
      <c r="H591" s="23"/>
      <c r="I591" s="23"/>
      <c r="R591"/>
      <c r="S591"/>
      <c r="T591"/>
      <c r="U591"/>
      <c r="V591"/>
      <c r="W591"/>
      <c r="X591"/>
      <c r="Y591"/>
      <c r="Z591"/>
      <c r="AA591"/>
      <c r="AB591"/>
      <c r="AC591"/>
      <c r="AD591"/>
      <c r="AE591"/>
      <c r="AF591"/>
      <c r="AG591"/>
      <c r="AH591"/>
      <c r="AI591"/>
      <c r="AJ591"/>
      <c r="AK591"/>
      <c r="AL591"/>
    </row>
    <row r="592" spans="6:38" s="3" customFormat="1" ht="14.45">
      <c r="F592" s="23"/>
      <c r="G592" s="23"/>
      <c r="H592" s="23"/>
      <c r="I592" s="23"/>
      <c r="R592"/>
      <c r="S592"/>
      <c r="T592"/>
      <c r="U592"/>
      <c r="V592"/>
      <c r="W592"/>
      <c r="X592"/>
      <c r="Y592"/>
      <c r="Z592"/>
      <c r="AA592"/>
      <c r="AB592"/>
      <c r="AC592"/>
      <c r="AD592"/>
      <c r="AE592"/>
      <c r="AF592"/>
      <c r="AG592"/>
      <c r="AH592"/>
      <c r="AI592"/>
      <c r="AJ592"/>
      <c r="AK592"/>
      <c r="AL592"/>
    </row>
    <row r="593" spans="6:38" s="3" customFormat="1" ht="14.45">
      <c r="F593" s="23"/>
      <c r="G593" s="23"/>
      <c r="H593" s="23"/>
      <c r="I593" s="23"/>
      <c r="R593"/>
      <c r="S593"/>
      <c r="T593"/>
      <c r="U593"/>
      <c r="V593"/>
      <c r="W593"/>
      <c r="X593"/>
      <c r="Y593"/>
      <c r="Z593"/>
      <c r="AA593"/>
      <c r="AB593"/>
      <c r="AC593"/>
      <c r="AD593"/>
      <c r="AE593"/>
      <c r="AF593"/>
      <c r="AG593"/>
      <c r="AH593"/>
      <c r="AI593"/>
      <c r="AJ593"/>
      <c r="AK593"/>
      <c r="AL593"/>
    </row>
    <row r="594" spans="6:38" s="3" customFormat="1" ht="14.45">
      <c r="F594" s="23"/>
      <c r="G594" s="23"/>
      <c r="H594" s="23"/>
      <c r="I594" s="23"/>
      <c r="R594"/>
      <c r="S594"/>
      <c r="T594"/>
      <c r="U594"/>
      <c r="V594"/>
      <c r="W594"/>
      <c r="X594"/>
      <c r="Y594"/>
      <c r="Z594"/>
      <c r="AA594"/>
      <c r="AB594"/>
      <c r="AC594"/>
      <c r="AD594"/>
      <c r="AE594"/>
      <c r="AF594"/>
      <c r="AG594"/>
      <c r="AH594"/>
      <c r="AI594"/>
      <c r="AJ594"/>
      <c r="AK594"/>
      <c r="AL594"/>
    </row>
    <row r="595" spans="6:38" s="3" customFormat="1" ht="14.45">
      <c r="F595" s="23"/>
      <c r="G595" s="23"/>
      <c r="H595" s="23"/>
      <c r="I595" s="23"/>
      <c r="R595"/>
      <c r="S595"/>
      <c r="T595"/>
      <c r="U595"/>
      <c r="V595"/>
      <c r="W595"/>
      <c r="X595"/>
      <c r="Y595"/>
      <c r="Z595"/>
      <c r="AA595"/>
      <c r="AB595"/>
      <c r="AC595"/>
      <c r="AD595"/>
      <c r="AE595"/>
      <c r="AF595"/>
      <c r="AG595"/>
      <c r="AH595"/>
      <c r="AI595"/>
      <c r="AJ595"/>
      <c r="AK595"/>
      <c r="AL595"/>
    </row>
    <row r="596" spans="6:38" s="3" customFormat="1" ht="14.45">
      <c r="F596" s="23"/>
      <c r="G596" s="23"/>
      <c r="H596" s="23"/>
      <c r="I596" s="23"/>
      <c r="R596"/>
      <c r="S596"/>
      <c r="T596"/>
      <c r="U596"/>
      <c r="V596"/>
      <c r="W596"/>
      <c r="X596"/>
      <c r="Y596"/>
      <c r="Z596"/>
      <c r="AA596"/>
      <c r="AB596"/>
      <c r="AC596"/>
      <c r="AD596"/>
      <c r="AE596"/>
      <c r="AF596"/>
      <c r="AG596"/>
      <c r="AH596"/>
      <c r="AI596"/>
      <c r="AJ596"/>
      <c r="AK596"/>
      <c r="AL596"/>
    </row>
    <row r="597" spans="6:38" s="3" customFormat="1" ht="14.45">
      <c r="F597" s="23"/>
      <c r="G597" s="23"/>
      <c r="H597" s="23"/>
      <c r="I597" s="23"/>
      <c r="R597"/>
      <c r="S597"/>
      <c r="T597"/>
      <c r="U597"/>
      <c r="V597"/>
      <c r="W597"/>
      <c r="X597"/>
      <c r="Y597"/>
      <c r="Z597"/>
      <c r="AA597"/>
      <c r="AB597"/>
      <c r="AC597"/>
      <c r="AD597"/>
      <c r="AE597"/>
      <c r="AF597"/>
      <c r="AG597"/>
      <c r="AH597"/>
      <c r="AI597"/>
      <c r="AJ597"/>
      <c r="AK597"/>
      <c r="AL597"/>
    </row>
    <row r="598" spans="6:38" s="3" customFormat="1" ht="14.45">
      <c r="F598" s="23"/>
      <c r="G598" s="23"/>
      <c r="H598" s="23"/>
      <c r="I598" s="23"/>
      <c r="R598"/>
      <c r="S598"/>
      <c r="T598"/>
      <c r="U598"/>
      <c r="V598"/>
      <c r="W598"/>
      <c r="X598"/>
      <c r="Y598"/>
      <c r="Z598"/>
      <c r="AA598"/>
      <c r="AB598"/>
      <c r="AC598"/>
      <c r="AD598"/>
      <c r="AE598"/>
      <c r="AF598"/>
      <c r="AG598"/>
      <c r="AH598"/>
      <c r="AI598"/>
      <c r="AJ598"/>
      <c r="AK598"/>
      <c r="AL598"/>
    </row>
    <row r="599" spans="6:38" s="3" customFormat="1" ht="14.45">
      <c r="F599" s="23"/>
      <c r="G599" s="23"/>
      <c r="H599" s="23"/>
      <c r="I599" s="23"/>
      <c r="R599"/>
      <c r="S599"/>
      <c r="T599"/>
      <c r="U599"/>
      <c r="V599"/>
      <c r="W599"/>
      <c r="X599"/>
      <c r="Y599"/>
      <c r="Z599"/>
      <c r="AA599"/>
      <c r="AB599"/>
      <c r="AC599"/>
      <c r="AD599"/>
      <c r="AE599"/>
      <c r="AF599"/>
      <c r="AG599"/>
      <c r="AH599"/>
      <c r="AI599"/>
      <c r="AJ599"/>
      <c r="AK599"/>
      <c r="AL599"/>
    </row>
    <row r="600" spans="6:38" s="3" customFormat="1" ht="14.45">
      <c r="F600" s="23"/>
      <c r="G600" s="23"/>
      <c r="H600" s="23"/>
      <c r="I600" s="23"/>
      <c r="R600"/>
      <c r="S600"/>
      <c r="T600"/>
      <c r="U600"/>
      <c r="V600"/>
      <c r="W600"/>
      <c r="X600"/>
      <c r="Y600"/>
      <c r="Z600"/>
      <c r="AA600"/>
      <c r="AB600"/>
      <c r="AC600"/>
      <c r="AD600"/>
      <c r="AE600"/>
      <c r="AF600"/>
      <c r="AG600"/>
      <c r="AH600"/>
      <c r="AI600"/>
      <c r="AJ600"/>
      <c r="AK600"/>
      <c r="AL600"/>
    </row>
    <row r="601" spans="6:38" s="3" customFormat="1" ht="14.45">
      <c r="F601" s="23"/>
      <c r="G601" s="23"/>
      <c r="H601" s="23"/>
      <c r="I601" s="23"/>
      <c r="R601"/>
      <c r="S601"/>
      <c r="T601"/>
      <c r="U601"/>
      <c r="V601"/>
      <c r="W601"/>
      <c r="X601"/>
      <c r="Y601"/>
      <c r="Z601"/>
      <c r="AA601"/>
      <c r="AB601"/>
      <c r="AC601"/>
      <c r="AD601"/>
      <c r="AE601"/>
      <c r="AF601"/>
      <c r="AG601"/>
      <c r="AH601"/>
      <c r="AI601"/>
      <c r="AJ601"/>
      <c r="AK601"/>
      <c r="AL601"/>
    </row>
    <row r="602" spans="6:38" s="3" customFormat="1" ht="14.45">
      <c r="F602" s="23"/>
      <c r="G602" s="23"/>
      <c r="H602" s="23"/>
      <c r="I602" s="23"/>
      <c r="R602"/>
      <c r="S602"/>
      <c r="T602"/>
      <c r="U602"/>
      <c r="V602"/>
      <c r="W602"/>
      <c r="X602"/>
      <c r="Y602"/>
      <c r="Z602"/>
      <c r="AA602"/>
      <c r="AB602"/>
      <c r="AC602"/>
      <c r="AD602"/>
      <c r="AE602"/>
      <c r="AF602"/>
      <c r="AG602"/>
      <c r="AH602"/>
      <c r="AI602"/>
      <c r="AJ602"/>
      <c r="AK602"/>
      <c r="AL602"/>
    </row>
    <row r="603" spans="6:38" s="3" customFormat="1" ht="14.45">
      <c r="F603" s="23"/>
      <c r="G603" s="23"/>
      <c r="H603" s="23"/>
      <c r="I603" s="23"/>
      <c r="R603"/>
      <c r="S603"/>
      <c r="T603"/>
      <c r="U603"/>
      <c r="V603"/>
      <c r="W603"/>
      <c r="X603"/>
      <c r="Y603"/>
      <c r="Z603"/>
      <c r="AA603"/>
      <c r="AB603"/>
      <c r="AC603"/>
      <c r="AD603"/>
      <c r="AE603"/>
      <c r="AF603"/>
      <c r="AG603"/>
      <c r="AH603"/>
      <c r="AI603"/>
      <c r="AJ603"/>
      <c r="AK603"/>
      <c r="AL603"/>
    </row>
    <row r="604" spans="6:38" s="3" customFormat="1" ht="14.45">
      <c r="F604" s="23"/>
      <c r="G604" s="23"/>
      <c r="H604" s="23"/>
      <c r="I604" s="23"/>
      <c r="R604"/>
      <c r="S604"/>
      <c r="T604"/>
      <c r="U604"/>
      <c r="V604"/>
      <c r="W604"/>
      <c r="X604"/>
      <c r="Y604"/>
      <c r="Z604"/>
      <c r="AA604"/>
      <c r="AB604"/>
      <c r="AC604"/>
      <c r="AD604"/>
      <c r="AE604"/>
      <c r="AF604"/>
      <c r="AG604"/>
      <c r="AH604"/>
      <c r="AI604"/>
      <c r="AJ604"/>
      <c r="AK604"/>
      <c r="AL604"/>
    </row>
    <row r="605" spans="6:38" s="3" customFormat="1" ht="14.45">
      <c r="F605" s="23"/>
      <c r="G605" s="23"/>
      <c r="H605" s="23"/>
      <c r="I605" s="23"/>
      <c r="R605"/>
      <c r="S605"/>
      <c r="T605"/>
      <c r="U605"/>
      <c r="V605"/>
      <c r="W605"/>
      <c r="X605"/>
      <c r="Y605"/>
      <c r="Z605"/>
      <c r="AA605"/>
      <c r="AB605"/>
      <c r="AC605"/>
      <c r="AD605"/>
      <c r="AE605"/>
      <c r="AF605"/>
      <c r="AG605"/>
      <c r="AH605"/>
      <c r="AI605"/>
      <c r="AJ605"/>
      <c r="AK605"/>
      <c r="AL605"/>
    </row>
    <row r="606" spans="6:38" s="3" customFormat="1" ht="14.45">
      <c r="F606" s="23"/>
      <c r="G606" s="23"/>
      <c r="H606" s="23"/>
      <c r="I606" s="23"/>
      <c r="R606"/>
      <c r="S606"/>
      <c r="T606"/>
      <c r="U606"/>
      <c r="V606"/>
      <c r="W606"/>
      <c r="X606"/>
      <c r="Y606"/>
      <c r="Z606"/>
      <c r="AA606"/>
      <c r="AB606"/>
      <c r="AC606"/>
      <c r="AD606"/>
      <c r="AE606"/>
      <c r="AF606"/>
      <c r="AG606"/>
      <c r="AH606"/>
      <c r="AI606"/>
      <c r="AJ606"/>
      <c r="AK606"/>
      <c r="AL606"/>
    </row>
    <row r="607" spans="6:38" s="3" customFormat="1" ht="14.45">
      <c r="F607" s="23"/>
      <c r="G607" s="23"/>
      <c r="H607" s="23"/>
      <c r="I607" s="23"/>
      <c r="R607"/>
      <c r="S607"/>
      <c r="T607"/>
      <c r="U607"/>
      <c r="V607"/>
      <c r="W607"/>
      <c r="X607"/>
      <c r="Y607"/>
      <c r="Z607"/>
      <c r="AA607"/>
      <c r="AB607"/>
      <c r="AC607"/>
      <c r="AD607"/>
      <c r="AE607"/>
      <c r="AF607"/>
      <c r="AG607"/>
      <c r="AH607"/>
      <c r="AI607"/>
      <c r="AJ607"/>
      <c r="AK607"/>
      <c r="AL607"/>
    </row>
    <row r="608" spans="6:38" s="3" customFormat="1" ht="14.45">
      <c r="F608" s="23"/>
      <c r="G608" s="23"/>
      <c r="H608" s="23"/>
      <c r="I608" s="23"/>
      <c r="R608"/>
      <c r="S608"/>
      <c r="T608"/>
      <c r="U608"/>
      <c r="V608"/>
      <c r="W608"/>
      <c r="X608"/>
      <c r="Y608"/>
      <c r="Z608"/>
      <c r="AA608"/>
      <c r="AB608"/>
      <c r="AC608"/>
      <c r="AD608"/>
      <c r="AE608"/>
      <c r="AF608"/>
      <c r="AG608"/>
      <c r="AH608"/>
      <c r="AI608"/>
      <c r="AJ608"/>
      <c r="AK608"/>
      <c r="AL608"/>
    </row>
    <row r="609" spans="6:38" s="3" customFormat="1" ht="14.45">
      <c r="F609" s="23"/>
      <c r="G609" s="23"/>
      <c r="H609" s="23"/>
      <c r="I609" s="23"/>
      <c r="R609"/>
      <c r="S609"/>
      <c r="T609"/>
      <c r="U609"/>
      <c r="V609"/>
      <c r="W609"/>
      <c r="X609"/>
      <c r="Y609"/>
      <c r="Z609"/>
      <c r="AA609"/>
      <c r="AB609"/>
      <c r="AC609"/>
      <c r="AD609"/>
      <c r="AE609"/>
      <c r="AF609"/>
      <c r="AG609"/>
      <c r="AH609"/>
      <c r="AI609"/>
      <c r="AJ609"/>
      <c r="AK609"/>
      <c r="AL609"/>
    </row>
    <row r="610" spans="6:38" s="3" customFormat="1" ht="14.45">
      <c r="F610" s="23"/>
      <c r="G610" s="23"/>
      <c r="H610" s="23"/>
      <c r="I610" s="23"/>
      <c r="R610"/>
      <c r="S610"/>
      <c r="T610"/>
      <c r="U610"/>
      <c r="V610"/>
      <c r="W610"/>
      <c r="X610"/>
      <c r="Y610"/>
      <c r="Z610"/>
      <c r="AA610"/>
      <c r="AB610"/>
      <c r="AC610"/>
      <c r="AD610"/>
      <c r="AE610"/>
      <c r="AF610"/>
      <c r="AG610"/>
      <c r="AH610"/>
      <c r="AI610"/>
      <c r="AJ610"/>
      <c r="AK610"/>
      <c r="AL610"/>
    </row>
    <row r="611" spans="6:38" s="3" customFormat="1" ht="14.45">
      <c r="F611" s="23"/>
      <c r="G611" s="23"/>
      <c r="H611" s="23"/>
      <c r="I611" s="23"/>
      <c r="R611"/>
      <c r="S611"/>
      <c r="T611"/>
      <c r="U611"/>
      <c r="V611"/>
      <c r="W611"/>
      <c r="X611"/>
      <c r="Y611"/>
      <c r="Z611"/>
      <c r="AA611"/>
      <c r="AB611"/>
      <c r="AC611"/>
      <c r="AD611"/>
      <c r="AE611"/>
      <c r="AF611"/>
      <c r="AG611"/>
      <c r="AH611"/>
      <c r="AI611"/>
      <c r="AJ611"/>
      <c r="AK611"/>
      <c r="AL611"/>
    </row>
    <row r="612" spans="6:38" s="3" customFormat="1" ht="14.45">
      <c r="F612" s="23"/>
      <c r="G612" s="23"/>
      <c r="H612" s="23"/>
      <c r="I612" s="23"/>
      <c r="R612"/>
      <c r="S612"/>
      <c r="T612"/>
      <c r="U612"/>
      <c r="V612"/>
      <c r="W612"/>
      <c r="X612"/>
      <c r="Y612"/>
      <c r="Z612"/>
      <c r="AA612"/>
      <c r="AB612"/>
      <c r="AC612"/>
      <c r="AD612"/>
      <c r="AE612"/>
      <c r="AF612"/>
      <c r="AG612"/>
      <c r="AH612"/>
      <c r="AI612"/>
      <c r="AJ612"/>
      <c r="AK612"/>
      <c r="AL612"/>
    </row>
    <row r="613" spans="6:38" s="3" customFormat="1" ht="14.45">
      <c r="F613" s="23"/>
      <c r="G613" s="23"/>
      <c r="H613" s="23"/>
      <c r="I613" s="23"/>
      <c r="R613"/>
      <c r="S613"/>
      <c r="T613"/>
      <c r="U613"/>
      <c r="V613"/>
      <c r="W613"/>
      <c r="X613"/>
      <c r="Y613"/>
      <c r="Z613"/>
      <c r="AA613"/>
      <c r="AB613"/>
      <c r="AC613"/>
      <c r="AD613"/>
      <c r="AE613"/>
      <c r="AF613"/>
      <c r="AG613"/>
      <c r="AH613"/>
      <c r="AI613"/>
      <c r="AJ613"/>
      <c r="AK613"/>
      <c r="AL613"/>
    </row>
    <row r="614" spans="6:38" s="3" customFormat="1" ht="14.45">
      <c r="F614" s="23"/>
      <c r="G614" s="23"/>
      <c r="H614" s="23"/>
      <c r="I614" s="23"/>
      <c r="R614"/>
      <c r="S614"/>
      <c r="T614"/>
      <c r="U614"/>
      <c r="V614"/>
      <c r="W614"/>
      <c r="X614"/>
      <c r="Y614"/>
      <c r="Z614"/>
      <c r="AA614"/>
      <c r="AB614"/>
      <c r="AC614"/>
      <c r="AD614"/>
      <c r="AE614"/>
      <c r="AF614"/>
      <c r="AG614"/>
      <c r="AH614"/>
      <c r="AI614"/>
      <c r="AJ614"/>
      <c r="AK614"/>
      <c r="AL614"/>
    </row>
    <row r="615" spans="6:38" s="3" customFormat="1" ht="14.45">
      <c r="F615" s="23"/>
      <c r="G615" s="23"/>
      <c r="H615" s="23"/>
      <c r="I615" s="23"/>
      <c r="R615"/>
      <c r="S615"/>
      <c r="T615"/>
      <c r="U615"/>
      <c r="V615"/>
      <c r="W615"/>
      <c r="X615"/>
      <c r="Y615"/>
      <c r="Z615"/>
      <c r="AA615"/>
      <c r="AB615"/>
      <c r="AC615"/>
      <c r="AD615"/>
      <c r="AE615"/>
      <c r="AF615"/>
      <c r="AG615"/>
      <c r="AH615"/>
      <c r="AI615"/>
      <c r="AJ615"/>
      <c r="AK615"/>
      <c r="AL615"/>
    </row>
    <row r="616" spans="6:38" s="3" customFormat="1" ht="14.45">
      <c r="F616" s="23"/>
      <c r="G616" s="23"/>
      <c r="H616" s="23"/>
      <c r="I616" s="23"/>
      <c r="R616"/>
      <c r="S616"/>
      <c r="T616"/>
      <c r="U616"/>
      <c r="V616"/>
      <c r="W616"/>
      <c r="X616"/>
      <c r="Y616"/>
      <c r="Z616"/>
      <c r="AA616"/>
      <c r="AB616"/>
      <c r="AC616"/>
      <c r="AD616"/>
      <c r="AE616"/>
      <c r="AF616"/>
      <c r="AG616"/>
      <c r="AH616"/>
      <c r="AI616"/>
      <c r="AJ616"/>
      <c r="AK616"/>
      <c r="AL616"/>
    </row>
    <row r="617" spans="6:38" s="3" customFormat="1" ht="14.45">
      <c r="F617" s="23"/>
      <c r="G617" s="23"/>
      <c r="H617" s="23"/>
      <c r="I617" s="23"/>
      <c r="R617"/>
      <c r="S617"/>
      <c r="T617"/>
      <c r="U617"/>
      <c r="V617"/>
      <c r="W617"/>
      <c r="X617"/>
      <c r="Y617"/>
      <c r="Z617"/>
      <c r="AA617"/>
      <c r="AB617"/>
      <c r="AC617"/>
      <c r="AD617"/>
      <c r="AE617"/>
      <c r="AF617"/>
      <c r="AG617"/>
      <c r="AH617"/>
      <c r="AI617"/>
      <c r="AJ617"/>
      <c r="AK617"/>
      <c r="AL617"/>
    </row>
    <row r="618" spans="6:38" s="3" customFormat="1" ht="14.45">
      <c r="F618" s="23"/>
      <c r="G618" s="23"/>
      <c r="H618" s="23"/>
      <c r="I618" s="23"/>
      <c r="R618"/>
      <c r="S618"/>
      <c r="T618"/>
      <c r="U618"/>
      <c r="V618"/>
      <c r="W618"/>
      <c r="X618"/>
      <c r="Y618"/>
      <c r="Z618"/>
      <c r="AA618"/>
      <c r="AB618"/>
      <c r="AC618"/>
      <c r="AD618"/>
      <c r="AE618"/>
      <c r="AF618"/>
      <c r="AG618"/>
      <c r="AH618"/>
      <c r="AI618"/>
      <c r="AJ618"/>
      <c r="AK618"/>
      <c r="AL618"/>
    </row>
    <row r="619" spans="6:38" s="3" customFormat="1" ht="14.45">
      <c r="F619" s="23"/>
      <c r="G619" s="23"/>
      <c r="H619" s="23"/>
      <c r="I619" s="23"/>
      <c r="R619"/>
      <c r="S619"/>
      <c r="T619"/>
      <c r="U619"/>
      <c r="V619"/>
      <c r="W619"/>
      <c r="X619"/>
      <c r="Y619"/>
      <c r="Z619"/>
      <c r="AA619"/>
      <c r="AB619"/>
      <c r="AC619"/>
      <c r="AD619"/>
      <c r="AE619"/>
      <c r="AF619"/>
      <c r="AG619"/>
      <c r="AH619"/>
      <c r="AI619"/>
      <c r="AJ619"/>
      <c r="AK619"/>
      <c r="AL619"/>
    </row>
    <row r="620" spans="6:38" s="3" customFormat="1" ht="14.45">
      <c r="F620" s="23"/>
      <c r="G620" s="23"/>
      <c r="H620" s="23"/>
      <c r="I620" s="23"/>
      <c r="R620"/>
      <c r="S620"/>
      <c r="T620"/>
      <c r="U620"/>
      <c r="V620"/>
      <c r="W620"/>
      <c r="X620"/>
      <c r="Y620"/>
      <c r="Z620"/>
      <c r="AA620"/>
      <c r="AB620"/>
      <c r="AC620"/>
      <c r="AD620"/>
      <c r="AE620"/>
      <c r="AF620"/>
      <c r="AG620"/>
      <c r="AH620"/>
      <c r="AI620"/>
      <c r="AJ620"/>
      <c r="AK620"/>
      <c r="AL620"/>
    </row>
    <row r="621" spans="6:38" s="3" customFormat="1" ht="14.45">
      <c r="F621" s="23"/>
      <c r="G621" s="23"/>
      <c r="H621" s="23"/>
      <c r="I621" s="23"/>
      <c r="R621"/>
      <c r="S621"/>
      <c r="T621"/>
      <c r="U621"/>
      <c r="V621"/>
      <c r="W621"/>
      <c r="X621"/>
      <c r="Y621"/>
      <c r="Z621"/>
      <c r="AA621"/>
      <c r="AB621"/>
      <c r="AC621"/>
      <c r="AD621"/>
      <c r="AE621"/>
      <c r="AF621"/>
      <c r="AG621"/>
      <c r="AH621"/>
      <c r="AI621"/>
      <c r="AJ621"/>
      <c r="AK621"/>
      <c r="AL621"/>
    </row>
    <row r="622" spans="6:38" s="3" customFormat="1" ht="14.45">
      <c r="F622" s="23"/>
      <c r="G622" s="23"/>
      <c r="H622" s="23"/>
      <c r="I622" s="23"/>
      <c r="R622"/>
      <c r="S622"/>
      <c r="T622"/>
      <c r="U622"/>
      <c r="V622"/>
      <c r="W622"/>
      <c r="X622"/>
      <c r="Y622"/>
      <c r="Z622"/>
      <c r="AA622"/>
      <c r="AB622"/>
      <c r="AC622"/>
      <c r="AD622"/>
      <c r="AE622"/>
      <c r="AF622"/>
      <c r="AG622"/>
      <c r="AH622"/>
      <c r="AI622"/>
      <c r="AJ622"/>
      <c r="AK622"/>
      <c r="AL622"/>
    </row>
    <row r="623" spans="6:38" s="3" customFormat="1" ht="14.45">
      <c r="F623" s="23"/>
      <c r="G623" s="23"/>
      <c r="H623" s="23"/>
      <c r="I623" s="23"/>
      <c r="R623"/>
      <c r="S623"/>
      <c r="T623"/>
      <c r="U623"/>
      <c r="V623"/>
      <c r="W623"/>
      <c r="X623"/>
      <c r="Y623"/>
      <c r="Z623"/>
      <c r="AA623"/>
      <c r="AB623"/>
      <c r="AC623"/>
      <c r="AD623"/>
      <c r="AE623"/>
      <c r="AF623"/>
      <c r="AG623"/>
      <c r="AH623"/>
      <c r="AI623"/>
      <c r="AJ623"/>
      <c r="AK623"/>
      <c r="AL623"/>
    </row>
    <row r="624" spans="6:38" s="3" customFormat="1" ht="14.45">
      <c r="F624" s="23"/>
      <c r="G624" s="23"/>
      <c r="H624" s="23"/>
      <c r="I624" s="23"/>
      <c r="R624"/>
      <c r="S624"/>
      <c r="T624"/>
      <c r="U624"/>
      <c r="V624"/>
      <c r="W624"/>
      <c r="X624"/>
      <c r="Y624"/>
      <c r="Z624"/>
      <c r="AA624"/>
      <c r="AB624"/>
      <c r="AC624"/>
      <c r="AD624"/>
      <c r="AE624"/>
      <c r="AF624"/>
      <c r="AG624"/>
      <c r="AH624"/>
      <c r="AI624"/>
      <c r="AJ624"/>
      <c r="AK624"/>
      <c r="AL624"/>
    </row>
    <row r="625" spans="6:38" s="3" customFormat="1" ht="14.45">
      <c r="F625" s="23"/>
      <c r="G625" s="23"/>
      <c r="H625" s="23"/>
      <c r="I625" s="23"/>
      <c r="R625"/>
      <c r="S625"/>
      <c r="T625"/>
      <c r="U625"/>
      <c r="V625"/>
      <c r="W625"/>
      <c r="X625"/>
      <c r="Y625"/>
      <c r="Z625"/>
      <c r="AA625"/>
      <c r="AB625"/>
      <c r="AC625"/>
      <c r="AD625"/>
      <c r="AE625"/>
      <c r="AF625"/>
      <c r="AG625"/>
      <c r="AH625"/>
      <c r="AI625"/>
      <c r="AJ625"/>
      <c r="AK625"/>
      <c r="AL625"/>
    </row>
    <row r="626" spans="6:38" s="3" customFormat="1" ht="14.45">
      <c r="F626" s="23"/>
      <c r="G626" s="23"/>
      <c r="H626" s="23"/>
      <c r="I626" s="23"/>
      <c r="R626"/>
      <c r="S626"/>
      <c r="T626"/>
      <c r="U626"/>
      <c r="V626"/>
      <c r="W626"/>
      <c r="X626"/>
      <c r="Y626"/>
      <c r="Z626"/>
      <c r="AA626"/>
      <c r="AB626"/>
      <c r="AC626"/>
      <c r="AD626"/>
      <c r="AE626"/>
      <c r="AF626"/>
      <c r="AG626"/>
      <c r="AH626"/>
      <c r="AI626"/>
      <c r="AJ626"/>
      <c r="AK626"/>
      <c r="AL626"/>
    </row>
    <row r="627" spans="6:38" s="3" customFormat="1" ht="14.45">
      <c r="F627" s="23"/>
      <c r="G627" s="23"/>
      <c r="H627" s="23"/>
      <c r="I627" s="23"/>
      <c r="R627"/>
      <c r="S627"/>
      <c r="T627"/>
      <c r="U627"/>
      <c r="V627"/>
      <c r="W627"/>
      <c r="X627"/>
      <c r="Y627"/>
      <c r="Z627"/>
      <c r="AA627"/>
      <c r="AB627"/>
      <c r="AC627"/>
      <c r="AD627"/>
      <c r="AE627"/>
      <c r="AF627"/>
      <c r="AG627"/>
      <c r="AH627"/>
      <c r="AI627"/>
      <c r="AJ627"/>
      <c r="AK627"/>
      <c r="AL627"/>
    </row>
    <row r="628" spans="6:38" s="3" customFormat="1" ht="14.45">
      <c r="F628" s="23"/>
      <c r="G628" s="23"/>
      <c r="H628" s="23"/>
      <c r="I628" s="23"/>
      <c r="R628"/>
      <c r="S628"/>
      <c r="T628"/>
      <c r="U628"/>
      <c r="V628"/>
      <c r="W628"/>
      <c r="X628"/>
      <c r="Y628"/>
      <c r="Z628"/>
      <c r="AA628"/>
      <c r="AB628"/>
      <c r="AC628"/>
      <c r="AD628"/>
      <c r="AE628"/>
      <c r="AF628"/>
      <c r="AG628"/>
      <c r="AH628"/>
      <c r="AI628"/>
      <c r="AJ628"/>
      <c r="AK628"/>
      <c r="AL628"/>
    </row>
    <row r="629" spans="6:38" s="3" customFormat="1" ht="14.45">
      <c r="F629" s="23"/>
      <c r="G629" s="23"/>
      <c r="H629" s="23"/>
      <c r="I629" s="23"/>
      <c r="R629"/>
      <c r="S629"/>
      <c r="T629"/>
      <c r="U629"/>
      <c r="V629"/>
      <c r="W629"/>
      <c r="X629"/>
      <c r="Y629"/>
      <c r="Z629"/>
      <c r="AA629"/>
      <c r="AB629"/>
      <c r="AC629"/>
      <c r="AD629"/>
      <c r="AE629"/>
      <c r="AF629"/>
      <c r="AG629"/>
      <c r="AH629"/>
      <c r="AI629"/>
      <c r="AJ629"/>
      <c r="AK629"/>
      <c r="AL629"/>
    </row>
    <row r="630" spans="6:38" s="3" customFormat="1" ht="14.45">
      <c r="F630" s="23"/>
      <c r="G630" s="23"/>
      <c r="H630" s="23"/>
      <c r="I630" s="23"/>
      <c r="R630"/>
      <c r="S630"/>
      <c r="T630"/>
      <c r="U630"/>
      <c r="V630"/>
      <c r="W630"/>
      <c r="X630"/>
      <c r="Y630"/>
      <c r="Z630"/>
      <c r="AA630"/>
      <c r="AB630"/>
      <c r="AC630"/>
      <c r="AD630"/>
      <c r="AE630"/>
      <c r="AF630"/>
      <c r="AG630"/>
      <c r="AH630"/>
      <c r="AI630"/>
      <c r="AJ630"/>
      <c r="AK630"/>
      <c r="AL630"/>
    </row>
    <row r="631" spans="6:38" s="3" customFormat="1" ht="14.45">
      <c r="F631" s="23"/>
      <c r="G631" s="23"/>
      <c r="H631" s="23"/>
      <c r="I631" s="23"/>
      <c r="R631"/>
      <c r="S631"/>
      <c r="T631"/>
      <c r="U631"/>
      <c r="V631"/>
      <c r="W631"/>
      <c r="X631"/>
      <c r="Y631"/>
      <c r="Z631"/>
      <c r="AA631"/>
      <c r="AB631"/>
      <c r="AC631"/>
      <c r="AD631"/>
      <c r="AE631"/>
      <c r="AF631"/>
      <c r="AG631"/>
      <c r="AH631"/>
      <c r="AI631"/>
      <c r="AJ631"/>
      <c r="AK631"/>
      <c r="AL631"/>
    </row>
    <row r="632" spans="6:38" s="3" customFormat="1" ht="14.45">
      <c r="F632" s="23"/>
      <c r="G632" s="23"/>
      <c r="H632" s="23"/>
      <c r="I632" s="23"/>
      <c r="R632"/>
      <c r="S632"/>
      <c r="T632"/>
      <c r="U632"/>
      <c r="V632"/>
      <c r="W632"/>
      <c r="X632"/>
      <c r="Y632"/>
      <c r="Z632"/>
      <c r="AA632"/>
      <c r="AB632"/>
      <c r="AC632"/>
      <c r="AD632"/>
      <c r="AE632"/>
      <c r="AF632"/>
      <c r="AG632"/>
      <c r="AH632"/>
      <c r="AI632"/>
      <c r="AJ632"/>
      <c r="AK632"/>
      <c r="AL632"/>
    </row>
    <row r="633" spans="6:38" s="3" customFormat="1" ht="14.45">
      <c r="F633" s="23"/>
      <c r="G633" s="23"/>
      <c r="H633" s="23"/>
      <c r="I633" s="23"/>
      <c r="R633"/>
      <c r="S633"/>
      <c r="T633"/>
      <c r="U633"/>
      <c r="V633"/>
      <c r="W633"/>
      <c r="X633"/>
      <c r="Y633"/>
      <c r="Z633"/>
      <c r="AA633"/>
      <c r="AB633"/>
      <c r="AC633"/>
      <c r="AD633"/>
      <c r="AE633"/>
      <c r="AF633"/>
      <c r="AG633"/>
      <c r="AH633"/>
      <c r="AI633"/>
      <c r="AJ633"/>
      <c r="AK633"/>
      <c r="AL633"/>
    </row>
    <row r="634" spans="6:38" s="3" customFormat="1" ht="14.45">
      <c r="F634" s="23"/>
      <c r="G634" s="23"/>
      <c r="H634" s="23"/>
      <c r="I634" s="23"/>
      <c r="R634"/>
      <c r="S634"/>
      <c r="T634"/>
      <c r="U634"/>
      <c r="V634"/>
      <c r="W634"/>
      <c r="X634"/>
      <c r="Y634"/>
      <c r="Z634"/>
      <c r="AA634"/>
      <c r="AB634"/>
      <c r="AC634"/>
      <c r="AD634"/>
      <c r="AE634"/>
      <c r="AF634"/>
      <c r="AG634"/>
      <c r="AH634"/>
      <c r="AI634"/>
      <c r="AJ634"/>
      <c r="AK634"/>
      <c r="AL634"/>
    </row>
    <row r="635" spans="6:38" s="3" customFormat="1" ht="14.45">
      <c r="F635" s="23"/>
      <c r="G635" s="23"/>
      <c r="H635" s="23"/>
      <c r="I635" s="23"/>
      <c r="R635"/>
      <c r="S635"/>
      <c r="T635"/>
      <c r="U635"/>
      <c r="V635"/>
      <c r="W635"/>
      <c r="X635"/>
      <c r="Y635"/>
      <c r="Z635"/>
      <c r="AA635"/>
      <c r="AB635"/>
      <c r="AC635"/>
      <c r="AD635"/>
      <c r="AE635"/>
      <c r="AF635"/>
      <c r="AG635"/>
      <c r="AH635"/>
      <c r="AI635"/>
      <c r="AJ635"/>
      <c r="AK635"/>
      <c r="AL635"/>
    </row>
    <row r="636" spans="6:38" s="3" customFormat="1" ht="14.45">
      <c r="F636" s="23"/>
      <c r="G636" s="23"/>
      <c r="H636" s="23"/>
      <c r="I636" s="23"/>
      <c r="R636"/>
      <c r="S636"/>
      <c r="T636"/>
      <c r="U636"/>
      <c r="V636"/>
      <c r="W636"/>
      <c r="X636"/>
      <c r="Y636"/>
      <c r="Z636"/>
      <c r="AA636"/>
      <c r="AB636"/>
      <c r="AC636"/>
      <c r="AD636"/>
      <c r="AE636"/>
      <c r="AF636"/>
      <c r="AG636"/>
      <c r="AH636"/>
      <c r="AI636"/>
      <c r="AJ636"/>
      <c r="AK636"/>
      <c r="AL636"/>
    </row>
    <row r="637" spans="6:38" s="3" customFormat="1" ht="14.45">
      <c r="F637" s="23"/>
      <c r="G637" s="23"/>
      <c r="H637" s="23"/>
      <c r="I637" s="23"/>
      <c r="R637"/>
      <c r="S637"/>
      <c r="T637"/>
      <c r="U637"/>
      <c r="V637"/>
      <c r="W637"/>
      <c r="X637"/>
      <c r="Y637"/>
      <c r="Z637"/>
      <c r="AA637"/>
      <c r="AB637"/>
      <c r="AC637"/>
      <c r="AD637"/>
      <c r="AE637"/>
      <c r="AF637"/>
      <c r="AG637"/>
      <c r="AH637"/>
      <c r="AI637"/>
      <c r="AJ637"/>
      <c r="AK637"/>
      <c r="AL637"/>
    </row>
    <row r="638" spans="6:38" s="3" customFormat="1" ht="14.45">
      <c r="F638" s="23"/>
      <c r="G638" s="23"/>
      <c r="H638" s="23"/>
      <c r="I638" s="23"/>
      <c r="R638"/>
      <c r="S638"/>
      <c r="T638"/>
      <c r="U638"/>
      <c r="V638"/>
      <c r="W638"/>
      <c r="X638"/>
      <c r="Y638"/>
      <c r="Z638"/>
      <c r="AA638"/>
      <c r="AB638"/>
      <c r="AC638"/>
      <c r="AD638"/>
      <c r="AE638"/>
      <c r="AF638"/>
      <c r="AG638"/>
      <c r="AH638"/>
      <c r="AI638"/>
      <c r="AJ638"/>
      <c r="AK638"/>
      <c r="AL638"/>
    </row>
    <row r="639" spans="6:38" s="3" customFormat="1" ht="14.45">
      <c r="F639" s="23"/>
      <c r="G639" s="23"/>
      <c r="H639" s="23"/>
      <c r="I639" s="23"/>
      <c r="R639"/>
      <c r="S639"/>
      <c r="T639"/>
      <c r="U639"/>
      <c r="V639"/>
      <c r="W639"/>
      <c r="X639"/>
      <c r="Y639"/>
      <c r="Z639"/>
      <c r="AA639"/>
      <c r="AB639"/>
      <c r="AC639"/>
      <c r="AD639"/>
      <c r="AE639"/>
      <c r="AF639"/>
      <c r="AG639"/>
      <c r="AH639"/>
      <c r="AI639"/>
      <c r="AJ639"/>
      <c r="AK639"/>
      <c r="AL639"/>
    </row>
    <row r="640" spans="6:38" s="3" customFormat="1" ht="14.45">
      <c r="F640" s="23"/>
      <c r="G640" s="23"/>
      <c r="H640" s="23"/>
      <c r="I640" s="23"/>
      <c r="R640"/>
      <c r="S640"/>
      <c r="T640"/>
      <c r="U640"/>
      <c r="V640"/>
      <c r="W640"/>
      <c r="X640"/>
      <c r="Y640"/>
      <c r="Z640"/>
      <c r="AA640"/>
      <c r="AB640"/>
      <c r="AC640"/>
      <c r="AD640"/>
      <c r="AE640"/>
      <c r="AF640"/>
      <c r="AG640"/>
      <c r="AH640"/>
      <c r="AI640"/>
      <c r="AJ640"/>
      <c r="AK640"/>
      <c r="AL640"/>
    </row>
    <row r="641" spans="6:38" s="3" customFormat="1" ht="14.45">
      <c r="F641" s="23"/>
      <c r="G641" s="23"/>
      <c r="H641" s="23"/>
      <c r="I641" s="23"/>
      <c r="R641"/>
      <c r="S641"/>
      <c r="T641"/>
      <c r="U641"/>
      <c r="V641"/>
      <c r="W641"/>
      <c r="X641"/>
      <c r="Y641"/>
      <c r="Z641"/>
      <c r="AA641"/>
      <c r="AB641"/>
      <c r="AC641"/>
      <c r="AD641"/>
      <c r="AE641"/>
      <c r="AF641"/>
      <c r="AG641"/>
      <c r="AH641"/>
      <c r="AI641"/>
      <c r="AJ641"/>
      <c r="AK641"/>
      <c r="AL641"/>
    </row>
    <row r="642" spans="6:38" s="3" customFormat="1" ht="14.45">
      <c r="F642" s="23"/>
      <c r="G642" s="23"/>
      <c r="H642" s="23"/>
      <c r="I642" s="23"/>
      <c r="R642"/>
      <c r="S642"/>
      <c r="T642"/>
      <c r="U642"/>
      <c r="V642"/>
      <c r="W642"/>
      <c r="X642"/>
      <c r="Y642"/>
      <c r="Z642"/>
      <c r="AA642"/>
      <c r="AB642"/>
      <c r="AC642"/>
      <c r="AD642"/>
      <c r="AE642"/>
      <c r="AF642"/>
      <c r="AG642"/>
      <c r="AH642"/>
      <c r="AI642"/>
      <c r="AJ642"/>
      <c r="AK642"/>
      <c r="AL642"/>
    </row>
    <row r="643" spans="6:38" s="3" customFormat="1" ht="14.45">
      <c r="F643" s="23"/>
      <c r="G643" s="23"/>
      <c r="H643" s="23"/>
      <c r="I643" s="23"/>
      <c r="R643"/>
      <c r="S643"/>
      <c r="T643"/>
      <c r="U643"/>
      <c r="V643"/>
      <c r="W643"/>
      <c r="X643"/>
      <c r="Y643"/>
      <c r="Z643"/>
      <c r="AA643"/>
      <c r="AB643"/>
      <c r="AC643"/>
      <c r="AD643"/>
      <c r="AE643"/>
      <c r="AF643"/>
      <c r="AG643"/>
      <c r="AH643"/>
      <c r="AI643"/>
      <c r="AJ643"/>
      <c r="AK643"/>
      <c r="AL643"/>
    </row>
    <row r="644" spans="6:38" s="3" customFormat="1" ht="14.45">
      <c r="F644" s="23"/>
      <c r="G644" s="23"/>
      <c r="H644" s="23"/>
      <c r="I644" s="23"/>
      <c r="R644"/>
      <c r="S644"/>
      <c r="T644"/>
      <c r="U644"/>
      <c r="V644"/>
      <c r="W644"/>
      <c r="X644"/>
      <c r="Y644"/>
      <c r="Z644"/>
      <c r="AA644"/>
      <c r="AB644"/>
      <c r="AC644"/>
      <c r="AD644"/>
      <c r="AE644"/>
      <c r="AF644"/>
      <c r="AG644"/>
      <c r="AH644"/>
      <c r="AI644"/>
      <c r="AJ644"/>
      <c r="AK644"/>
      <c r="AL644"/>
    </row>
    <row r="645" spans="6:38" s="3" customFormat="1" ht="14.45">
      <c r="F645" s="23"/>
      <c r="G645" s="23"/>
      <c r="H645" s="23"/>
      <c r="I645" s="23"/>
      <c r="R645"/>
      <c r="S645"/>
      <c r="T645"/>
      <c r="U645"/>
      <c r="V645"/>
      <c r="W645"/>
      <c r="X645"/>
      <c r="Y645"/>
      <c r="Z645"/>
      <c r="AA645"/>
      <c r="AB645"/>
      <c r="AC645"/>
      <c r="AD645"/>
      <c r="AE645"/>
      <c r="AF645"/>
      <c r="AG645"/>
      <c r="AH645"/>
      <c r="AI645"/>
      <c r="AJ645"/>
      <c r="AK645"/>
      <c r="AL645"/>
    </row>
    <row r="646" spans="6:38" s="3" customFormat="1" ht="14.45">
      <c r="F646" s="23"/>
      <c r="G646" s="23"/>
      <c r="H646" s="23"/>
      <c r="I646" s="23"/>
      <c r="R646"/>
      <c r="S646"/>
      <c r="T646"/>
      <c r="U646"/>
      <c r="V646"/>
      <c r="W646"/>
      <c r="X646"/>
      <c r="Y646"/>
      <c r="Z646"/>
      <c r="AA646"/>
      <c r="AB646"/>
      <c r="AC646"/>
      <c r="AD646"/>
      <c r="AE646"/>
      <c r="AF646"/>
      <c r="AG646"/>
      <c r="AH646"/>
      <c r="AI646"/>
      <c r="AJ646"/>
      <c r="AK646"/>
      <c r="AL646"/>
    </row>
    <row r="647" spans="6:38" s="3" customFormat="1" ht="14.45">
      <c r="F647" s="23"/>
      <c r="G647" s="23"/>
      <c r="H647" s="23"/>
      <c r="I647" s="23"/>
      <c r="R647"/>
      <c r="S647"/>
      <c r="T647"/>
      <c r="U647"/>
      <c r="V647"/>
      <c r="W647"/>
      <c r="X647"/>
      <c r="Y647"/>
      <c r="Z647"/>
      <c r="AA647"/>
      <c r="AB647"/>
      <c r="AC647"/>
      <c r="AD647"/>
      <c r="AE647"/>
      <c r="AF647"/>
      <c r="AG647"/>
      <c r="AH647"/>
      <c r="AI647"/>
      <c r="AJ647"/>
      <c r="AK647"/>
      <c r="AL647"/>
    </row>
    <row r="648" spans="6:38" s="3" customFormat="1" ht="14.45">
      <c r="F648" s="23"/>
      <c r="G648" s="23"/>
      <c r="H648" s="23"/>
      <c r="I648" s="23"/>
      <c r="R648"/>
      <c r="S648"/>
      <c r="T648"/>
      <c r="U648"/>
      <c r="V648"/>
      <c r="W648"/>
      <c r="X648"/>
      <c r="Y648"/>
      <c r="Z648"/>
      <c r="AA648"/>
      <c r="AB648"/>
      <c r="AC648"/>
      <c r="AD648"/>
      <c r="AE648"/>
      <c r="AF648"/>
      <c r="AG648"/>
      <c r="AH648"/>
      <c r="AI648"/>
      <c r="AJ648"/>
      <c r="AK648"/>
      <c r="AL648"/>
    </row>
    <row r="649" spans="6:38" s="3" customFormat="1" ht="14.45">
      <c r="F649" s="23"/>
      <c r="G649" s="23"/>
      <c r="H649" s="23"/>
      <c r="I649" s="23"/>
      <c r="R649"/>
      <c r="S649"/>
      <c r="T649"/>
      <c r="U649"/>
      <c r="V649"/>
      <c r="W649"/>
      <c r="X649"/>
      <c r="Y649"/>
      <c r="Z649"/>
      <c r="AA649"/>
      <c r="AB649"/>
      <c r="AC649"/>
      <c r="AD649"/>
      <c r="AE649"/>
      <c r="AF649"/>
      <c r="AG649"/>
      <c r="AH649"/>
      <c r="AI649"/>
      <c r="AJ649"/>
      <c r="AK649"/>
      <c r="AL649"/>
    </row>
    <row r="650" spans="6:38" s="3" customFormat="1" ht="14.45">
      <c r="F650" s="23"/>
      <c r="G650" s="23"/>
      <c r="H650" s="23"/>
      <c r="I650" s="23"/>
      <c r="R650"/>
      <c r="S650"/>
      <c r="T650"/>
      <c r="U650"/>
      <c r="V650"/>
      <c r="W650"/>
      <c r="X650"/>
      <c r="Y650"/>
      <c r="Z650"/>
      <c r="AA650"/>
      <c r="AB650"/>
      <c r="AC650"/>
      <c r="AD650"/>
      <c r="AE650"/>
      <c r="AF650"/>
      <c r="AG650"/>
      <c r="AH650"/>
      <c r="AI650"/>
      <c r="AJ650"/>
      <c r="AK650"/>
      <c r="AL650"/>
    </row>
    <row r="651" spans="6:38" s="3" customFormat="1" ht="14.45">
      <c r="F651" s="23"/>
      <c r="G651" s="23"/>
      <c r="H651" s="23"/>
      <c r="I651" s="23"/>
      <c r="R651"/>
      <c r="S651"/>
      <c r="T651"/>
      <c r="U651"/>
      <c r="V651"/>
      <c r="W651"/>
      <c r="X651"/>
      <c r="Y651"/>
      <c r="Z651"/>
      <c r="AA651"/>
      <c r="AB651"/>
      <c r="AC651"/>
      <c r="AD651"/>
      <c r="AE651"/>
      <c r="AF651"/>
      <c r="AG651"/>
      <c r="AH651"/>
      <c r="AI651"/>
      <c r="AJ651"/>
      <c r="AK651"/>
      <c r="AL651"/>
    </row>
    <row r="652" spans="6:38" s="3" customFormat="1" ht="14.45">
      <c r="F652" s="23"/>
      <c r="G652" s="23"/>
      <c r="H652" s="23"/>
      <c r="I652" s="23"/>
      <c r="R652"/>
      <c r="S652"/>
      <c r="T652"/>
      <c r="U652"/>
      <c r="V652"/>
      <c r="W652"/>
      <c r="X652"/>
      <c r="Y652"/>
      <c r="Z652"/>
      <c r="AA652"/>
      <c r="AB652"/>
      <c r="AC652"/>
      <c r="AD652"/>
      <c r="AE652"/>
      <c r="AF652"/>
      <c r="AG652"/>
      <c r="AH652"/>
      <c r="AI652"/>
      <c r="AJ652"/>
      <c r="AK652"/>
      <c r="AL652"/>
    </row>
    <row r="653" spans="6:38" s="3" customFormat="1" ht="14.45">
      <c r="F653" s="23"/>
      <c r="G653" s="23"/>
      <c r="H653" s="23"/>
      <c r="I653" s="23"/>
      <c r="R653"/>
      <c r="S653"/>
      <c r="T653"/>
      <c r="U653"/>
      <c r="V653"/>
      <c r="W653"/>
      <c r="X653"/>
      <c r="Y653"/>
      <c r="Z653"/>
      <c r="AA653"/>
      <c r="AB653"/>
      <c r="AC653"/>
      <c r="AD653"/>
      <c r="AE653"/>
      <c r="AF653"/>
      <c r="AG653"/>
      <c r="AH653"/>
      <c r="AI653"/>
      <c r="AJ653"/>
      <c r="AK653"/>
      <c r="AL653"/>
    </row>
    <row r="654" spans="6:38" s="3" customFormat="1" ht="14.45">
      <c r="F654" s="23"/>
      <c r="G654" s="23"/>
      <c r="H654" s="23"/>
      <c r="I654" s="23"/>
      <c r="R654"/>
      <c r="S654"/>
      <c r="T654"/>
      <c r="U654"/>
      <c r="V654"/>
      <c r="W654"/>
      <c r="X654"/>
      <c r="Y654"/>
      <c r="Z654"/>
      <c r="AA654"/>
      <c r="AB654"/>
      <c r="AC654"/>
      <c r="AD654"/>
      <c r="AE654"/>
      <c r="AF654"/>
      <c r="AG654"/>
      <c r="AH654"/>
      <c r="AI654"/>
      <c r="AJ654"/>
      <c r="AK654"/>
      <c r="AL654"/>
    </row>
    <row r="655" spans="6:38" s="3" customFormat="1" ht="14.45">
      <c r="F655" s="23"/>
      <c r="G655" s="23"/>
      <c r="H655" s="23"/>
      <c r="I655" s="23"/>
      <c r="R655"/>
      <c r="S655"/>
      <c r="T655"/>
      <c r="U655"/>
      <c r="V655"/>
      <c r="W655"/>
      <c r="X655"/>
      <c r="Y655"/>
      <c r="Z655"/>
      <c r="AA655"/>
      <c r="AB655"/>
      <c r="AC655"/>
      <c r="AD655"/>
      <c r="AE655"/>
      <c r="AF655"/>
      <c r="AG655"/>
      <c r="AH655"/>
      <c r="AI655"/>
      <c r="AJ655"/>
      <c r="AK655"/>
      <c r="AL655"/>
    </row>
    <row r="656" spans="6:38" s="3" customFormat="1" ht="14.45">
      <c r="F656" s="23"/>
      <c r="G656" s="23"/>
      <c r="H656" s="23"/>
      <c r="I656" s="23"/>
      <c r="R656"/>
      <c r="S656"/>
      <c r="T656"/>
      <c r="U656"/>
      <c r="V656"/>
      <c r="W656"/>
      <c r="X656"/>
      <c r="Y656"/>
      <c r="Z656"/>
      <c r="AA656"/>
      <c r="AB656"/>
      <c r="AC656"/>
      <c r="AD656"/>
      <c r="AE656"/>
      <c r="AF656"/>
      <c r="AG656"/>
      <c r="AH656"/>
      <c r="AI656"/>
      <c r="AJ656"/>
      <c r="AK656"/>
      <c r="AL656"/>
    </row>
    <row r="657" spans="6:38" s="3" customFormat="1" ht="14.45">
      <c r="F657" s="23"/>
      <c r="G657" s="23"/>
      <c r="H657" s="23"/>
      <c r="I657" s="23"/>
      <c r="R657"/>
      <c r="S657"/>
      <c r="T657"/>
      <c r="U657"/>
      <c r="V657"/>
      <c r="W657"/>
      <c r="X657"/>
      <c r="Y657"/>
      <c r="Z657"/>
      <c r="AA657"/>
      <c r="AB657"/>
      <c r="AC657"/>
      <c r="AD657"/>
      <c r="AE657"/>
      <c r="AF657"/>
      <c r="AG657"/>
      <c r="AH657"/>
      <c r="AI657"/>
      <c r="AJ657"/>
      <c r="AK657"/>
      <c r="AL657"/>
    </row>
    <row r="658" spans="6:38" s="3" customFormat="1" ht="14.45">
      <c r="F658" s="23"/>
      <c r="G658" s="23"/>
      <c r="H658" s="23"/>
      <c r="I658" s="23"/>
      <c r="R658"/>
      <c r="S658"/>
      <c r="T658"/>
      <c r="U658"/>
      <c r="V658"/>
      <c r="W658"/>
      <c r="X658"/>
      <c r="Y658"/>
      <c r="Z658"/>
      <c r="AA658"/>
      <c r="AB658"/>
      <c r="AC658"/>
      <c r="AD658"/>
      <c r="AE658"/>
      <c r="AF658"/>
      <c r="AG658"/>
      <c r="AH658"/>
      <c r="AI658"/>
      <c r="AJ658"/>
      <c r="AK658"/>
      <c r="AL658"/>
    </row>
    <row r="659" spans="6:38" s="3" customFormat="1" ht="14.45">
      <c r="F659" s="23"/>
      <c r="G659" s="23"/>
      <c r="H659" s="23"/>
      <c r="I659" s="23"/>
      <c r="R659"/>
      <c r="S659"/>
      <c r="T659"/>
      <c r="U659"/>
      <c r="V659"/>
      <c r="W659"/>
      <c r="X659"/>
      <c r="Y659"/>
      <c r="Z659"/>
      <c r="AA659"/>
      <c r="AB659"/>
      <c r="AC659"/>
      <c r="AD659"/>
      <c r="AE659"/>
      <c r="AF659"/>
      <c r="AG659"/>
      <c r="AH659"/>
      <c r="AI659"/>
      <c r="AJ659"/>
      <c r="AK659"/>
      <c r="AL659"/>
    </row>
    <row r="660" spans="6:38" s="3" customFormat="1" ht="14.45">
      <c r="F660" s="23"/>
      <c r="G660" s="23"/>
      <c r="H660" s="23"/>
      <c r="I660" s="23"/>
      <c r="R660"/>
      <c r="S660"/>
      <c r="T660"/>
      <c r="U660"/>
      <c r="V660"/>
      <c r="W660"/>
      <c r="X660"/>
      <c r="Y660"/>
      <c r="Z660"/>
      <c r="AA660"/>
      <c r="AB660"/>
      <c r="AC660"/>
      <c r="AD660"/>
      <c r="AE660"/>
      <c r="AF660"/>
      <c r="AG660"/>
      <c r="AH660"/>
      <c r="AI660"/>
      <c r="AJ660"/>
      <c r="AK660"/>
      <c r="AL660"/>
    </row>
    <row r="661" spans="6:38" s="3" customFormat="1" ht="14.45">
      <c r="F661" s="23"/>
      <c r="G661" s="23"/>
      <c r="H661" s="23"/>
      <c r="I661" s="23"/>
      <c r="R661"/>
      <c r="S661"/>
      <c r="T661"/>
      <c r="U661"/>
      <c r="V661"/>
      <c r="W661"/>
      <c r="X661"/>
      <c r="Y661"/>
      <c r="Z661"/>
      <c r="AA661"/>
      <c r="AB661"/>
      <c r="AC661"/>
      <c r="AD661"/>
      <c r="AE661"/>
      <c r="AF661"/>
      <c r="AG661"/>
      <c r="AH661"/>
      <c r="AI661"/>
      <c r="AJ661"/>
      <c r="AK661"/>
      <c r="AL661"/>
    </row>
    <row r="662" spans="6:38" s="3" customFormat="1" ht="14.45">
      <c r="F662" s="23"/>
      <c r="G662" s="23"/>
      <c r="H662" s="23"/>
      <c r="I662" s="23"/>
      <c r="R662"/>
      <c r="S662"/>
      <c r="T662"/>
      <c r="U662"/>
      <c r="V662"/>
      <c r="W662"/>
      <c r="X662"/>
      <c r="Y662"/>
      <c r="Z662"/>
      <c r="AA662"/>
      <c r="AB662"/>
      <c r="AC662"/>
      <c r="AD662"/>
      <c r="AE662"/>
      <c r="AF662"/>
      <c r="AG662"/>
      <c r="AH662"/>
      <c r="AI662"/>
      <c r="AJ662"/>
      <c r="AK662"/>
      <c r="AL662"/>
    </row>
    <row r="663" spans="6:38" s="3" customFormat="1" ht="14.45">
      <c r="F663" s="23"/>
      <c r="G663" s="23"/>
      <c r="H663" s="23"/>
      <c r="I663" s="23"/>
      <c r="R663"/>
      <c r="S663"/>
      <c r="T663"/>
      <c r="U663"/>
      <c r="V663"/>
      <c r="W663"/>
      <c r="X663"/>
      <c r="Y663"/>
      <c r="Z663"/>
      <c r="AA663"/>
      <c r="AB663"/>
      <c r="AC663"/>
      <c r="AD663"/>
      <c r="AE663"/>
      <c r="AF663"/>
      <c r="AG663"/>
      <c r="AH663"/>
      <c r="AI663"/>
      <c r="AJ663"/>
      <c r="AK663"/>
      <c r="AL663"/>
    </row>
    <row r="664" spans="6:38" s="3" customFormat="1" ht="14.45">
      <c r="F664" s="23"/>
      <c r="G664" s="23"/>
      <c r="H664" s="23"/>
      <c r="I664" s="23"/>
      <c r="R664"/>
      <c r="S664"/>
      <c r="T664"/>
      <c r="U664"/>
      <c r="V664"/>
      <c r="W664"/>
      <c r="X664"/>
      <c r="Y664"/>
      <c r="Z664"/>
      <c r="AA664"/>
      <c r="AB664"/>
      <c r="AC664"/>
      <c r="AD664"/>
      <c r="AE664"/>
      <c r="AF664"/>
      <c r="AG664"/>
      <c r="AH664"/>
      <c r="AI664"/>
      <c r="AJ664"/>
      <c r="AK664"/>
      <c r="AL664"/>
    </row>
    <row r="665" spans="6:38" s="3" customFormat="1" ht="14.45">
      <c r="F665" s="23"/>
      <c r="G665" s="23"/>
      <c r="H665" s="23"/>
      <c r="I665" s="23"/>
      <c r="R665"/>
      <c r="S665"/>
      <c r="T665"/>
      <c r="U665"/>
      <c r="V665"/>
      <c r="W665"/>
      <c r="X665"/>
      <c r="Y665"/>
      <c r="Z665"/>
      <c r="AA665"/>
      <c r="AB665"/>
      <c r="AC665"/>
      <c r="AD665"/>
      <c r="AE665"/>
      <c r="AF665"/>
      <c r="AG665"/>
      <c r="AH665"/>
      <c r="AI665"/>
      <c r="AJ665"/>
      <c r="AK665"/>
      <c r="AL665"/>
    </row>
    <row r="666" spans="6:38" s="3" customFormat="1" ht="14.45">
      <c r="F666" s="23"/>
      <c r="G666" s="23"/>
      <c r="H666" s="23"/>
      <c r="I666" s="23"/>
      <c r="R666"/>
      <c r="S666"/>
      <c r="T666"/>
      <c r="U666"/>
      <c r="V666"/>
      <c r="W666"/>
      <c r="X666"/>
      <c r="Y666"/>
      <c r="Z666"/>
      <c r="AA666"/>
      <c r="AB666"/>
      <c r="AC666"/>
      <c r="AD666"/>
      <c r="AE666"/>
      <c r="AF666"/>
      <c r="AG666"/>
      <c r="AH666"/>
      <c r="AI666"/>
      <c r="AJ666"/>
      <c r="AK666"/>
      <c r="AL666"/>
    </row>
    <row r="667" spans="6:38" s="3" customFormat="1" ht="14.45">
      <c r="F667" s="23"/>
      <c r="G667" s="23"/>
      <c r="H667" s="23"/>
      <c r="I667" s="23"/>
      <c r="R667"/>
      <c r="S667"/>
      <c r="T667"/>
      <c r="U667"/>
      <c r="V667"/>
      <c r="W667"/>
      <c r="X667"/>
      <c r="Y667"/>
      <c r="Z667"/>
      <c r="AA667"/>
      <c r="AB667"/>
      <c r="AC667"/>
      <c r="AD667"/>
      <c r="AE667"/>
      <c r="AF667"/>
      <c r="AG667"/>
      <c r="AH667"/>
      <c r="AI667"/>
      <c r="AJ667"/>
      <c r="AK667"/>
      <c r="AL667"/>
    </row>
    <row r="668" spans="6:38" s="3" customFormat="1" ht="14.45">
      <c r="F668" s="23"/>
      <c r="G668" s="23"/>
      <c r="H668" s="23"/>
      <c r="I668" s="23"/>
      <c r="R668"/>
      <c r="S668"/>
      <c r="T668"/>
      <c r="U668"/>
      <c r="V668"/>
      <c r="W668"/>
      <c r="X668"/>
      <c r="Y668"/>
      <c r="Z668"/>
      <c r="AA668"/>
      <c r="AB668"/>
      <c r="AC668"/>
      <c r="AD668"/>
      <c r="AE668"/>
      <c r="AF668"/>
      <c r="AG668"/>
      <c r="AH668"/>
      <c r="AI668"/>
      <c r="AJ668"/>
      <c r="AK668"/>
      <c r="AL668"/>
    </row>
    <row r="669" spans="6:38" s="3" customFormat="1" ht="14.45">
      <c r="F669" s="23"/>
      <c r="G669" s="23"/>
      <c r="H669" s="23"/>
      <c r="I669" s="23"/>
      <c r="R669"/>
      <c r="S669"/>
      <c r="T669"/>
      <c r="U669"/>
      <c r="V669"/>
      <c r="W669"/>
      <c r="X669"/>
      <c r="Y669"/>
      <c r="Z669"/>
      <c r="AA669"/>
      <c r="AB669"/>
      <c r="AC669"/>
      <c r="AD669"/>
      <c r="AE669"/>
      <c r="AF669"/>
      <c r="AG669"/>
      <c r="AH669"/>
      <c r="AI669"/>
      <c r="AJ669"/>
      <c r="AK669"/>
      <c r="AL669"/>
    </row>
    <row r="670" spans="6:38" s="3" customFormat="1" ht="14.45">
      <c r="F670" s="23"/>
      <c r="G670" s="23"/>
      <c r="H670" s="23"/>
      <c r="I670" s="23"/>
      <c r="R670"/>
      <c r="S670"/>
      <c r="T670"/>
      <c r="U670"/>
      <c r="V670"/>
      <c r="W670"/>
      <c r="X670"/>
      <c r="Y670"/>
      <c r="Z670"/>
      <c r="AA670"/>
      <c r="AB670"/>
      <c r="AC670"/>
      <c r="AD670"/>
      <c r="AE670"/>
      <c r="AF670"/>
      <c r="AG670"/>
      <c r="AH670"/>
      <c r="AI670"/>
      <c r="AJ670"/>
      <c r="AK670"/>
      <c r="AL670"/>
    </row>
    <row r="671" spans="6:38" s="3" customFormat="1" ht="14.45">
      <c r="F671" s="23"/>
      <c r="G671" s="23"/>
      <c r="H671" s="23"/>
      <c r="I671" s="23"/>
      <c r="R671"/>
      <c r="S671"/>
      <c r="T671"/>
      <c r="U671"/>
      <c r="V671"/>
      <c r="W671"/>
      <c r="X671"/>
      <c r="Y671"/>
      <c r="Z671"/>
      <c r="AA671"/>
      <c r="AB671"/>
      <c r="AC671"/>
      <c r="AD671"/>
      <c r="AE671"/>
      <c r="AF671"/>
      <c r="AG671"/>
      <c r="AH671"/>
      <c r="AI671"/>
      <c r="AJ671"/>
      <c r="AK671"/>
      <c r="AL671"/>
    </row>
    <row r="672" spans="6:38" s="3" customFormat="1" ht="14.45">
      <c r="F672" s="23"/>
      <c r="G672" s="23"/>
      <c r="H672" s="23"/>
      <c r="I672" s="23"/>
      <c r="R672"/>
      <c r="S672"/>
      <c r="T672"/>
      <c r="U672"/>
      <c r="V672"/>
      <c r="W672"/>
      <c r="X672"/>
      <c r="Y672"/>
      <c r="Z672"/>
      <c r="AA672"/>
      <c r="AB672"/>
      <c r="AC672"/>
      <c r="AD672"/>
      <c r="AE672"/>
      <c r="AF672"/>
      <c r="AG672"/>
      <c r="AH672"/>
      <c r="AI672"/>
      <c r="AJ672"/>
      <c r="AK672"/>
      <c r="AL672"/>
    </row>
    <row r="673" spans="6:38" s="3" customFormat="1" ht="14.45">
      <c r="F673" s="23"/>
      <c r="G673" s="23"/>
      <c r="H673" s="23"/>
      <c r="I673" s="23"/>
      <c r="R673"/>
      <c r="S673"/>
      <c r="T673"/>
      <c r="U673"/>
      <c r="V673"/>
      <c r="W673"/>
      <c r="X673"/>
      <c r="Y673"/>
      <c r="Z673"/>
      <c r="AA673"/>
      <c r="AB673"/>
      <c r="AC673"/>
      <c r="AD673"/>
      <c r="AE673"/>
      <c r="AF673"/>
      <c r="AG673"/>
      <c r="AH673"/>
      <c r="AI673"/>
      <c r="AJ673"/>
      <c r="AK673"/>
      <c r="AL673"/>
    </row>
    <row r="674" spans="6:38" s="3" customFormat="1" ht="14.45">
      <c r="F674" s="23"/>
      <c r="G674" s="23"/>
      <c r="H674" s="23"/>
      <c r="I674" s="23"/>
      <c r="R674"/>
      <c r="S674"/>
      <c r="T674"/>
      <c r="U674"/>
      <c r="V674"/>
      <c r="W674"/>
      <c r="X674"/>
      <c r="Y674"/>
      <c r="Z674"/>
      <c r="AA674"/>
      <c r="AB674"/>
      <c r="AC674"/>
      <c r="AD674"/>
      <c r="AE674"/>
      <c r="AF674"/>
      <c r="AG674"/>
      <c r="AH674"/>
      <c r="AI674"/>
      <c r="AJ674"/>
      <c r="AK674"/>
      <c r="AL674"/>
    </row>
    <row r="675" spans="6:38" s="3" customFormat="1" ht="14.45">
      <c r="F675" s="23"/>
      <c r="G675" s="23"/>
      <c r="H675" s="23"/>
      <c r="I675" s="23"/>
      <c r="R675"/>
      <c r="S675"/>
      <c r="T675"/>
      <c r="U675"/>
      <c r="V675"/>
      <c r="W675"/>
      <c r="X675"/>
      <c r="Y675"/>
      <c r="Z675"/>
      <c r="AA675"/>
      <c r="AB675"/>
      <c r="AC675"/>
      <c r="AD675"/>
      <c r="AE675"/>
      <c r="AF675"/>
      <c r="AG675"/>
      <c r="AH675"/>
      <c r="AI675"/>
      <c r="AJ675"/>
      <c r="AK675"/>
      <c r="AL675"/>
    </row>
    <row r="676" spans="6:38" s="3" customFormat="1" ht="14.45">
      <c r="F676" s="23"/>
      <c r="G676" s="23"/>
      <c r="H676" s="23"/>
      <c r="I676" s="23"/>
      <c r="R676"/>
      <c r="S676"/>
      <c r="T676"/>
      <c r="U676"/>
      <c r="V676"/>
      <c r="W676"/>
      <c r="X676"/>
      <c r="Y676"/>
      <c r="Z676"/>
      <c r="AA676"/>
      <c r="AB676"/>
      <c r="AC676"/>
      <c r="AD676"/>
      <c r="AE676"/>
      <c r="AF676"/>
      <c r="AG676"/>
      <c r="AH676"/>
      <c r="AI676"/>
      <c r="AJ676"/>
      <c r="AK676"/>
      <c r="AL676"/>
    </row>
    <row r="677" spans="6:38" s="3" customFormat="1" ht="14.45">
      <c r="F677" s="23"/>
      <c r="G677" s="23"/>
      <c r="H677" s="23"/>
      <c r="I677" s="23"/>
      <c r="R677"/>
      <c r="S677"/>
      <c r="T677"/>
      <c r="U677"/>
      <c r="V677"/>
      <c r="W677"/>
      <c r="X677"/>
      <c r="Y677"/>
      <c r="Z677"/>
      <c r="AA677"/>
      <c r="AB677"/>
      <c r="AC677"/>
      <c r="AD677"/>
      <c r="AE677"/>
      <c r="AF677"/>
      <c r="AG677"/>
      <c r="AH677"/>
      <c r="AI677"/>
      <c r="AJ677"/>
      <c r="AK677"/>
      <c r="AL677"/>
    </row>
    <row r="678" spans="6:38" s="3" customFormat="1" ht="14.45">
      <c r="F678" s="23"/>
      <c r="G678" s="23"/>
      <c r="H678" s="23"/>
      <c r="I678" s="23"/>
      <c r="R678"/>
      <c r="S678"/>
      <c r="T678"/>
      <c r="U678"/>
      <c r="V678"/>
      <c r="W678"/>
      <c r="X678"/>
      <c r="Y678"/>
      <c r="Z678"/>
      <c r="AA678"/>
      <c r="AB678"/>
      <c r="AC678"/>
      <c r="AD678"/>
      <c r="AE678"/>
      <c r="AF678"/>
      <c r="AG678"/>
      <c r="AH678"/>
      <c r="AI678"/>
      <c r="AJ678"/>
      <c r="AK678"/>
      <c r="AL678"/>
    </row>
    <row r="679" spans="6:38" s="3" customFormat="1" ht="14.45">
      <c r="F679" s="23"/>
      <c r="G679" s="23"/>
      <c r="H679" s="23"/>
      <c r="I679" s="23"/>
      <c r="R679"/>
      <c r="S679"/>
      <c r="T679"/>
      <c r="U679"/>
      <c r="V679"/>
      <c r="W679"/>
      <c r="X679"/>
      <c r="Y679"/>
      <c r="Z679"/>
      <c r="AA679"/>
      <c r="AB679"/>
      <c r="AC679"/>
      <c r="AD679"/>
      <c r="AE679"/>
      <c r="AF679"/>
      <c r="AG679"/>
      <c r="AH679"/>
      <c r="AI679"/>
      <c r="AJ679"/>
      <c r="AK679"/>
      <c r="AL679"/>
    </row>
    <row r="680" spans="6:38" s="3" customFormat="1" ht="14.45">
      <c r="F680" s="23"/>
      <c r="G680" s="23"/>
      <c r="H680" s="23"/>
      <c r="I680" s="23"/>
      <c r="R680"/>
      <c r="S680"/>
      <c r="T680"/>
      <c r="U680"/>
      <c r="V680"/>
      <c r="W680"/>
      <c r="X680"/>
      <c r="Y680"/>
      <c r="Z680"/>
      <c r="AA680"/>
      <c r="AB680"/>
      <c r="AC680"/>
      <c r="AD680"/>
      <c r="AE680"/>
      <c r="AF680"/>
      <c r="AG680"/>
      <c r="AH680"/>
      <c r="AI680"/>
      <c r="AJ680"/>
      <c r="AK680"/>
      <c r="AL680"/>
    </row>
    <row r="681" spans="6:38" s="3" customFormat="1" ht="14.45">
      <c r="F681" s="23"/>
      <c r="G681" s="23"/>
      <c r="H681" s="23"/>
      <c r="I681" s="23"/>
      <c r="R681"/>
      <c r="S681"/>
      <c r="T681"/>
      <c r="U681"/>
      <c r="V681"/>
      <c r="W681"/>
      <c r="X681"/>
      <c r="Y681"/>
      <c r="Z681"/>
      <c r="AA681"/>
      <c r="AB681"/>
      <c r="AC681"/>
      <c r="AD681"/>
      <c r="AE681"/>
      <c r="AF681"/>
      <c r="AG681"/>
      <c r="AH681"/>
      <c r="AI681"/>
      <c r="AJ681"/>
      <c r="AK681"/>
      <c r="AL681"/>
    </row>
    <row r="682" spans="6:38" s="3" customFormat="1" ht="14.45">
      <c r="F682" s="23"/>
      <c r="G682" s="23"/>
      <c r="H682" s="23"/>
      <c r="I682" s="23"/>
      <c r="R682"/>
      <c r="S682"/>
      <c r="T682"/>
      <c r="U682"/>
      <c r="V682"/>
      <c r="W682"/>
      <c r="X682"/>
      <c r="Y682"/>
      <c r="Z682"/>
      <c r="AA682"/>
      <c r="AB682"/>
      <c r="AC682"/>
      <c r="AD682"/>
      <c r="AE682"/>
      <c r="AF682"/>
      <c r="AG682"/>
      <c r="AH682"/>
      <c r="AI682"/>
      <c r="AJ682"/>
      <c r="AK682"/>
      <c r="AL682"/>
    </row>
    <row r="683" spans="6:38" s="3" customFormat="1" ht="14.45">
      <c r="F683" s="23"/>
      <c r="G683" s="23"/>
      <c r="H683" s="23"/>
      <c r="I683" s="23"/>
      <c r="R683"/>
      <c r="S683"/>
      <c r="T683"/>
      <c r="U683"/>
      <c r="V683"/>
      <c r="W683"/>
      <c r="X683"/>
      <c r="Y683"/>
      <c r="Z683"/>
      <c r="AA683"/>
      <c r="AB683"/>
      <c r="AC683"/>
      <c r="AD683"/>
      <c r="AE683"/>
      <c r="AF683"/>
      <c r="AG683"/>
      <c r="AH683"/>
      <c r="AI683"/>
      <c r="AJ683"/>
      <c r="AK683"/>
      <c r="AL683"/>
    </row>
    <row r="684" spans="6:38" s="3" customFormat="1" ht="14.45">
      <c r="F684" s="23"/>
      <c r="G684" s="23"/>
      <c r="H684" s="23"/>
      <c r="I684" s="23"/>
      <c r="R684"/>
      <c r="S684"/>
      <c r="T684"/>
      <c r="U684"/>
      <c r="V684"/>
      <c r="W684"/>
      <c r="X684"/>
      <c r="Y684"/>
      <c r="Z684"/>
      <c r="AA684"/>
      <c r="AB684"/>
      <c r="AC684"/>
      <c r="AD684"/>
      <c r="AE684"/>
      <c r="AF684"/>
      <c r="AG684"/>
      <c r="AH684"/>
      <c r="AI684"/>
      <c r="AJ684"/>
      <c r="AK684"/>
      <c r="AL684"/>
    </row>
    <row r="685" spans="6:38" s="3" customFormat="1" ht="14.45">
      <c r="F685" s="23"/>
      <c r="G685" s="23"/>
      <c r="H685" s="23"/>
      <c r="I685" s="23"/>
      <c r="R685"/>
      <c r="S685"/>
      <c r="T685"/>
      <c r="U685"/>
      <c r="V685"/>
      <c r="W685"/>
      <c r="X685"/>
      <c r="Y685"/>
      <c r="Z685"/>
      <c r="AA685"/>
      <c r="AB685"/>
      <c r="AC685"/>
      <c r="AD685"/>
      <c r="AE685"/>
      <c r="AF685"/>
      <c r="AG685"/>
      <c r="AH685"/>
      <c r="AI685"/>
      <c r="AJ685"/>
      <c r="AK685"/>
      <c r="AL685"/>
    </row>
    <row r="686" spans="6:38" s="3" customFormat="1" ht="14.45">
      <c r="F686" s="23"/>
      <c r="G686" s="23"/>
      <c r="H686" s="23"/>
      <c r="I686" s="23"/>
      <c r="R686"/>
      <c r="S686"/>
      <c r="T686"/>
      <c r="U686"/>
      <c r="V686"/>
      <c r="W686"/>
      <c r="X686"/>
      <c r="Y686"/>
      <c r="Z686"/>
      <c r="AA686"/>
      <c r="AB686"/>
      <c r="AC686"/>
      <c r="AD686"/>
      <c r="AE686"/>
      <c r="AF686"/>
      <c r="AG686"/>
      <c r="AH686"/>
      <c r="AI686"/>
      <c r="AJ686"/>
      <c r="AK686"/>
      <c r="AL686"/>
    </row>
    <row r="687" spans="6:38" s="3" customFormat="1" ht="14.45">
      <c r="F687" s="23"/>
      <c r="G687" s="23"/>
      <c r="H687" s="23"/>
      <c r="I687" s="23"/>
      <c r="R687"/>
      <c r="S687"/>
      <c r="T687"/>
      <c r="U687"/>
      <c r="V687"/>
      <c r="W687"/>
      <c r="X687"/>
      <c r="Y687"/>
      <c r="Z687"/>
      <c r="AA687"/>
      <c r="AB687"/>
      <c r="AC687"/>
      <c r="AD687"/>
      <c r="AE687"/>
      <c r="AF687"/>
      <c r="AG687"/>
      <c r="AH687"/>
      <c r="AI687"/>
      <c r="AJ687"/>
      <c r="AK687"/>
      <c r="AL687"/>
    </row>
    <row r="688" spans="6:38" s="3" customFormat="1" ht="14.45">
      <c r="F688" s="23"/>
      <c r="G688" s="23"/>
      <c r="H688" s="23"/>
      <c r="I688" s="23"/>
      <c r="R688"/>
      <c r="S688"/>
      <c r="T688"/>
      <c r="U688"/>
      <c r="V688"/>
      <c r="W688"/>
      <c r="X688"/>
      <c r="Y688"/>
      <c r="Z688"/>
      <c r="AA688"/>
      <c r="AB688"/>
      <c r="AC688"/>
      <c r="AD688"/>
      <c r="AE688"/>
      <c r="AF688"/>
      <c r="AG688"/>
      <c r="AH688"/>
      <c r="AI688"/>
      <c r="AJ688"/>
      <c r="AK688"/>
      <c r="AL688"/>
    </row>
    <row r="689" spans="6:38" s="3" customFormat="1" ht="14.45">
      <c r="F689" s="23"/>
      <c r="G689" s="23"/>
      <c r="H689" s="23"/>
      <c r="I689" s="23"/>
      <c r="R689"/>
      <c r="S689"/>
      <c r="T689"/>
      <c r="U689"/>
      <c r="V689"/>
      <c r="W689"/>
      <c r="X689"/>
      <c r="Y689"/>
      <c r="Z689"/>
      <c r="AA689"/>
      <c r="AB689"/>
      <c r="AC689"/>
      <c r="AD689"/>
      <c r="AE689"/>
      <c r="AF689"/>
      <c r="AG689"/>
      <c r="AH689"/>
      <c r="AI689"/>
      <c r="AJ689"/>
      <c r="AK689"/>
      <c r="AL689"/>
    </row>
    <row r="690" spans="6:38" s="3" customFormat="1" ht="14.45">
      <c r="F690" s="23"/>
      <c r="G690" s="23"/>
      <c r="H690" s="23"/>
      <c r="I690" s="23"/>
      <c r="R690"/>
      <c r="S690"/>
      <c r="T690"/>
      <c r="U690"/>
      <c r="V690"/>
      <c r="W690"/>
      <c r="X690"/>
      <c r="Y690"/>
      <c r="Z690"/>
      <c r="AA690"/>
      <c r="AB690"/>
      <c r="AC690"/>
      <c r="AD690"/>
      <c r="AE690"/>
      <c r="AF690"/>
      <c r="AG690"/>
      <c r="AH690"/>
      <c r="AI690"/>
      <c r="AJ690"/>
      <c r="AK690"/>
      <c r="AL690"/>
    </row>
    <row r="691" spans="6:38" s="3" customFormat="1" ht="14.45">
      <c r="F691" s="23"/>
      <c r="G691" s="23"/>
      <c r="H691" s="23"/>
      <c r="I691" s="23"/>
      <c r="R691"/>
      <c r="S691"/>
      <c r="T691"/>
      <c r="U691"/>
      <c r="V691"/>
      <c r="W691"/>
      <c r="X691"/>
      <c r="Y691"/>
      <c r="Z691"/>
      <c r="AA691"/>
      <c r="AB691"/>
      <c r="AC691"/>
      <c r="AD691"/>
      <c r="AE691"/>
      <c r="AF691"/>
      <c r="AG691"/>
      <c r="AH691"/>
      <c r="AI691"/>
      <c r="AJ691"/>
      <c r="AK691"/>
      <c r="AL691"/>
    </row>
    <row r="692" spans="6:38" s="3" customFormat="1" ht="14.45">
      <c r="F692" s="23"/>
      <c r="G692" s="23"/>
      <c r="H692" s="23"/>
      <c r="I692" s="23"/>
      <c r="R692"/>
      <c r="S692"/>
      <c r="T692"/>
      <c r="U692"/>
      <c r="V692"/>
      <c r="W692"/>
      <c r="X692"/>
      <c r="Y692"/>
      <c r="Z692"/>
      <c r="AA692"/>
      <c r="AB692"/>
      <c r="AC692"/>
      <c r="AD692"/>
      <c r="AE692"/>
      <c r="AF692"/>
      <c r="AG692"/>
      <c r="AH692"/>
      <c r="AI692"/>
      <c r="AJ692"/>
      <c r="AK692"/>
      <c r="AL692"/>
    </row>
    <row r="693" spans="6:38" s="3" customFormat="1" ht="14.45">
      <c r="F693" s="23"/>
      <c r="G693" s="23"/>
      <c r="H693" s="23"/>
      <c r="I693" s="23"/>
      <c r="R693"/>
      <c r="S693"/>
      <c r="T693"/>
      <c r="U693"/>
      <c r="V693"/>
      <c r="W693"/>
      <c r="X693"/>
      <c r="Y693"/>
      <c r="Z693"/>
      <c r="AA693"/>
      <c r="AB693"/>
      <c r="AC693"/>
      <c r="AD693"/>
      <c r="AE693"/>
      <c r="AF693"/>
      <c r="AG693"/>
      <c r="AH693"/>
      <c r="AI693"/>
      <c r="AJ693"/>
      <c r="AK693"/>
      <c r="AL693"/>
    </row>
    <row r="694" spans="6:38" s="3" customFormat="1" ht="14.45">
      <c r="F694" s="23"/>
      <c r="G694" s="23"/>
      <c r="H694" s="23"/>
      <c r="I694" s="23"/>
      <c r="R694"/>
      <c r="S694"/>
      <c r="T694"/>
      <c r="U694"/>
      <c r="V694"/>
      <c r="W694"/>
      <c r="X694"/>
      <c r="Y694"/>
      <c r="Z694"/>
      <c r="AA694"/>
      <c r="AB694"/>
      <c r="AC694"/>
      <c r="AD694"/>
      <c r="AE694"/>
      <c r="AF694"/>
      <c r="AG694"/>
      <c r="AH694"/>
      <c r="AI694"/>
      <c r="AJ694"/>
      <c r="AK694"/>
      <c r="AL694"/>
    </row>
    <row r="695" spans="6:38" s="3" customFormat="1" ht="14.45">
      <c r="F695" s="23"/>
      <c r="G695" s="23"/>
      <c r="H695" s="23"/>
      <c r="I695" s="23"/>
      <c r="R695"/>
      <c r="S695"/>
      <c r="T695"/>
      <c r="U695"/>
      <c r="V695"/>
      <c r="W695"/>
      <c r="X695"/>
      <c r="Y695"/>
      <c r="Z695"/>
      <c r="AA695"/>
      <c r="AB695"/>
      <c r="AC695"/>
      <c r="AD695"/>
      <c r="AE695"/>
      <c r="AF695"/>
      <c r="AG695"/>
      <c r="AH695"/>
      <c r="AI695"/>
      <c r="AJ695"/>
      <c r="AK695"/>
      <c r="AL695"/>
    </row>
    <row r="696" spans="6:38" s="3" customFormat="1" ht="14.45">
      <c r="F696" s="23"/>
      <c r="G696" s="23"/>
      <c r="H696" s="23"/>
      <c r="I696" s="23"/>
      <c r="R696"/>
      <c r="S696"/>
      <c r="T696"/>
      <c r="U696"/>
      <c r="V696"/>
      <c r="W696"/>
      <c r="X696"/>
      <c r="Y696"/>
      <c r="Z696"/>
      <c r="AA696"/>
      <c r="AB696"/>
      <c r="AC696"/>
      <c r="AD696"/>
      <c r="AE696"/>
      <c r="AF696"/>
      <c r="AG696"/>
      <c r="AH696"/>
      <c r="AI696"/>
      <c r="AJ696"/>
      <c r="AK696"/>
      <c r="AL696"/>
    </row>
    <row r="697" spans="6:38" s="3" customFormat="1" ht="14.45">
      <c r="F697" s="23"/>
      <c r="G697" s="23"/>
      <c r="H697" s="23"/>
      <c r="I697" s="23"/>
      <c r="R697"/>
      <c r="S697"/>
      <c r="T697"/>
      <c r="U697"/>
      <c r="V697"/>
      <c r="W697"/>
      <c r="X697"/>
      <c r="Y697"/>
      <c r="Z697"/>
      <c r="AA697"/>
      <c r="AB697"/>
      <c r="AC697"/>
      <c r="AD697"/>
      <c r="AE697"/>
      <c r="AF697"/>
      <c r="AG697"/>
      <c r="AH697"/>
      <c r="AI697"/>
      <c r="AJ697"/>
      <c r="AK697"/>
      <c r="AL697"/>
    </row>
    <row r="698" spans="6:38" s="3" customFormat="1" ht="14.45">
      <c r="F698" s="23"/>
      <c r="G698" s="23"/>
      <c r="H698" s="23"/>
      <c r="I698" s="23"/>
      <c r="R698"/>
      <c r="S698"/>
      <c r="T698"/>
      <c r="U698"/>
      <c r="V698"/>
      <c r="W698"/>
      <c r="X698"/>
      <c r="Y698"/>
      <c r="Z698"/>
      <c r="AA698"/>
      <c r="AB698"/>
      <c r="AC698"/>
      <c r="AD698"/>
      <c r="AE698"/>
      <c r="AF698"/>
      <c r="AG698"/>
      <c r="AH698"/>
      <c r="AI698"/>
      <c r="AJ698"/>
      <c r="AK698"/>
      <c r="AL698"/>
    </row>
    <row r="699" spans="6:38" s="3" customFormat="1" ht="14.45">
      <c r="F699" s="23"/>
      <c r="G699" s="23"/>
      <c r="H699" s="23"/>
      <c r="I699" s="23"/>
      <c r="R699"/>
      <c r="S699"/>
      <c r="T699"/>
      <c r="U699"/>
      <c r="V699"/>
      <c r="W699"/>
      <c r="X699"/>
      <c r="Y699"/>
      <c r="Z699"/>
      <c r="AA699"/>
      <c r="AB699"/>
      <c r="AC699"/>
      <c r="AD699"/>
      <c r="AE699"/>
      <c r="AF699"/>
      <c r="AG699"/>
      <c r="AH699"/>
      <c r="AI699"/>
      <c r="AJ699"/>
      <c r="AK699"/>
      <c r="AL699"/>
    </row>
    <row r="700" spans="6:38" s="3" customFormat="1" ht="14.45">
      <c r="F700" s="23"/>
      <c r="G700" s="23"/>
      <c r="H700" s="23"/>
      <c r="I700" s="23"/>
      <c r="R700"/>
      <c r="S700"/>
      <c r="T700"/>
      <c r="U700"/>
      <c r="V700"/>
      <c r="W700"/>
      <c r="X700"/>
      <c r="Y700"/>
      <c r="Z700"/>
      <c r="AA700"/>
      <c r="AB700"/>
      <c r="AC700"/>
      <c r="AD700"/>
      <c r="AE700"/>
      <c r="AF700"/>
      <c r="AG700"/>
      <c r="AH700"/>
      <c r="AI700"/>
      <c r="AJ700"/>
      <c r="AK700"/>
      <c r="AL700"/>
    </row>
    <row r="701" spans="6:38" s="3" customFormat="1" ht="14.45">
      <c r="F701" s="23"/>
      <c r="G701" s="23"/>
      <c r="H701" s="23"/>
      <c r="I701" s="23"/>
      <c r="R701"/>
      <c r="S701"/>
      <c r="T701"/>
      <c r="U701"/>
      <c r="V701"/>
      <c r="W701"/>
      <c r="X701"/>
      <c r="Y701"/>
      <c r="Z701"/>
      <c r="AA701"/>
      <c r="AB701"/>
      <c r="AC701"/>
      <c r="AD701"/>
      <c r="AE701"/>
      <c r="AF701"/>
      <c r="AG701"/>
      <c r="AH701"/>
      <c r="AI701"/>
      <c r="AJ701"/>
      <c r="AK701"/>
      <c r="AL701"/>
    </row>
    <row r="702" spans="6:38" s="3" customFormat="1" ht="14.45">
      <c r="F702" s="23"/>
      <c r="G702" s="23"/>
      <c r="H702" s="23"/>
      <c r="I702" s="23"/>
      <c r="R702"/>
      <c r="S702"/>
      <c r="T702"/>
      <c r="U702"/>
      <c r="V702"/>
      <c r="W702"/>
      <c r="X702"/>
      <c r="Y702"/>
      <c r="Z702"/>
      <c r="AA702"/>
      <c r="AB702"/>
      <c r="AC702"/>
      <c r="AD702"/>
      <c r="AE702"/>
      <c r="AF702"/>
      <c r="AG702"/>
      <c r="AH702"/>
      <c r="AI702"/>
      <c r="AJ702"/>
      <c r="AK702"/>
      <c r="AL702"/>
    </row>
    <row r="703" spans="6:38" s="3" customFormat="1" ht="14.45">
      <c r="F703" s="23"/>
      <c r="G703" s="23"/>
      <c r="H703" s="23"/>
      <c r="I703" s="23"/>
      <c r="R703"/>
      <c r="S703"/>
      <c r="T703"/>
      <c r="U703"/>
      <c r="V703"/>
      <c r="W703"/>
      <c r="X703"/>
      <c r="Y703"/>
      <c r="Z703"/>
      <c r="AA703"/>
      <c r="AB703"/>
      <c r="AC703"/>
      <c r="AD703"/>
      <c r="AE703"/>
      <c r="AF703"/>
      <c r="AG703"/>
      <c r="AH703"/>
      <c r="AI703"/>
      <c r="AJ703"/>
      <c r="AK703"/>
      <c r="AL703"/>
    </row>
    <row r="704" spans="6:38" s="3" customFormat="1" ht="14.45">
      <c r="F704" s="23"/>
      <c r="G704" s="23"/>
      <c r="H704" s="23"/>
      <c r="I704" s="23"/>
      <c r="R704"/>
      <c r="S704"/>
      <c r="T704"/>
      <c r="U704"/>
      <c r="V704"/>
      <c r="W704"/>
      <c r="X704"/>
      <c r="Y704"/>
      <c r="Z704"/>
      <c r="AA704"/>
      <c r="AB704"/>
      <c r="AC704"/>
      <c r="AD704"/>
      <c r="AE704"/>
      <c r="AF704"/>
      <c r="AG704"/>
      <c r="AH704"/>
      <c r="AI704"/>
      <c r="AJ704"/>
      <c r="AK704"/>
      <c r="AL704"/>
    </row>
    <row r="705" spans="1:38" s="3" customFormat="1" ht="14.45">
      <c r="F705" s="23"/>
      <c r="G705" s="23"/>
      <c r="H705" s="23"/>
      <c r="I705" s="23"/>
      <c r="R705"/>
      <c r="S705"/>
      <c r="T705"/>
      <c r="U705"/>
      <c r="V705"/>
      <c r="W705"/>
      <c r="X705"/>
      <c r="Y705"/>
      <c r="Z705"/>
      <c r="AA705"/>
      <c r="AB705"/>
      <c r="AC705"/>
      <c r="AD705"/>
      <c r="AE705"/>
      <c r="AF705"/>
      <c r="AG705"/>
      <c r="AH705"/>
      <c r="AI705"/>
      <c r="AJ705"/>
      <c r="AK705"/>
      <c r="AL705"/>
    </row>
    <row r="706" spans="1:38" s="3" customFormat="1" ht="14.45">
      <c r="F706" s="23"/>
      <c r="G706" s="23"/>
      <c r="H706" s="23"/>
      <c r="I706" s="23"/>
      <c r="R706"/>
      <c r="S706"/>
      <c r="T706"/>
      <c r="U706"/>
      <c r="V706"/>
      <c r="W706"/>
      <c r="X706"/>
      <c r="Y706"/>
      <c r="Z706"/>
      <c r="AA706"/>
      <c r="AB706"/>
      <c r="AC706"/>
      <c r="AD706"/>
      <c r="AE706"/>
      <c r="AF706"/>
      <c r="AG706"/>
      <c r="AH706"/>
      <c r="AI706"/>
      <c r="AJ706"/>
      <c r="AK706"/>
      <c r="AL706"/>
    </row>
    <row r="707" spans="1:38" s="3" customFormat="1" ht="14.45">
      <c r="F707" s="23"/>
      <c r="G707" s="23"/>
      <c r="H707" s="23"/>
      <c r="I707" s="23"/>
      <c r="R707"/>
      <c r="S707"/>
      <c r="T707"/>
      <c r="U707"/>
      <c r="V707"/>
      <c r="W707"/>
      <c r="X707"/>
      <c r="Y707"/>
      <c r="Z707"/>
      <c r="AA707"/>
      <c r="AB707"/>
      <c r="AC707"/>
      <c r="AD707"/>
      <c r="AE707"/>
      <c r="AF707"/>
      <c r="AG707"/>
      <c r="AH707"/>
      <c r="AI707"/>
      <c r="AJ707"/>
      <c r="AK707"/>
      <c r="AL707"/>
    </row>
    <row r="708" spans="1:38" s="3" customFormat="1" ht="14.45">
      <c r="F708" s="23"/>
      <c r="G708" s="23"/>
      <c r="H708" s="23"/>
      <c r="I708" s="23"/>
      <c r="R708"/>
      <c r="S708"/>
      <c r="T708"/>
      <c r="U708"/>
      <c r="V708"/>
      <c r="W708"/>
      <c r="X708"/>
      <c r="Y708"/>
      <c r="Z708"/>
      <c r="AA708"/>
      <c r="AB708"/>
      <c r="AC708"/>
      <c r="AD708"/>
      <c r="AE708"/>
      <c r="AF708"/>
      <c r="AG708"/>
      <c r="AH708"/>
      <c r="AI708"/>
      <c r="AJ708"/>
      <c r="AK708"/>
      <c r="AL708"/>
    </row>
    <row r="709" spans="1:38" s="3" customFormat="1" ht="14.45">
      <c r="F709" s="23"/>
      <c r="G709" s="23"/>
      <c r="H709" s="23"/>
      <c r="I709" s="23"/>
      <c r="R709"/>
      <c r="S709"/>
      <c r="T709"/>
      <c r="U709"/>
      <c r="V709"/>
      <c r="W709"/>
      <c r="X709"/>
      <c r="Y709"/>
      <c r="Z709"/>
      <c r="AA709"/>
      <c r="AB709"/>
      <c r="AC709"/>
      <c r="AD709"/>
      <c r="AE709"/>
      <c r="AF709"/>
      <c r="AG709"/>
      <c r="AH709"/>
      <c r="AI709"/>
      <c r="AJ709"/>
      <c r="AK709"/>
      <c r="AL709"/>
    </row>
    <row r="710" spans="1:38" s="3" customFormat="1" ht="14.45">
      <c r="F710" s="23"/>
      <c r="G710" s="23"/>
      <c r="H710" s="23"/>
      <c r="I710" s="23"/>
      <c r="R710"/>
      <c r="S710"/>
      <c r="T710"/>
      <c r="U710"/>
      <c r="V710"/>
      <c r="W710"/>
      <c r="X710"/>
      <c r="Y710"/>
      <c r="Z710"/>
      <c r="AA710"/>
      <c r="AB710"/>
      <c r="AC710"/>
      <c r="AD710"/>
      <c r="AE710"/>
      <c r="AF710"/>
      <c r="AG710"/>
      <c r="AH710"/>
      <c r="AI710"/>
      <c r="AJ710"/>
      <c r="AK710"/>
      <c r="AL710"/>
    </row>
    <row r="711" spans="1:38" s="3" customFormat="1" ht="14.45">
      <c r="F711" s="23"/>
      <c r="G711" s="23"/>
      <c r="H711" s="23"/>
      <c r="I711" s="23"/>
      <c r="R711"/>
      <c r="S711"/>
      <c r="T711"/>
      <c r="U711"/>
      <c r="V711"/>
      <c r="W711"/>
      <c r="X711"/>
      <c r="Y711"/>
      <c r="Z711"/>
      <c r="AA711"/>
      <c r="AB711"/>
      <c r="AC711"/>
      <c r="AD711"/>
      <c r="AE711"/>
      <c r="AF711"/>
      <c r="AG711"/>
      <c r="AH711"/>
      <c r="AI711"/>
      <c r="AJ711"/>
      <c r="AK711"/>
      <c r="AL711"/>
    </row>
    <row r="712" spans="1:38" s="3" customFormat="1" ht="14.45">
      <c r="F712" s="23"/>
      <c r="G712" s="23"/>
      <c r="H712" s="23"/>
      <c r="I712" s="23"/>
      <c r="R712"/>
      <c r="S712"/>
      <c r="T712"/>
      <c r="U712"/>
      <c r="V712"/>
      <c r="W712"/>
      <c r="X712"/>
      <c r="Y712"/>
      <c r="Z712"/>
      <c r="AA712"/>
      <c r="AB712"/>
      <c r="AC712"/>
      <c r="AD712"/>
      <c r="AE712"/>
      <c r="AF712"/>
      <c r="AG712"/>
      <c r="AH712"/>
      <c r="AI712"/>
      <c r="AJ712"/>
      <c r="AK712"/>
      <c r="AL712"/>
    </row>
    <row r="713" spans="1:38" s="3" customFormat="1" ht="14.45">
      <c r="F713" s="23"/>
      <c r="G713" s="23"/>
      <c r="H713" s="23"/>
      <c r="I713" s="23"/>
      <c r="R713"/>
      <c r="S713"/>
      <c r="T713"/>
      <c r="U713"/>
      <c r="V713"/>
      <c r="W713"/>
      <c r="X713"/>
      <c r="Y713"/>
      <c r="Z713"/>
      <c r="AA713"/>
      <c r="AB713"/>
      <c r="AC713"/>
      <c r="AD713"/>
      <c r="AE713"/>
      <c r="AF713"/>
      <c r="AG713"/>
      <c r="AH713"/>
      <c r="AI713"/>
      <c r="AJ713"/>
      <c r="AK713"/>
      <c r="AL713"/>
    </row>
    <row r="714" spans="1:38" s="3" customFormat="1" ht="14.45">
      <c r="F714" s="23"/>
      <c r="G714" s="23"/>
      <c r="H714" s="23"/>
      <c r="I714" s="23"/>
      <c r="R714"/>
      <c r="S714"/>
      <c r="T714"/>
      <c r="U714"/>
      <c r="V714"/>
      <c r="W714"/>
      <c r="X714"/>
      <c r="Y714"/>
      <c r="Z714"/>
      <c r="AA714"/>
      <c r="AB714"/>
      <c r="AC714"/>
      <c r="AD714"/>
      <c r="AE714"/>
      <c r="AF714"/>
      <c r="AG714"/>
      <c r="AH714"/>
      <c r="AI714"/>
      <c r="AJ714"/>
      <c r="AK714"/>
      <c r="AL714"/>
    </row>
    <row r="715" spans="1:38" s="3" customFormat="1" ht="14.45">
      <c r="F715" s="23"/>
      <c r="G715" s="23"/>
      <c r="H715" s="23"/>
      <c r="I715" s="23"/>
      <c r="R715"/>
      <c r="S715"/>
      <c r="T715"/>
      <c r="U715"/>
      <c r="V715"/>
      <c r="W715"/>
      <c r="X715"/>
      <c r="Y715"/>
      <c r="Z715"/>
      <c r="AA715"/>
      <c r="AB715"/>
      <c r="AC715"/>
      <c r="AD715"/>
      <c r="AE715"/>
      <c r="AF715"/>
      <c r="AG715"/>
      <c r="AH715"/>
      <c r="AI715"/>
      <c r="AJ715"/>
      <c r="AK715"/>
      <c r="AL715"/>
    </row>
    <row r="716" spans="1:38" s="3" customFormat="1" ht="14.45">
      <c r="F716" s="23"/>
      <c r="G716" s="23"/>
      <c r="H716" s="23"/>
      <c r="I716" s="23"/>
      <c r="R716"/>
      <c r="S716"/>
      <c r="T716"/>
      <c r="U716"/>
      <c r="V716"/>
      <c r="W716"/>
      <c r="X716"/>
      <c r="Y716"/>
      <c r="Z716"/>
      <c r="AA716"/>
      <c r="AB716"/>
      <c r="AC716"/>
      <c r="AD716"/>
      <c r="AE716"/>
      <c r="AF716"/>
      <c r="AG716"/>
      <c r="AH716"/>
      <c r="AI716"/>
      <c r="AJ716"/>
      <c r="AK716"/>
      <c r="AL716"/>
    </row>
    <row r="717" spans="1:38" ht="14.45">
      <c r="A717" s="3"/>
      <c r="B717" s="3"/>
      <c r="C717" s="3"/>
      <c r="D717" s="3"/>
      <c r="E717" s="3"/>
      <c r="F717" s="23"/>
      <c r="G717" s="23"/>
      <c r="H717" s="23"/>
      <c r="I717" s="23"/>
      <c r="J717" s="3"/>
      <c r="K717" s="3"/>
      <c r="L717" s="3"/>
      <c r="M717" s="3"/>
      <c r="N717" s="3"/>
      <c r="O717" s="3"/>
      <c r="P717" s="3"/>
      <c r="Q717" s="3"/>
    </row>
    <row r="718" spans="1:38" ht="14.45">
      <c r="A718" s="3"/>
      <c r="B718" s="3"/>
      <c r="C718" s="3"/>
      <c r="D718" s="3"/>
      <c r="E718" s="3"/>
      <c r="F718" s="23"/>
      <c r="G718" s="23"/>
      <c r="H718" s="23"/>
      <c r="I718" s="23"/>
      <c r="J718" s="3"/>
      <c r="K718" s="3"/>
      <c r="L718" s="3"/>
      <c r="M718" s="3"/>
      <c r="N718" s="3"/>
      <c r="O718" s="3"/>
      <c r="P718" s="3"/>
      <c r="Q718" s="3"/>
    </row>
    <row r="719" spans="1:38" ht="14.45">
      <c r="A719" s="3"/>
      <c r="B719" s="3"/>
      <c r="C719" s="3"/>
      <c r="D719" s="3"/>
      <c r="E719" s="3"/>
      <c r="F719" s="23"/>
      <c r="G719" s="23"/>
      <c r="H719" s="23"/>
      <c r="I719" s="23"/>
      <c r="J719" s="3"/>
      <c r="K719" s="3"/>
      <c r="L719" s="3"/>
      <c r="M719" s="3"/>
      <c r="N719" s="3"/>
      <c r="O719" s="3"/>
      <c r="P719" s="3"/>
      <c r="Q719" s="3"/>
    </row>
    <row r="720" spans="1:38" ht="14.45">
      <c r="A720" s="3"/>
      <c r="B720" s="3"/>
      <c r="C720" s="3"/>
      <c r="D720" s="3"/>
      <c r="E720" s="3"/>
      <c r="F720" s="23"/>
      <c r="G720" s="23"/>
      <c r="H720" s="23"/>
      <c r="I720" s="23"/>
      <c r="J720" s="3"/>
      <c r="K720" s="3"/>
      <c r="L720" s="3"/>
      <c r="M720" s="3"/>
      <c r="N720" s="3"/>
      <c r="O720" s="3"/>
      <c r="P720" s="3"/>
      <c r="Q720" s="3"/>
    </row>
    <row r="721" spans="1:17" ht="14.45">
      <c r="A721" s="3"/>
      <c r="B721" s="3"/>
      <c r="C721" s="3"/>
      <c r="D721" s="3"/>
      <c r="E721" s="3"/>
      <c r="J721" s="3"/>
      <c r="K721" s="3"/>
      <c r="L721" s="3"/>
      <c r="M721" s="3"/>
      <c r="N721" s="3"/>
      <c r="O721" s="3"/>
      <c r="P721" s="3"/>
      <c r="Q721" s="3"/>
    </row>
    <row r="722" spans="1:17" ht="14.45">
      <c r="A722" s="3"/>
      <c r="B722" s="3"/>
      <c r="C722" s="3"/>
      <c r="D722" s="3"/>
      <c r="E722" s="3"/>
      <c r="J722" s="3"/>
      <c r="K722" s="3"/>
      <c r="L722" s="3"/>
      <c r="M722" s="3"/>
      <c r="N722" s="3"/>
      <c r="O722" s="3"/>
      <c r="P722" s="3"/>
      <c r="Q722" s="3"/>
    </row>
    <row r="723" spans="1:17" ht="14.45">
      <c r="A723" s="3"/>
      <c r="B723" s="3"/>
      <c r="C723" s="3"/>
      <c r="D723" s="3"/>
      <c r="E723" s="3"/>
      <c r="J723" s="3"/>
      <c r="K723" s="3"/>
      <c r="L723" s="3"/>
      <c r="M723" s="3"/>
      <c r="N723" s="3"/>
      <c r="O723" s="3"/>
      <c r="P723" s="3"/>
      <c r="Q723" s="3"/>
    </row>
    <row r="724" spans="1:17" ht="14.45">
      <c r="A724" s="3"/>
      <c r="B724" s="3"/>
      <c r="C724" s="3"/>
      <c r="D724" s="3"/>
      <c r="E724" s="3"/>
      <c r="J724" s="3"/>
      <c r="K724" s="3"/>
      <c r="L724" s="3"/>
      <c r="M724" s="3"/>
      <c r="N724" s="3"/>
      <c r="O724" s="3"/>
      <c r="P724" s="3"/>
      <c r="Q724" s="3"/>
    </row>
    <row r="725" spans="1:17" ht="14.45">
      <c r="A725" s="3"/>
      <c r="B725" s="3"/>
      <c r="C725" s="3"/>
      <c r="D725" s="3"/>
      <c r="E725" s="3"/>
      <c r="J725" s="3"/>
      <c r="K725" s="3"/>
      <c r="L725" s="3"/>
      <c r="M725" s="3"/>
      <c r="N725" s="3"/>
      <c r="O725" s="3"/>
      <c r="P725" s="3"/>
      <c r="Q725" s="3"/>
    </row>
    <row r="726" spans="1:17" ht="14.45">
      <c r="A726" s="3"/>
      <c r="B726" s="3"/>
      <c r="C726" s="3"/>
      <c r="D726" s="3"/>
      <c r="E726" s="3"/>
      <c r="J726" s="3"/>
      <c r="K726" s="3"/>
      <c r="L726" s="3"/>
      <c r="M726" s="3"/>
      <c r="N726" s="3"/>
      <c r="O726" s="3"/>
      <c r="P726" s="3"/>
      <c r="Q726" s="3"/>
    </row>
    <row r="727" spans="1:17" ht="14.45"/>
    <row r="728" spans="1:17" ht="14.45"/>
    <row r="729" spans="1:17" ht="14.45"/>
    <row r="730" spans="1:17" ht="14.45"/>
    <row r="731" spans="1:17" ht="14.45"/>
    <row r="732" spans="1:17" ht="14.45"/>
    <row r="733" spans="1:17" ht="14.45"/>
    <row r="734" spans="1:17" ht="14.45"/>
    <row r="735" spans="1:17" ht="14.45"/>
    <row r="736" spans="1:17" ht="14.45"/>
    <row r="737" ht="14.45"/>
    <row r="738" ht="14.45"/>
    <row r="739" ht="14.45"/>
    <row r="740" ht="14.45"/>
    <row r="741" ht="14.45"/>
    <row r="742" ht="14.45"/>
    <row r="743" ht="14.45"/>
    <row r="744" ht="14.45"/>
    <row r="745" ht="14.45"/>
    <row r="746" ht="14.45"/>
    <row r="747" ht="14.45"/>
  </sheetData>
  <autoFilter ref="A1:Q8" xr:uid="{5FC868FF-9885-4449-8EFF-3F6E291CEF97}">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autoFilter>
  <mergeCells count="42">
    <mergeCell ref="A368:Q368"/>
    <mergeCell ref="A369:Q369"/>
    <mergeCell ref="A1:Q1"/>
    <mergeCell ref="A9:Q9"/>
    <mergeCell ref="A178:Q178"/>
    <mergeCell ref="A188:Q188"/>
    <mergeCell ref="A200:Q200"/>
    <mergeCell ref="A209:Q209"/>
    <mergeCell ref="A217:Q217"/>
    <mergeCell ref="A251:Q251"/>
    <mergeCell ref="A94:Q94"/>
    <mergeCell ref="A115:Q115"/>
    <mergeCell ref="A126:Q126"/>
    <mergeCell ref="A147:Q147"/>
    <mergeCell ref="A163:Q163"/>
    <mergeCell ref="A3:Q3"/>
    <mergeCell ref="A231:Q231"/>
    <mergeCell ref="A10:Q10"/>
    <mergeCell ref="A22:Q22"/>
    <mergeCell ref="A23:Q23"/>
    <mergeCell ref="A53:Q53"/>
    <mergeCell ref="A93:Q93"/>
    <mergeCell ref="A62:Q62"/>
    <mergeCell ref="A85:Q85"/>
    <mergeCell ref="A225:Q225"/>
    <mergeCell ref="A89:Q89"/>
    <mergeCell ref="A252:Q252"/>
    <mergeCell ref="A286:Q286"/>
    <mergeCell ref="A294:Q294"/>
    <mergeCell ref="A301:Q301"/>
    <mergeCell ref="A237:Q237"/>
    <mergeCell ref="A243:Q243"/>
    <mergeCell ref="A354:Q354"/>
    <mergeCell ref="A356:Q356"/>
    <mergeCell ref="A256:Q256"/>
    <mergeCell ref="A270:Q270"/>
    <mergeCell ref="A364:Q364"/>
    <mergeCell ref="A307:Q307"/>
    <mergeCell ref="A317:Q317"/>
    <mergeCell ref="A330:Q330"/>
    <mergeCell ref="A350:Q350"/>
    <mergeCell ref="A343:Q343"/>
  </mergeCells>
  <phoneticPr fontId="4" type="noConversion"/>
  <conditionalFormatting sqref="F468:F475">
    <cfRule type="containsText" dxfId="510" priority="28" operator="containsText" text="Not Compliant">
      <formula>NOT(ISERROR(SEARCH("Not Compliant",F468)))</formula>
    </cfRule>
    <cfRule type="containsText" dxfId="509" priority="27" operator="containsText" text="Partial Compliance">
      <formula>NOT(ISERROR(SEARCH("Partial Compliance",F468)))</formula>
    </cfRule>
    <cfRule type="containsText" dxfId="508" priority="29" operator="containsText" text="Compliant">
      <formula>NOT(ISERROR(SEARCH("Compliant",F468)))</formula>
    </cfRule>
  </conditionalFormatting>
  <conditionalFormatting sqref="F10:G21 F127:G199 F344:G363">
    <cfRule type="cellIs" dxfId="507" priority="342" operator="equal">
      <formula>4</formula>
    </cfRule>
    <cfRule type="cellIs" dxfId="506" priority="341" operator="equal">
      <formula>3</formula>
    </cfRule>
    <cfRule type="cellIs" dxfId="505" priority="340" operator="equal">
      <formula>2</formula>
    </cfRule>
    <cfRule type="cellIs" dxfId="504" priority="339" operator="equal">
      <formula>1</formula>
    </cfRule>
    <cfRule type="cellIs" dxfId="503" priority="343" operator="equal">
      <formula>5</formula>
    </cfRule>
  </conditionalFormatting>
  <conditionalFormatting sqref="F24:G125">
    <cfRule type="cellIs" dxfId="502" priority="205" operator="equal">
      <formula>2</formula>
    </cfRule>
    <cfRule type="cellIs" dxfId="501" priority="208" operator="equal">
      <formula>5</formula>
    </cfRule>
    <cfRule type="cellIs" dxfId="500" priority="207" operator="equal">
      <formula>4</formula>
    </cfRule>
    <cfRule type="cellIs" dxfId="499" priority="204" operator="equal">
      <formula>1</formula>
    </cfRule>
    <cfRule type="cellIs" dxfId="498" priority="206" operator="equal">
      <formula>3</formula>
    </cfRule>
  </conditionalFormatting>
  <conditionalFormatting sqref="F201:G208">
    <cfRule type="cellIs" dxfId="497" priority="333" operator="equal">
      <formula>5</formula>
    </cfRule>
    <cfRule type="cellIs" dxfId="496" priority="332" operator="equal">
      <formula>4</formula>
    </cfRule>
    <cfRule type="cellIs" dxfId="495" priority="331" operator="equal">
      <formula>3</formula>
    </cfRule>
    <cfRule type="cellIs" dxfId="494" priority="330" operator="equal">
      <formula>2</formula>
    </cfRule>
    <cfRule type="cellIs" dxfId="493" priority="329" operator="equal">
      <formula>1</formula>
    </cfRule>
  </conditionalFormatting>
  <conditionalFormatting sqref="F210:G216">
    <cfRule type="cellIs" dxfId="492" priority="328" operator="equal">
      <formula>5</formula>
    </cfRule>
    <cfRule type="cellIs" dxfId="491" priority="327" operator="equal">
      <formula>4</formula>
    </cfRule>
    <cfRule type="cellIs" dxfId="490" priority="326" operator="equal">
      <formula>3</formula>
    </cfRule>
    <cfRule type="cellIs" dxfId="489" priority="325" operator="equal">
      <formula>2</formula>
    </cfRule>
    <cfRule type="cellIs" dxfId="488" priority="324" operator="equal">
      <formula>1</formula>
    </cfRule>
  </conditionalFormatting>
  <conditionalFormatting sqref="F218:G225">
    <cfRule type="cellIs" dxfId="487" priority="323" operator="equal">
      <formula>5</formula>
    </cfRule>
    <cfRule type="cellIs" dxfId="486" priority="322" operator="equal">
      <formula>4</formula>
    </cfRule>
    <cfRule type="cellIs" dxfId="485" priority="321" operator="equal">
      <formula>3</formula>
    </cfRule>
    <cfRule type="cellIs" dxfId="484" priority="320" operator="equal">
      <formula>2</formula>
    </cfRule>
    <cfRule type="cellIs" dxfId="483" priority="319" operator="equal">
      <formula>1</formula>
    </cfRule>
  </conditionalFormatting>
  <conditionalFormatting sqref="F227:G237">
    <cfRule type="cellIs" dxfId="482" priority="60" operator="equal">
      <formula>2</formula>
    </cfRule>
    <cfRule type="cellIs" dxfId="481" priority="63" operator="equal">
      <formula>5</formula>
    </cfRule>
    <cfRule type="cellIs" dxfId="480" priority="62" operator="equal">
      <formula>4</formula>
    </cfRule>
    <cfRule type="cellIs" dxfId="479" priority="61" operator="equal">
      <formula>3</formula>
    </cfRule>
    <cfRule type="cellIs" dxfId="478" priority="59" operator="equal">
      <formula>1</formula>
    </cfRule>
  </conditionalFormatting>
  <conditionalFormatting sqref="F239:G242">
    <cfRule type="cellIs" dxfId="477" priority="313" operator="equal">
      <formula>5</formula>
    </cfRule>
    <cfRule type="cellIs" dxfId="476" priority="312" operator="equal">
      <formula>4</formula>
    </cfRule>
    <cfRule type="cellIs" dxfId="475" priority="311" operator="equal">
      <formula>3</formula>
    </cfRule>
    <cfRule type="cellIs" dxfId="474" priority="310" operator="equal">
      <formula>2</formula>
    </cfRule>
    <cfRule type="cellIs" dxfId="473" priority="309" operator="equal">
      <formula>1</formula>
    </cfRule>
  </conditionalFormatting>
  <conditionalFormatting sqref="F244:G244">
    <cfRule type="cellIs" dxfId="472" priority="308" operator="equal">
      <formula>5</formula>
    </cfRule>
    <cfRule type="cellIs" dxfId="471" priority="307" operator="equal">
      <formula>4</formula>
    </cfRule>
    <cfRule type="cellIs" dxfId="470" priority="306" operator="equal">
      <formula>3</formula>
    </cfRule>
    <cfRule type="cellIs" dxfId="469" priority="305" operator="equal">
      <formula>2</formula>
    </cfRule>
    <cfRule type="cellIs" dxfId="468" priority="304" operator="equal">
      <formula>1</formula>
    </cfRule>
  </conditionalFormatting>
  <conditionalFormatting sqref="F252:G269">
    <cfRule type="cellIs" dxfId="467" priority="188" operator="equal">
      <formula>5</formula>
    </cfRule>
    <cfRule type="cellIs" dxfId="466" priority="184" operator="equal">
      <formula>1</formula>
    </cfRule>
    <cfRule type="cellIs" dxfId="465" priority="185" operator="equal">
      <formula>2</formula>
    </cfRule>
    <cfRule type="cellIs" dxfId="464" priority="186" operator="equal">
      <formula>3</formula>
    </cfRule>
    <cfRule type="cellIs" dxfId="463" priority="187" operator="equal">
      <formula>4</formula>
    </cfRule>
  </conditionalFormatting>
  <conditionalFormatting sqref="F271:G316">
    <cfRule type="cellIs" dxfId="462" priority="18" operator="equal">
      <formula>1</formula>
    </cfRule>
    <cfRule type="cellIs" dxfId="461" priority="19" operator="equal">
      <formula>2</formula>
    </cfRule>
    <cfRule type="cellIs" dxfId="460" priority="20" operator="equal">
      <formula>3</formula>
    </cfRule>
    <cfRule type="cellIs" dxfId="459" priority="21" operator="equal">
      <formula>4</formula>
    </cfRule>
    <cfRule type="cellIs" dxfId="458" priority="22" operator="equal">
      <formula>5</formula>
    </cfRule>
  </conditionalFormatting>
  <conditionalFormatting sqref="F318:G329">
    <cfRule type="cellIs" dxfId="457" priority="156" operator="equal">
      <formula>3</formula>
    </cfRule>
    <cfRule type="cellIs" dxfId="456" priority="155" operator="equal">
      <formula>2</formula>
    </cfRule>
    <cfRule type="cellIs" dxfId="455" priority="154" operator="equal">
      <formula>1</formula>
    </cfRule>
    <cfRule type="cellIs" dxfId="454" priority="158" operator="equal">
      <formula>5</formula>
    </cfRule>
    <cfRule type="cellIs" dxfId="453" priority="157" operator="equal">
      <formula>4</formula>
    </cfRule>
  </conditionalFormatting>
  <conditionalFormatting sqref="F331:G342">
    <cfRule type="cellIs" dxfId="452" priority="143" operator="equal">
      <formula>5</formula>
    </cfRule>
    <cfRule type="cellIs" dxfId="451" priority="142" operator="equal">
      <formula>4</formula>
    </cfRule>
    <cfRule type="cellIs" dxfId="450" priority="141" operator="equal">
      <formula>3</formula>
    </cfRule>
    <cfRule type="cellIs" dxfId="449" priority="140" operator="equal">
      <formula>2</formula>
    </cfRule>
    <cfRule type="cellIs" dxfId="448" priority="139" operator="equal">
      <formula>1</formula>
    </cfRule>
  </conditionalFormatting>
  <conditionalFormatting sqref="F365:G367">
    <cfRule type="cellIs" dxfId="447" priority="119" operator="equal">
      <formula>1</formula>
    </cfRule>
    <cfRule type="cellIs" dxfId="446" priority="123" operator="equal">
      <formula>5</formula>
    </cfRule>
    <cfRule type="cellIs" dxfId="445" priority="122" operator="equal">
      <formula>4</formula>
    </cfRule>
    <cfRule type="cellIs" dxfId="444" priority="120" operator="equal">
      <formula>2</formula>
    </cfRule>
    <cfRule type="cellIs" dxfId="443" priority="121" operator="equal">
      <formula>3</formula>
    </cfRule>
  </conditionalFormatting>
  <conditionalFormatting sqref="G398:G422">
    <cfRule type="colorScale" priority="212">
      <colorScale>
        <cfvo type="min"/>
        <cfvo type="percentile" val="50"/>
        <cfvo type="max"/>
        <color rgb="FF63BE7B"/>
        <color rgb="FFFFEB84"/>
        <color rgb="FFF8696B"/>
      </colorScale>
    </cfRule>
    <cfRule type="colorScale" priority="213">
      <colorScale>
        <cfvo type="min"/>
        <cfvo type="percentile" val="50"/>
        <cfvo type="max"/>
        <color rgb="FFF8696B"/>
        <color rgb="FFFFEB84"/>
        <color rgb="FF63BE7B"/>
      </colorScale>
    </cfRule>
  </conditionalFormatting>
  <conditionalFormatting sqref="H24:H52 H53:I53 H54:H61 H62:I62 H63:H84 H85:I85 H86:H88 H89:I89 H90:H92 H93:I94 H95:H114 H115:I115 H116:H125 H127:H146 H148:H162 H271:H285 H308:H316">
    <cfRule type="cellIs" dxfId="442" priority="197" operator="between">
      <formula>12</formula>
      <formula>19</formula>
    </cfRule>
    <cfRule type="cellIs" dxfId="441" priority="195" operator="between">
      <formula>3</formula>
      <formula>5</formula>
    </cfRule>
    <cfRule type="cellIs" dxfId="440" priority="196" operator="between">
      <formula>6</formula>
      <formula>10</formula>
    </cfRule>
    <cfRule type="cellIs" dxfId="439" priority="198" operator="between">
      <formula>20</formula>
      <formula>25</formula>
    </cfRule>
    <cfRule type="cellIs" dxfId="438" priority="199" operator="between">
      <formula>21</formula>
      <formula>25</formula>
    </cfRule>
    <cfRule type="cellIs" dxfId="437" priority="200" operator="between">
      <formula>15</formula>
      <formula>20</formula>
    </cfRule>
    <cfRule type="cellIs" dxfId="436" priority="201" operator="between">
      <formula>10</formula>
      <formula>14</formula>
    </cfRule>
    <cfRule type="cellIs" dxfId="435" priority="202" operator="between">
      <formula>5</formula>
      <formula>9</formula>
    </cfRule>
    <cfRule type="cellIs" dxfId="434" priority="203" operator="between">
      <formula>1</formula>
      <formula>4</formula>
    </cfRule>
  </conditionalFormatting>
  <conditionalFormatting sqref="H179:H187">
    <cfRule type="cellIs" dxfId="433" priority="64" operator="between">
      <formula>1</formula>
      <formula>2</formula>
    </cfRule>
    <cfRule type="cellIs" dxfId="432" priority="65" operator="between">
      <formula>3</formula>
      <formula>5</formula>
    </cfRule>
    <cfRule type="cellIs" dxfId="431" priority="67" operator="between">
      <formula>12</formula>
      <formula>19</formula>
    </cfRule>
    <cfRule type="cellIs" dxfId="430" priority="66" operator="between">
      <formula>6</formula>
      <formula>10</formula>
    </cfRule>
    <cfRule type="cellIs" dxfId="429" priority="68" operator="between">
      <formula>20</formula>
      <formula>25</formula>
    </cfRule>
    <cfRule type="cellIs" dxfId="428" priority="69" operator="between">
      <formula>21</formula>
      <formula>25</formula>
    </cfRule>
    <cfRule type="cellIs" dxfId="427" priority="71" operator="between">
      <formula>10</formula>
      <formula>14</formula>
    </cfRule>
    <cfRule type="cellIs" dxfId="426" priority="72" operator="between">
      <formula>5</formula>
      <formula>9</formula>
    </cfRule>
    <cfRule type="cellIs" dxfId="425" priority="73" operator="between">
      <formula>1</formula>
      <formula>4</formula>
    </cfRule>
    <cfRule type="cellIs" dxfId="424" priority="70" operator="between">
      <formula>15</formula>
      <formula>20</formula>
    </cfRule>
  </conditionalFormatting>
  <conditionalFormatting sqref="H201:H208">
    <cfRule type="cellIs" dxfId="423" priority="279" operator="between">
      <formula>1</formula>
      <formula>2</formula>
    </cfRule>
    <cfRule type="cellIs" dxfId="422" priority="285" operator="between">
      <formula>15</formula>
      <formula>20</formula>
    </cfRule>
    <cfRule type="cellIs" dxfId="421" priority="287" operator="between">
      <formula>5</formula>
      <formula>9</formula>
    </cfRule>
    <cfRule type="cellIs" dxfId="420" priority="286" operator="between">
      <formula>10</formula>
      <formula>14</formula>
    </cfRule>
    <cfRule type="cellIs" dxfId="419" priority="280" operator="between">
      <formula>3</formula>
      <formula>5</formula>
    </cfRule>
    <cfRule type="cellIs" dxfId="418" priority="288" operator="between">
      <formula>1</formula>
      <formula>4</formula>
    </cfRule>
    <cfRule type="cellIs" dxfId="417" priority="281" operator="between">
      <formula>6</formula>
      <formula>10</formula>
    </cfRule>
    <cfRule type="cellIs" dxfId="416" priority="283" operator="between">
      <formula>20</formula>
      <formula>25</formula>
    </cfRule>
    <cfRule type="cellIs" dxfId="415" priority="284" operator="between">
      <formula>21</formula>
      <formula>25</formula>
    </cfRule>
    <cfRule type="cellIs" dxfId="414" priority="282" operator="between">
      <formula>12</formula>
      <formula>19</formula>
    </cfRule>
  </conditionalFormatting>
  <conditionalFormatting sqref="H210:H216">
    <cfRule type="cellIs" dxfId="413" priority="276" operator="between">
      <formula>10</formula>
      <formula>14</formula>
    </cfRule>
    <cfRule type="cellIs" dxfId="412" priority="277" operator="between">
      <formula>5</formula>
      <formula>9</formula>
    </cfRule>
    <cfRule type="cellIs" dxfId="411" priority="269" operator="between">
      <formula>1</formula>
      <formula>2</formula>
    </cfRule>
    <cfRule type="cellIs" dxfId="410" priority="270" operator="between">
      <formula>3</formula>
      <formula>5</formula>
    </cfRule>
    <cfRule type="cellIs" dxfId="409" priority="271" operator="between">
      <formula>6</formula>
      <formula>10</formula>
    </cfRule>
    <cfRule type="cellIs" dxfId="408" priority="272" operator="between">
      <formula>12</formula>
      <formula>19</formula>
    </cfRule>
    <cfRule type="cellIs" dxfId="407" priority="273" operator="between">
      <formula>20</formula>
      <formula>25</formula>
    </cfRule>
    <cfRule type="cellIs" dxfId="406" priority="274" operator="between">
      <formula>21</formula>
      <formula>25</formula>
    </cfRule>
    <cfRule type="cellIs" dxfId="405" priority="275" operator="between">
      <formula>15</formula>
      <formula>20</formula>
    </cfRule>
    <cfRule type="cellIs" dxfId="404" priority="278" operator="between">
      <formula>1</formula>
      <formula>4</formula>
    </cfRule>
  </conditionalFormatting>
  <conditionalFormatting sqref="H218:H224 H225:I225">
    <cfRule type="cellIs" dxfId="403" priority="264" operator="between">
      <formula>21</formula>
      <formula>25</formula>
    </cfRule>
    <cfRule type="cellIs" dxfId="402" priority="263" operator="between">
      <formula>20</formula>
      <formula>25</formula>
    </cfRule>
    <cfRule type="cellIs" dxfId="401" priority="262" operator="between">
      <formula>12</formula>
      <formula>19</formula>
    </cfRule>
    <cfRule type="cellIs" dxfId="400" priority="268" operator="between">
      <formula>1</formula>
      <formula>4</formula>
    </cfRule>
    <cfRule type="cellIs" dxfId="399" priority="267" operator="between">
      <formula>5</formula>
      <formula>9</formula>
    </cfRule>
    <cfRule type="cellIs" dxfId="398" priority="260" operator="between">
      <formula>3</formula>
      <formula>5</formula>
    </cfRule>
    <cfRule type="cellIs" dxfId="397" priority="266" operator="between">
      <formula>10</formula>
      <formula>14</formula>
    </cfRule>
    <cfRule type="cellIs" dxfId="396" priority="265" operator="between">
      <formula>15</formula>
      <formula>20</formula>
    </cfRule>
    <cfRule type="cellIs" dxfId="395" priority="261" operator="between">
      <formula>6</formula>
      <formula>10</formula>
    </cfRule>
  </conditionalFormatting>
  <conditionalFormatting sqref="H227:H230">
    <cfRule type="cellIs" dxfId="394" priority="256" operator="between">
      <formula>10</formula>
      <formula>14</formula>
    </cfRule>
    <cfRule type="cellIs" dxfId="393" priority="255" operator="between">
      <formula>15</formula>
      <formula>20</formula>
    </cfRule>
    <cfRule type="cellIs" dxfId="392" priority="254" operator="between">
      <formula>21</formula>
      <formula>25</formula>
    </cfRule>
    <cfRule type="cellIs" dxfId="391" priority="253" operator="between">
      <formula>20</formula>
      <formula>25</formula>
    </cfRule>
    <cfRule type="cellIs" dxfId="390" priority="252" operator="between">
      <formula>12</formula>
      <formula>19</formula>
    </cfRule>
    <cfRule type="cellIs" dxfId="389" priority="251" operator="between">
      <formula>6</formula>
      <formula>10</formula>
    </cfRule>
    <cfRule type="cellIs" dxfId="388" priority="250" operator="between">
      <formula>3</formula>
      <formula>5</formula>
    </cfRule>
    <cfRule type="cellIs" dxfId="387" priority="258" operator="between">
      <formula>1</formula>
      <formula>4</formula>
    </cfRule>
    <cfRule type="cellIs" dxfId="386" priority="257" operator="between">
      <formula>5</formula>
      <formula>9</formula>
    </cfRule>
    <cfRule type="cellIs" dxfId="385" priority="249" operator="between">
      <formula>1</formula>
      <formula>2</formula>
    </cfRule>
  </conditionalFormatting>
  <conditionalFormatting sqref="H239:H242">
    <cfRule type="cellIs" dxfId="384" priority="246" operator="between">
      <formula>10</formula>
      <formula>14</formula>
    </cfRule>
    <cfRule type="cellIs" dxfId="383" priority="239" operator="between">
      <formula>1</formula>
      <formula>2</formula>
    </cfRule>
    <cfRule type="cellIs" dxfId="382" priority="240" operator="between">
      <formula>3</formula>
      <formula>5</formula>
    </cfRule>
    <cfRule type="cellIs" dxfId="381" priority="241" operator="between">
      <formula>6</formula>
      <formula>10</formula>
    </cfRule>
    <cfRule type="cellIs" dxfId="380" priority="242" operator="between">
      <formula>12</formula>
      <formula>19</formula>
    </cfRule>
    <cfRule type="cellIs" dxfId="379" priority="243" operator="between">
      <formula>20</formula>
      <formula>25</formula>
    </cfRule>
    <cfRule type="cellIs" dxfId="378" priority="244" operator="between">
      <formula>21</formula>
      <formula>25</formula>
    </cfRule>
    <cfRule type="cellIs" dxfId="377" priority="245" operator="between">
      <formula>15</formula>
      <formula>20</formula>
    </cfRule>
    <cfRule type="cellIs" dxfId="376" priority="247" operator="between">
      <formula>5</formula>
      <formula>9</formula>
    </cfRule>
    <cfRule type="cellIs" dxfId="375" priority="248" operator="between">
      <formula>1</formula>
      <formula>4</formula>
    </cfRule>
  </conditionalFormatting>
  <conditionalFormatting sqref="H244">
    <cfRule type="cellIs" dxfId="374" priority="238" operator="between">
      <formula>1</formula>
      <formula>4</formula>
    </cfRule>
    <cfRule type="cellIs" dxfId="373" priority="229" operator="between">
      <formula>1</formula>
      <formula>2</formula>
    </cfRule>
    <cfRule type="cellIs" dxfId="372" priority="230" operator="between">
      <formula>3</formula>
      <formula>5</formula>
    </cfRule>
    <cfRule type="cellIs" dxfId="371" priority="231" operator="between">
      <formula>6</formula>
      <formula>10</formula>
    </cfRule>
    <cfRule type="cellIs" dxfId="370" priority="232" operator="between">
      <formula>12</formula>
      <formula>19</formula>
    </cfRule>
    <cfRule type="cellIs" dxfId="369" priority="233" operator="between">
      <formula>20</formula>
      <formula>25</formula>
    </cfRule>
    <cfRule type="cellIs" dxfId="368" priority="234" operator="between">
      <formula>21</formula>
      <formula>25</formula>
    </cfRule>
    <cfRule type="cellIs" dxfId="367" priority="235" operator="between">
      <formula>15</formula>
      <formula>20</formula>
    </cfRule>
    <cfRule type="cellIs" dxfId="366" priority="236" operator="between">
      <formula>10</formula>
      <formula>14</formula>
    </cfRule>
    <cfRule type="cellIs" dxfId="365" priority="237" operator="between">
      <formula>5</formula>
      <formula>9</formula>
    </cfRule>
  </conditionalFormatting>
  <conditionalFormatting sqref="H318:H329">
    <cfRule type="cellIs" dxfId="364" priority="42" operator="between">
      <formula>12</formula>
      <formula>19</formula>
    </cfRule>
    <cfRule type="cellIs" dxfId="363" priority="41" operator="between">
      <formula>6</formula>
      <formula>10</formula>
    </cfRule>
    <cfRule type="cellIs" dxfId="362" priority="43" operator="between">
      <formula>20</formula>
      <formula>25</formula>
    </cfRule>
    <cfRule type="cellIs" dxfId="361" priority="44" operator="between">
      <formula>21</formula>
      <formula>25</formula>
    </cfRule>
    <cfRule type="cellIs" dxfId="360" priority="45" operator="between">
      <formula>15</formula>
      <formula>20</formula>
    </cfRule>
    <cfRule type="cellIs" dxfId="359" priority="46" operator="between">
      <formula>10</formula>
      <formula>14</formula>
    </cfRule>
    <cfRule type="cellIs" dxfId="358" priority="47" operator="between">
      <formula>5</formula>
      <formula>9</formula>
    </cfRule>
    <cfRule type="cellIs" dxfId="357" priority="48" operator="between">
      <formula>1</formula>
      <formula>4</formula>
    </cfRule>
    <cfRule type="cellIs" dxfId="356" priority="40" operator="between">
      <formula>3</formula>
      <formula>5</formula>
    </cfRule>
    <cfRule type="cellIs" dxfId="355" priority="39" operator="between">
      <formula>1</formula>
      <formula>2</formula>
    </cfRule>
  </conditionalFormatting>
  <conditionalFormatting sqref="H331:H342">
    <cfRule type="cellIs" dxfId="354" priority="130" operator="between">
      <formula>3</formula>
      <formula>5</formula>
    </cfRule>
    <cfRule type="cellIs" dxfId="353" priority="129" operator="between">
      <formula>1</formula>
      <formula>2</formula>
    </cfRule>
    <cfRule type="cellIs" dxfId="352" priority="131" operator="between">
      <formula>6</formula>
      <formula>10</formula>
    </cfRule>
    <cfRule type="cellIs" dxfId="351" priority="132" operator="between">
      <formula>12</formula>
      <formula>19</formula>
    </cfRule>
    <cfRule type="cellIs" dxfId="350" priority="133" operator="between">
      <formula>20</formula>
      <formula>25</formula>
    </cfRule>
    <cfRule type="cellIs" dxfId="349" priority="134" operator="between">
      <formula>21</formula>
      <formula>25</formula>
    </cfRule>
    <cfRule type="cellIs" dxfId="348" priority="136" operator="between">
      <formula>10</formula>
      <formula>14</formula>
    </cfRule>
    <cfRule type="cellIs" dxfId="347" priority="137" operator="between">
      <formula>5</formula>
      <formula>9</formula>
    </cfRule>
    <cfRule type="cellIs" dxfId="346" priority="138" operator="between">
      <formula>1</formula>
      <formula>4</formula>
    </cfRule>
    <cfRule type="cellIs" dxfId="345" priority="135" operator="between">
      <formula>15</formula>
      <formula>20</formula>
    </cfRule>
  </conditionalFormatting>
  <conditionalFormatting sqref="H365:H367">
    <cfRule type="cellIs" dxfId="344" priority="111" operator="between">
      <formula>6</formula>
      <formula>10</formula>
    </cfRule>
    <cfRule type="cellIs" dxfId="343" priority="116" operator="between">
      <formula>10</formula>
      <formula>14</formula>
    </cfRule>
    <cfRule type="cellIs" dxfId="342" priority="115" operator="between">
      <formula>15</formula>
      <formula>20</formula>
    </cfRule>
    <cfRule type="cellIs" dxfId="341" priority="114" operator="between">
      <formula>21</formula>
      <formula>25</formula>
    </cfRule>
    <cfRule type="cellIs" dxfId="340" priority="113" operator="between">
      <formula>20</formula>
      <formula>25</formula>
    </cfRule>
    <cfRule type="cellIs" dxfId="339" priority="112" operator="between">
      <formula>12</formula>
      <formula>19</formula>
    </cfRule>
    <cfRule type="cellIs" dxfId="338" priority="117" operator="between">
      <formula>5</formula>
      <formula>9</formula>
    </cfRule>
    <cfRule type="cellIs" dxfId="337" priority="109" operator="between">
      <formula>1</formula>
      <formula>2</formula>
    </cfRule>
    <cfRule type="cellIs" dxfId="336" priority="118" operator="between">
      <formula>1</formula>
      <formula>4</formula>
    </cfRule>
    <cfRule type="cellIs" dxfId="335" priority="110" operator="between">
      <formula>3</formula>
      <formula>5</formula>
    </cfRule>
  </conditionalFormatting>
  <conditionalFormatting sqref="H10:I10 H11:H21 H147:I147 H163:I163 H164:H177 H178:I178 H232:H236 H344:H349 H350:I350 H351:H353 H354:I354 H355 H356:I356 H357:H363">
    <cfRule type="cellIs" dxfId="334" priority="300" operator="between">
      <formula>3</formula>
      <formula>5</formula>
    </cfRule>
    <cfRule type="cellIs" dxfId="333" priority="301" operator="between">
      <formula>6</formula>
      <formula>10</formula>
    </cfRule>
    <cfRule type="cellIs" dxfId="332" priority="302" operator="between">
      <formula>12</formula>
      <formula>19</formula>
    </cfRule>
    <cfRule type="cellIs" dxfId="331" priority="303" operator="between">
      <formula>20</formula>
      <formula>25</formula>
    </cfRule>
    <cfRule type="cellIs" dxfId="330" priority="334" operator="between">
      <formula>21</formula>
      <formula>25</formula>
    </cfRule>
    <cfRule type="cellIs" dxfId="329" priority="335" operator="between">
      <formula>15</formula>
      <formula>20</formula>
    </cfRule>
    <cfRule type="cellIs" dxfId="328" priority="336" operator="between">
      <formula>10</formula>
      <formula>14</formula>
    </cfRule>
    <cfRule type="cellIs" dxfId="327" priority="337" operator="between">
      <formula>5</formula>
      <formula>9</formula>
    </cfRule>
    <cfRule type="cellIs" dxfId="326" priority="338" operator="between">
      <formula>1</formula>
      <formula>4</formula>
    </cfRule>
  </conditionalFormatting>
  <conditionalFormatting sqref="H10:I10 H147:I147 H163:I163 H178:I178 H350:I350 H354:I354 H356:I356 H11:H21 H164:H177 H232:H236 H344:H349 H351:H353 H355 H357:H363">
    <cfRule type="cellIs" dxfId="325" priority="299" operator="between">
      <formula>1</formula>
      <formula>2</formula>
    </cfRule>
  </conditionalFormatting>
  <conditionalFormatting sqref="H53:I53 H62:I62 H85:I85 H89:I89 H93:I94 H115:I115 H24:H52 H54:H61 H63:H84 H86:H88 H90:H92 H95:H114 H116:H125 H127:H146 H148:H162 H271:H285 H308:H316">
    <cfRule type="cellIs" dxfId="324" priority="194" operator="between">
      <formula>1</formula>
      <formula>2</formula>
    </cfRule>
  </conditionalFormatting>
  <conditionalFormatting sqref="H188:I188 H189:H199">
    <cfRule type="cellIs" dxfId="323" priority="289" operator="between">
      <formula>1</formula>
      <formula>2</formula>
    </cfRule>
    <cfRule type="cellIs" dxfId="322" priority="291" operator="between">
      <formula>6</formula>
      <formula>10</formula>
    </cfRule>
    <cfRule type="cellIs" dxfId="321" priority="292" operator="between">
      <formula>12</formula>
      <formula>19</formula>
    </cfRule>
    <cfRule type="cellIs" dxfId="320" priority="290" operator="between">
      <formula>3</formula>
      <formula>5</formula>
    </cfRule>
    <cfRule type="cellIs" dxfId="319" priority="293" operator="between">
      <formula>20</formula>
      <formula>25</formula>
    </cfRule>
    <cfRule type="cellIs" dxfId="318" priority="294" operator="between">
      <formula>21</formula>
      <formula>25</formula>
    </cfRule>
    <cfRule type="cellIs" dxfId="317" priority="295" operator="between">
      <formula>15</formula>
      <formula>20</formula>
    </cfRule>
    <cfRule type="cellIs" dxfId="316" priority="296" operator="between">
      <formula>10</formula>
      <formula>14</formula>
    </cfRule>
    <cfRule type="cellIs" dxfId="315" priority="297" operator="between">
      <formula>5</formula>
      <formula>9</formula>
    </cfRule>
    <cfRule type="cellIs" dxfId="314" priority="298" operator="between">
      <formula>1</formula>
      <formula>4</formula>
    </cfRule>
  </conditionalFormatting>
  <conditionalFormatting sqref="H225:I225 H218:H224">
    <cfRule type="cellIs" dxfId="313" priority="259" operator="between">
      <formula>1</formula>
      <formula>2</formula>
    </cfRule>
  </conditionalFormatting>
  <conditionalFormatting sqref="H231:I231">
    <cfRule type="cellIs" dxfId="312" priority="58" operator="between">
      <formula>1</formula>
      <formula>4</formula>
    </cfRule>
    <cfRule type="cellIs" dxfId="311" priority="54" operator="between">
      <formula>21</formula>
      <formula>25</formula>
    </cfRule>
    <cfRule type="cellIs" dxfId="310" priority="53" operator="between">
      <formula>20</formula>
      <formula>25</formula>
    </cfRule>
    <cfRule type="cellIs" dxfId="309" priority="52" operator="between">
      <formula>12</formula>
      <formula>19</formula>
    </cfRule>
    <cfRule type="cellIs" dxfId="308" priority="50" operator="between">
      <formula>3</formula>
      <formula>5</formula>
    </cfRule>
    <cfRule type="cellIs" dxfId="307" priority="49" operator="between">
      <formula>1</formula>
      <formula>2</formula>
    </cfRule>
    <cfRule type="cellIs" dxfId="306" priority="55" operator="between">
      <formula>15</formula>
      <formula>20</formula>
    </cfRule>
    <cfRule type="cellIs" dxfId="305" priority="56" operator="between">
      <formula>10</formula>
      <formula>14</formula>
    </cfRule>
    <cfRule type="cellIs" dxfId="304" priority="57" operator="between">
      <formula>5</formula>
      <formula>9</formula>
    </cfRule>
    <cfRule type="cellIs" dxfId="303" priority="51" operator="between">
      <formula>6</formula>
      <formula>10</formula>
    </cfRule>
  </conditionalFormatting>
  <conditionalFormatting sqref="H237:I237">
    <cfRule type="cellIs" dxfId="302" priority="222" operator="between">
      <formula>5</formula>
      <formula>9</formula>
    </cfRule>
    <cfRule type="cellIs" dxfId="301" priority="223" operator="between">
      <formula>1</formula>
      <formula>4</formula>
    </cfRule>
    <cfRule type="cellIs" dxfId="300" priority="214" operator="between">
      <formula>1</formula>
      <formula>2</formula>
    </cfRule>
    <cfRule type="cellIs" dxfId="299" priority="215" operator="between">
      <formula>3</formula>
      <formula>5</formula>
    </cfRule>
    <cfRule type="cellIs" dxfId="298" priority="216" operator="between">
      <formula>6</formula>
      <formula>10</formula>
    </cfRule>
    <cfRule type="cellIs" dxfId="297" priority="217" operator="between">
      <formula>12</formula>
      <formula>19</formula>
    </cfRule>
    <cfRule type="cellIs" dxfId="296" priority="218" operator="between">
      <formula>20</formula>
      <formula>25</formula>
    </cfRule>
    <cfRule type="cellIs" dxfId="295" priority="219" operator="between">
      <formula>21</formula>
      <formula>25</formula>
    </cfRule>
    <cfRule type="cellIs" dxfId="294" priority="220" operator="between">
      <formula>15</formula>
      <formula>20</formula>
    </cfRule>
    <cfRule type="cellIs" dxfId="293" priority="221" operator="between">
      <formula>10</formula>
      <formula>14</formula>
    </cfRule>
  </conditionalFormatting>
  <conditionalFormatting sqref="H252:I252 H253:H255 H256:I256 H257:H269">
    <cfRule type="cellIs" dxfId="292" priority="175" operator="between">
      <formula>3</formula>
      <formula>5</formula>
    </cfRule>
    <cfRule type="cellIs" dxfId="291" priority="176" operator="between">
      <formula>6</formula>
      <formula>10</formula>
    </cfRule>
    <cfRule type="cellIs" dxfId="290" priority="177" operator="between">
      <formula>12</formula>
      <formula>19</formula>
    </cfRule>
    <cfRule type="cellIs" dxfId="289" priority="178" operator="between">
      <formula>20</formula>
      <formula>25</formula>
    </cfRule>
    <cfRule type="cellIs" dxfId="288" priority="179" operator="between">
      <formula>21</formula>
      <formula>25</formula>
    </cfRule>
    <cfRule type="cellIs" dxfId="287" priority="181" operator="between">
      <formula>10</formula>
      <formula>14</formula>
    </cfRule>
    <cfRule type="cellIs" dxfId="286" priority="180" operator="between">
      <formula>15</formula>
      <formula>20</formula>
    </cfRule>
    <cfRule type="cellIs" dxfId="285" priority="182" operator="between">
      <formula>5</formula>
      <formula>9</formula>
    </cfRule>
    <cfRule type="cellIs" dxfId="284" priority="183" operator="between">
      <formula>1</formula>
      <formula>4</formula>
    </cfRule>
  </conditionalFormatting>
  <conditionalFormatting sqref="H252:I252 H256:I256 H253:H255 H257:H269">
    <cfRule type="cellIs" dxfId="283" priority="174" operator="between">
      <formula>1</formula>
      <formula>2</formula>
    </cfRule>
  </conditionalFormatting>
  <conditionalFormatting sqref="H286:I286 H287:H293 H294:I294 H295:H300 H301:I301 H302:H306 H307:I307">
    <cfRule type="cellIs" dxfId="282" priority="160" operator="between">
      <formula>3</formula>
      <formula>5</formula>
    </cfRule>
    <cfRule type="cellIs" dxfId="281" priority="161" operator="between">
      <formula>6</formula>
      <formula>10</formula>
    </cfRule>
    <cfRule type="cellIs" dxfId="280" priority="162" operator="between">
      <formula>12</formula>
      <formula>19</formula>
    </cfRule>
    <cfRule type="cellIs" dxfId="279" priority="163" operator="between">
      <formula>20</formula>
      <formula>25</formula>
    </cfRule>
    <cfRule type="cellIs" dxfId="278" priority="165" operator="between">
      <formula>15</formula>
      <formula>20</formula>
    </cfRule>
    <cfRule type="cellIs" dxfId="277" priority="166" operator="between">
      <formula>10</formula>
      <formula>14</formula>
    </cfRule>
    <cfRule type="cellIs" dxfId="276" priority="167" operator="between">
      <formula>5</formula>
      <formula>9</formula>
    </cfRule>
    <cfRule type="cellIs" dxfId="275" priority="168" operator="between">
      <formula>1</formula>
      <formula>4</formula>
    </cfRule>
    <cfRule type="cellIs" dxfId="274" priority="164" operator="between">
      <formula>21</formula>
      <formula>25</formula>
    </cfRule>
  </conditionalFormatting>
  <conditionalFormatting sqref="H286:I286 H294:I294 H301:I301 H307:I307 H287:H293 H295:H300 H302:H306">
    <cfRule type="cellIs" dxfId="273" priority="159" operator="between">
      <formula>1</formula>
      <formula>2</formula>
    </cfRule>
  </conditionalFormatting>
  <conditionalFormatting sqref="I1:I1048576">
    <cfRule type="containsText" dxfId="272" priority="24" operator="containsText" text="M - Mitigate">
      <formula>NOT(ISERROR(SEARCH("M - Mitigate",I1)))</formula>
    </cfRule>
    <cfRule type="containsText" dxfId="271" priority="26" operator="containsText" text="A - Accept">
      <formula>NOT(ISERROR(SEARCH("A - Accept",I1)))</formula>
    </cfRule>
    <cfRule type="containsText" dxfId="270" priority="25" operator="containsText" text="U - Unknown">
      <formula>NOT(ISERROR(SEARCH("U - Unknown",I1)))</formula>
    </cfRule>
  </conditionalFormatting>
  <conditionalFormatting sqref="L1:L200 L209:L317 L330:L1048576">
    <cfRule type="containsText" dxfId="269" priority="30" operator="containsText" text="Partial Compliance">
      <formula>NOT(ISERROR(SEARCH("Partial Compliance",L1)))</formula>
    </cfRule>
    <cfRule type="containsText" dxfId="268" priority="31" operator="containsText" text="Not Compliant">
      <formula>NOT(ISERROR(SEARCH("Not Compliant",L1)))</formula>
    </cfRule>
    <cfRule type="containsText" dxfId="267" priority="32" operator="containsText" text="Compliant">
      <formula>NOT(ISERROR(SEARCH("Compliant",L1)))</formula>
    </cfRule>
    <cfRule type="containsText" dxfId="266" priority="23" operator="containsText" text="N/A">
      <formula>NOT(ISERROR(SEARCH("N/A",L1)))</formula>
    </cfRule>
  </conditionalFormatting>
  <conditionalFormatting sqref="L201:L208">
    <cfRule type="containsText" dxfId="265" priority="10" operator="containsText" text="Compliant">
      <formula>NOT(ISERROR(SEARCH("Compliant",L201)))</formula>
    </cfRule>
    <cfRule type="containsText" dxfId="264" priority="9" operator="containsText" text="Not Compliant">
      <formula>NOT(ISERROR(SEARCH("Not Compliant",L201)))</formula>
    </cfRule>
    <cfRule type="containsText" dxfId="263" priority="8" operator="containsText" text="Partial Compliance">
      <formula>NOT(ISERROR(SEARCH("Partial Compliance",L201)))</formula>
    </cfRule>
  </conditionalFormatting>
  <conditionalFormatting sqref="L318:L329">
    <cfRule type="containsText" dxfId="262" priority="7" operator="containsText" text="Compliant">
      <formula>NOT(ISERROR(SEARCH("Compliant",L318)))</formula>
    </cfRule>
    <cfRule type="containsText" dxfId="261" priority="6" operator="containsText" text="Not Compliant">
      <formula>NOT(ISERROR(SEARCH("Not Compliant",L318)))</formula>
    </cfRule>
    <cfRule type="containsText" dxfId="260" priority="5" operator="containsText" text="Partial Compliance">
      <formula>NOT(ISERROR(SEARCH("Partial Compliance",L318)))</formula>
    </cfRule>
  </conditionalFormatting>
  <conditionalFormatting sqref="M4">
    <cfRule type="cellIs" dxfId="259" priority="344" operator="equal">
      <formula>"Compliant"</formula>
    </cfRule>
    <cfRule type="cellIs" dxfId="258" priority="345" operator="equal">
      <formula>"Partial Compliance"</formula>
    </cfRule>
    <cfRule type="cellIs" dxfId="257" priority="346" operator="equal">
      <formula>"Not Compliant "</formula>
    </cfRule>
  </conditionalFormatting>
  <dataValidations count="3">
    <dataValidation type="list" allowBlank="1" sqref="L218:L224 L210:L216 L226:L230 L116:L125 L54:L61 L24:L52 L164:L177 L11:L21 L189:L199 L148:L162 L90:L92 L367 L63:L84 L179:L187 L355 L308:L316 L232:L236 L318:L329 L295:L300 L95:L114 L86:L88 L4:L8 L238:L242 L244:L250 L253:L255 L257:L269 L287:L292 L271:L285 L331:L342 L344:L349 L351:L353 L357:L363 F469:F475 L127:L146 L201:L208 L302:L306" xr:uid="{A5FA09FD-F799-4B22-9290-28573837C39B}">
      <formula1>"Compliant,Partial Compliance,Not Compliant,N/A,"</formula1>
    </dataValidation>
    <dataValidation type="list" allowBlank="1" showInputMessage="1" showErrorMessage="1" sqref="F191:G199 F201:G208 F210:G216 F218:G225 F239:G242 F244:G244 F318:G329 F24:G125 F252:G269 F365:G367 F344:G363 F10:G21 H179 F331:G342 F227:G237 F127:G189 F271:G316" xr:uid="{C9BCF645-F8D1-4CE7-A55D-C20CE4450B0B}">
      <formula1>"1,2,3,4,5"</formula1>
    </dataValidation>
    <dataValidation type="list" allowBlank="1" showInputMessage="1" showErrorMessage="1" sqref="I4:I8 I11:I21 I24:I52 I54:I61 I63:I84 I86:I88 I90:I92 I95:I114 I116:I125 I164:I177 I179:I187 I189:I199 I201:I208 I210:I216 I218:I224 I226:I230 I238:I242 I244:I250 I253:I255 I257:I269 I287:I293 I295:I300 I302:I306 I318:I329 I344:I349 I351:I353 I355 I357:I363 I365:I367 I232:I236 I308:I313 I331:I342 I148:I162 I127:I146 I271:I285" xr:uid="{38D6EFE4-5CCF-47D2-968F-127EE1589AE3}">
      <formula1>"A - Accept, M - Mitigate, U - Unknown"</formula1>
    </dataValidation>
  </dataValidations>
  <hyperlinks>
    <hyperlink ref="P348" r:id="rId1" xr:uid="{1D5562AA-CFC4-4821-9CF1-535395E3BF6D}"/>
    <hyperlink ref="P345" r:id="rId2" xr:uid="{1157155C-8B71-48A7-847F-EA5E22DA2C54}"/>
    <hyperlink ref="P344" r:id="rId3" xr:uid="{887AFA89-A06B-41E1-ACBE-896AEC0088E2}"/>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42CCE-30AB-476C-A5A8-88BC431BA03E}">
  <dimension ref="A1:S750"/>
  <sheetViews>
    <sheetView zoomScale="85" zoomScaleNormal="85" workbookViewId="0">
      <pane ySplit="2" topLeftCell="A60" activePane="bottomLeft" state="frozen"/>
      <selection pane="bottomLeft" activeCell="T97" sqref="T97"/>
    </sheetView>
  </sheetViews>
  <sheetFormatPr defaultRowHeight="14.45"/>
  <cols>
    <col min="1" max="1" width="12.42578125" customWidth="1"/>
    <col min="2" max="2" width="36.42578125" customWidth="1"/>
    <col min="3" max="3" width="79.42578125" customWidth="1"/>
    <col min="4" max="4" width="47.42578125" hidden="1" customWidth="1"/>
    <col min="5" max="5" width="20.42578125" hidden="1" customWidth="1"/>
    <col min="6" max="6" width="12.42578125" style="26" hidden="1" customWidth="1"/>
    <col min="7" max="7" width="11.140625" style="26" hidden="1" customWidth="1"/>
    <col min="8" max="8" width="12" style="26" hidden="1" customWidth="1"/>
    <col min="9" max="9" width="9.42578125" style="26" hidden="1" customWidth="1"/>
    <col min="10" max="10" width="19.140625" customWidth="1"/>
    <col min="11" max="11" width="20.140625" customWidth="1"/>
    <col min="12" max="12" width="16.42578125" customWidth="1"/>
    <col min="13" max="13" width="11.42578125" hidden="1" customWidth="1"/>
    <col min="14" max="14" width="70.42578125" hidden="1" customWidth="1"/>
    <col min="15" max="15" width="17.42578125" hidden="1" customWidth="1"/>
    <col min="16" max="17" width="11.42578125" hidden="1" customWidth="1"/>
  </cols>
  <sheetData>
    <row r="1" spans="1:17" ht="23.45">
      <c r="A1" s="165" t="s">
        <v>0</v>
      </c>
      <c r="B1" s="165"/>
      <c r="C1" s="165"/>
      <c r="D1" s="165"/>
      <c r="E1" s="165"/>
      <c r="F1" s="165"/>
      <c r="G1" s="165"/>
      <c r="H1" s="165"/>
      <c r="I1" s="165"/>
      <c r="J1" s="165"/>
      <c r="K1" s="165"/>
      <c r="L1" s="165"/>
      <c r="M1" s="165"/>
      <c r="N1" s="165"/>
      <c r="O1" s="165"/>
      <c r="P1" s="165"/>
      <c r="Q1" s="165"/>
    </row>
    <row r="2" spans="1:17" ht="28.9">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row>
    <row r="3" spans="1:17" ht="17.45">
      <c r="A3" s="163" t="s">
        <v>18</v>
      </c>
      <c r="B3" s="163"/>
      <c r="C3" s="163"/>
      <c r="D3" s="163"/>
      <c r="E3" s="163"/>
      <c r="F3" s="163"/>
      <c r="G3" s="163"/>
      <c r="H3" s="163"/>
      <c r="I3" s="163"/>
      <c r="J3" s="163"/>
      <c r="K3" s="163"/>
      <c r="L3" s="163"/>
      <c r="M3" s="163"/>
      <c r="N3" s="163"/>
      <c r="O3" s="163"/>
      <c r="P3" s="163"/>
      <c r="Q3" s="163"/>
    </row>
    <row r="4" spans="1:17" ht="72">
      <c r="A4" s="4" t="s">
        <v>19</v>
      </c>
      <c r="B4" s="4" t="s">
        <v>20</v>
      </c>
      <c r="C4" s="4" t="s">
        <v>21</v>
      </c>
      <c r="D4" s="4" t="s">
        <v>22</v>
      </c>
      <c r="E4" s="4" t="s">
        <v>23</v>
      </c>
      <c r="F4" s="33"/>
      <c r="G4" s="33"/>
      <c r="H4" s="33"/>
      <c r="I4" s="33"/>
      <c r="J4" s="4"/>
      <c r="K4" s="4"/>
      <c r="L4" s="8" t="s">
        <v>24</v>
      </c>
      <c r="M4" s="34" t="s">
        <v>25</v>
      </c>
      <c r="N4" s="4" t="s">
        <v>26</v>
      </c>
      <c r="O4" s="4"/>
      <c r="P4" s="4"/>
      <c r="Q4" s="4"/>
    </row>
    <row r="5" spans="1:17" ht="43.15">
      <c r="A5" s="4" t="s">
        <v>27</v>
      </c>
      <c r="B5" s="4" t="s">
        <v>28</v>
      </c>
      <c r="C5" s="4" t="s">
        <v>29</v>
      </c>
      <c r="D5" s="4" t="s">
        <v>30</v>
      </c>
      <c r="E5" s="4" t="s">
        <v>31</v>
      </c>
      <c r="F5" s="33"/>
      <c r="G5" s="33"/>
      <c r="H5" s="33"/>
      <c r="I5" s="33"/>
      <c r="J5" s="4"/>
      <c r="K5" s="4"/>
      <c r="L5" s="8" t="s">
        <v>24</v>
      </c>
      <c r="M5" s="35" t="s">
        <v>25</v>
      </c>
      <c r="N5" s="4" t="s">
        <v>32</v>
      </c>
      <c r="O5" s="4"/>
      <c r="P5" s="4"/>
      <c r="Q5" s="4"/>
    </row>
    <row r="6" spans="1:17" ht="43.15">
      <c r="A6" s="4" t="s">
        <v>33</v>
      </c>
      <c r="B6" s="4" t="s">
        <v>34</v>
      </c>
      <c r="C6" s="4" t="s">
        <v>35</v>
      </c>
      <c r="D6" s="4" t="s">
        <v>36</v>
      </c>
      <c r="E6" s="4" t="s">
        <v>37</v>
      </c>
      <c r="F6" s="33"/>
      <c r="G6" s="33"/>
      <c r="H6" s="33"/>
      <c r="I6" s="33"/>
      <c r="J6" s="4"/>
      <c r="K6" s="4"/>
      <c r="L6" s="8"/>
      <c r="M6" s="9" t="s">
        <v>25</v>
      </c>
      <c r="N6" s="4" t="s">
        <v>38</v>
      </c>
      <c r="O6" s="4"/>
      <c r="P6" s="4"/>
      <c r="Q6" s="4"/>
    </row>
    <row r="7" spans="1:17" ht="72">
      <c r="A7" s="4" t="s">
        <v>39</v>
      </c>
      <c r="B7" s="4" t="s">
        <v>40</v>
      </c>
      <c r="C7" s="4" t="s">
        <v>41</v>
      </c>
      <c r="D7" s="4" t="s">
        <v>42</v>
      </c>
      <c r="E7" s="4" t="s">
        <v>43</v>
      </c>
      <c r="F7" s="33"/>
      <c r="G7" s="33"/>
      <c r="H7" s="33"/>
      <c r="I7" s="33"/>
      <c r="J7" s="4"/>
      <c r="K7" s="4"/>
      <c r="L7" s="8" t="s">
        <v>24</v>
      </c>
      <c r="M7" s="9" t="s">
        <v>25</v>
      </c>
      <c r="N7" s="4" t="s">
        <v>44</v>
      </c>
      <c r="O7" s="4"/>
      <c r="P7" s="4"/>
      <c r="Q7" s="4"/>
    </row>
    <row r="8" spans="1:17" ht="72">
      <c r="A8" s="4" t="s">
        <v>45</v>
      </c>
      <c r="B8" s="4" t="s">
        <v>46</v>
      </c>
      <c r="C8" s="4" t="s">
        <v>47</v>
      </c>
      <c r="D8" s="4" t="s">
        <v>48</v>
      </c>
      <c r="E8" s="4" t="s">
        <v>49</v>
      </c>
      <c r="F8" s="9"/>
      <c r="G8" s="9"/>
      <c r="H8" s="9"/>
      <c r="I8" s="9"/>
      <c r="J8" s="4"/>
      <c r="K8" s="4"/>
      <c r="L8" s="8"/>
      <c r="M8" s="36" t="s">
        <v>50</v>
      </c>
      <c r="N8" s="4" t="s">
        <v>51</v>
      </c>
      <c r="O8" s="4"/>
      <c r="P8" s="4"/>
      <c r="Q8" s="4"/>
    </row>
    <row r="9" spans="1:17">
      <c r="A9" s="164"/>
      <c r="B9" s="164"/>
      <c r="C9" s="164"/>
      <c r="D9" s="164"/>
      <c r="E9" s="164"/>
      <c r="F9" s="164"/>
      <c r="G9" s="164"/>
      <c r="H9" s="164"/>
      <c r="I9" s="164"/>
      <c r="J9" s="164"/>
      <c r="K9" s="164"/>
      <c r="L9" s="164"/>
      <c r="M9" s="164"/>
      <c r="N9" s="164"/>
      <c r="O9" s="164"/>
      <c r="P9" s="164"/>
      <c r="Q9" s="164"/>
    </row>
    <row r="10" spans="1:17" ht="17.45">
      <c r="A10" s="163" t="s">
        <v>52</v>
      </c>
      <c r="B10" s="163"/>
      <c r="C10" s="163"/>
      <c r="D10" s="163"/>
      <c r="E10" s="163"/>
      <c r="F10" s="163"/>
      <c r="G10" s="163"/>
      <c r="H10" s="163"/>
      <c r="I10" s="163"/>
      <c r="J10" s="163"/>
      <c r="K10" s="163"/>
      <c r="L10" s="163"/>
      <c r="M10" s="163"/>
      <c r="N10" s="163"/>
      <c r="O10" s="163"/>
      <c r="P10" s="163"/>
      <c r="Q10" s="163"/>
    </row>
    <row r="11" spans="1:17" ht="43.15">
      <c r="A11" s="4" t="s">
        <v>53</v>
      </c>
      <c r="B11" s="4" t="s">
        <v>54</v>
      </c>
      <c r="C11" s="4" t="s">
        <v>55</v>
      </c>
      <c r="D11" s="4" t="s">
        <v>56</v>
      </c>
      <c r="E11" s="4" t="s">
        <v>57</v>
      </c>
      <c r="F11" s="9">
        <v>5</v>
      </c>
      <c r="G11" s="9">
        <v>3</v>
      </c>
      <c r="H11" s="9">
        <f>F11*G11</f>
        <v>15</v>
      </c>
      <c r="I11" s="9" t="s">
        <v>58</v>
      </c>
      <c r="J11" s="4" t="s">
        <v>59</v>
      </c>
      <c r="K11" s="4" t="s">
        <v>59</v>
      </c>
      <c r="L11" s="8" t="s">
        <v>24</v>
      </c>
      <c r="M11" s="9" t="s">
        <v>60</v>
      </c>
      <c r="N11" s="4" t="s">
        <v>61</v>
      </c>
      <c r="O11" s="4"/>
      <c r="P11" s="4"/>
      <c r="Q11" s="4"/>
    </row>
    <row r="12" spans="1:17" ht="43.15">
      <c r="A12" s="4" t="s">
        <v>62</v>
      </c>
      <c r="B12" s="4" t="s">
        <v>63</v>
      </c>
      <c r="C12" s="4" t="s">
        <v>64</v>
      </c>
      <c r="D12" s="4" t="s">
        <v>65</v>
      </c>
      <c r="E12" s="4" t="s">
        <v>27</v>
      </c>
      <c r="F12" s="9">
        <v>5</v>
      </c>
      <c r="G12" s="9">
        <v>2</v>
      </c>
      <c r="H12" s="9">
        <f>F12*G12</f>
        <v>10</v>
      </c>
      <c r="I12" s="9" t="s">
        <v>58</v>
      </c>
      <c r="J12" s="4" t="s">
        <v>59</v>
      </c>
      <c r="K12" s="4" t="s">
        <v>59</v>
      </c>
      <c r="L12" s="8" t="s">
        <v>24</v>
      </c>
      <c r="M12" s="9" t="s">
        <v>25</v>
      </c>
      <c r="N12" s="4" t="s">
        <v>66</v>
      </c>
      <c r="O12" s="4"/>
      <c r="P12" s="4"/>
      <c r="Q12" s="4"/>
    </row>
    <row r="13" spans="1:17" ht="43.15">
      <c r="A13" s="4" t="s">
        <v>67</v>
      </c>
      <c r="B13" s="4" t="s">
        <v>68</v>
      </c>
      <c r="C13" s="4" t="s">
        <v>69</v>
      </c>
      <c r="D13" s="4" t="s">
        <v>70</v>
      </c>
      <c r="E13" s="4" t="s">
        <v>71</v>
      </c>
      <c r="F13" s="9">
        <v>5</v>
      </c>
      <c r="G13" s="9">
        <v>4</v>
      </c>
      <c r="H13" s="9">
        <f>F13*G13</f>
        <v>20</v>
      </c>
      <c r="I13" s="9" t="s">
        <v>72</v>
      </c>
      <c r="J13" s="4" t="s">
        <v>59</v>
      </c>
      <c r="K13" s="4" t="s">
        <v>59</v>
      </c>
      <c r="L13" s="8" t="s">
        <v>73</v>
      </c>
      <c r="M13" s="9" t="s">
        <v>25</v>
      </c>
      <c r="N13" s="4" t="s">
        <v>74</v>
      </c>
      <c r="O13" s="4"/>
      <c r="P13" s="4"/>
      <c r="Q13" s="4"/>
    </row>
    <row r="14" spans="1:17" ht="43.15">
      <c r="A14" s="4" t="s">
        <v>75</v>
      </c>
      <c r="B14" s="4" t="s">
        <v>76</v>
      </c>
      <c r="C14" s="4" t="s">
        <v>77</v>
      </c>
      <c r="D14" s="4" t="s">
        <v>78</v>
      </c>
      <c r="E14" s="4" t="s">
        <v>79</v>
      </c>
      <c r="F14" s="9">
        <v>4</v>
      </c>
      <c r="G14" s="9">
        <v>2</v>
      </c>
      <c r="H14" s="9">
        <f t="shared" ref="H14:H19" si="0">F14*G14</f>
        <v>8</v>
      </c>
      <c r="I14" s="9"/>
      <c r="J14" s="4" t="s">
        <v>59</v>
      </c>
      <c r="K14" s="4" t="s">
        <v>59</v>
      </c>
      <c r="L14" s="8" t="s">
        <v>80</v>
      </c>
      <c r="M14" s="9" t="s">
        <v>60</v>
      </c>
      <c r="N14" s="4" t="s">
        <v>81</v>
      </c>
      <c r="O14" s="4"/>
      <c r="P14" s="4"/>
      <c r="Q14" s="4"/>
    </row>
    <row r="15" spans="1:17" ht="43.15">
      <c r="A15" s="4" t="s">
        <v>82</v>
      </c>
      <c r="B15" s="4" t="s">
        <v>83</v>
      </c>
      <c r="C15" s="4" t="s">
        <v>84</v>
      </c>
      <c r="D15" s="4" t="s">
        <v>85</v>
      </c>
      <c r="E15" s="4" t="s">
        <v>79</v>
      </c>
      <c r="F15" s="9">
        <v>3</v>
      </c>
      <c r="G15" s="9">
        <v>3</v>
      </c>
      <c r="H15" s="9">
        <f t="shared" si="0"/>
        <v>9</v>
      </c>
      <c r="I15" s="9"/>
      <c r="J15" s="4" t="s">
        <v>59</v>
      </c>
      <c r="K15" s="4" t="s">
        <v>59</v>
      </c>
      <c r="L15" s="8" t="s">
        <v>86</v>
      </c>
      <c r="M15" s="9" t="s">
        <v>87</v>
      </c>
      <c r="N15" s="4" t="s">
        <v>88</v>
      </c>
      <c r="O15" s="4"/>
      <c r="P15" s="4"/>
      <c r="Q15" s="4"/>
    </row>
    <row r="16" spans="1:17" ht="43.15">
      <c r="A16" s="37" t="s">
        <v>89</v>
      </c>
      <c r="B16" s="37" t="s">
        <v>90</v>
      </c>
      <c r="C16" s="37" t="s">
        <v>91</v>
      </c>
      <c r="D16" s="37" t="s">
        <v>92</v>
      </c>
      <c r="E16" s="37" t="s">
        <v>93</v>
      </c>
      <c r="F16" s="9">
        <v>5</v>
      </c>
      <c r="G16" s="9">
        <v>3</v>
      </c>
      <c r="H16" s="9">
        <f t="shared" si="0"/>
        <v>15</v>
      </c>
      <c r="I16" s="9"/>
      <c r="J16" s="4" t="s">
        <v>59</v>
      </c>
      <c r="K16" s="4" t="s">
        <v>59</v>
      </c>
      <c r="L16" s="8" t="s">
        <v>80</v>
      </c>
      <c r="M16" s="39" t="s">
        <v>60</v>
      </c>
      <c r="N16" s="37" t="s">
        <v>94</v>
      </c>
      <c r="O16" s="37"/>
      <c r="P16" s="37"/>
      <c r="Q16" s="37"/>
    </row>
    <row r="17" spans="1:17" ht="43.15">
      <c r="A17" s="37" t="s">
        <v>95</v>
      </c>
      <c r="B17" s="37" t="s">
        <v>96</v>
      </c>
      <c r="C17" s="37" t="s">
        <v>97</v>
      </c>
      <c r="D17" s="37" t="s">
        <v>98</v>
      </c>
      <c r="E17" s="37" t="s">
        <v>99</v>
      </c>
      <c r="F17" s="9">
        <v>5</v>
      </c>
      <c r="G17" s="9">
        <v>4</v>
      </c>
      <c r="H17" s="9">
        <f t="shared" si="0"/>
        <v>20</v>
      </c>
      <c r="I17" s="9"/>
      <c r="J17" s="4" t="s">
        <v>59</v>
      </c>
      <c r="K17" s="4" t="s">
        <v>59</v>
      </c>
      <c r="L17" s="8" t="s">
        <v>86</v>
      </c>
      <c r="M17" s="39" t="s">
        <v>100</v>
      </c>
      <c r="N17" s="37" t="s">
        <v>101</v>
      </c>
      <c r="O17" s="37"/>
      <c r="P17" s="37"/>
      <c r="Q17" s="37"/>
    </row>
    <row r="18" spans="1:17" ht="43.15">
      <c r="A18" s="4" t="s">
        <v>102</v>
      </c>
      <c r="B18" s="4" t="s">
        <v>103</v>
      </c>
      <c r="C18" s="4" t="s">
        <v>104</v>
      </c>
      <c r="D18" s="4" t="s">
        <v>105</v>
      </c>
      <c r="E18" s="4" t="s">
        <v>19</v>
      </c>
      <c r="F18" s="9">
        <v>5</v>
      </c>
      <c r="G18" s="9">
        <v>2</v>
      </c>
      <c r="H18" s="9">
        <f t="shared" si="0"/>
        <v>10</v>
      </c>
      <c r="I18" s="9"/>
      <c r="J18" s="4" t="s">
        <v>59</v>
      </c>
      <c r="K18" s="4" t="s">
        <v>59</v>
      </c>
      <c r="L18" s="8" t="s">
        <v>86</v>
      </c>
      <c r="M18" s="9" t="s">
        <v>25</v>
      </c>
      <c r="N18" s="4" t="s">
        <v>106</v>
      </c>
      <c r="O18" s="4"/>
      <c r="P18" s="4"/>
      <c r="Q18" s="4"/>
    </row>
    <row r="19" spans="1:17" ht="43.15">
      <c r="A19" s="4" t="s">
        <v>107</v>
      </c>
      <c r="B19" s="4" t="s">
        <v>108</v>
      </c>
      <c r="C19" s="4" t="s">
        <v>109</v>
      </c>
      <c r="D19" s="4" t="s">
        <v>110</v>
      </c>
      <c r="E19" s="4" t="s">
        <v>19</v>
      </c>
      <c r="F19" s="9">
        <v>4</v>
      </c>
      <c r="G19" s="9">
        <v>3</v>
      </c>
      <c r="H19" s="9">
        <f t="shared" si="0"/>
        <v>12</v>
      </c>
      <c r="I19" s="9"/>
      <c r="J19" s="4" t="s">
        <v>59</v>
      </c>
      <c r="K19" s="4" t="s">
        <v>59</v>
      </c>
      <c r="L19" s="8" t="s">
        <v>80</v>
      </c>
      <c r="M19" s="9" t="s">
        <v>25</v>
      </c>
      <c r="N19" s="4" t="s">
        <v>111</v>
      </c>
      <c r="O19" s="4"/>
      <c r="P19" s="4"/>
      <c r="Q19" s="4"/>
    </row>
    <row r="20" spans="1:17" ht="57.6">
      <c r="A20" s="4" t="s">
        <v>112</v>
      </c>
      <c r="B20" s="4" t="s">
        <v>113</v>
      </c>
      <c r="C20" s="4" t="s">
        <v>114</v>
      </c>
      <c r="D20" s="4" t="s">
        <v>115</v>
      </c>
      <c r="E20" s="4" t="s">
        <v>19</v>
      </c>
      <c r="F20" s="9">
        <v>4</v>
      </c>
      <c r="G20" s="9">
        <v>3</v>
      </c>
      <c r="H20" s="9">
        <f>F20*G20</f>
        <v>12</v>
      </c>
      <c r="I20" s="9"/>
      <c r="J20" s="4" t="s">
        <v>59</v>
      </c>
      <c r="K20" s="4" t="s">
        <v>59</v>
      </c>
      <c r="L20" s="8" t="s">
        <v>86</v>
      </c>
      <c r="M20" s="9" t="s">
        <v>116</v>
      </c>
      <c r="N20" s="4" t="s">
        <v>117</v>
      </c>
      <c r="O20" s="4"/>
      <c r="P20" s="4"/>
      <c r="Q20" s="4"/>
    </row>
    <row r="21" spans="1:17">
      <c r="A21" s="4"/>
      <c r="B21" s="4"/>
      <c r="C21" s="4"/>
      <c r="D21" s="4"/>
      <c r="E21" s="4"/>
      <c r="F21" s="9"/>
      <c r="G21" s="9"/>
      <c r="H21" s="9"/>
      <c r="I21" s="9"/>
      <c r="J21" s="4"/>
      <c r="K21" s="4"/>
      <c r="L21" s="8"/>
      <c r="M21" s="4"/>
      <c r="N21" s="4"/>
      <c r="O21" s="4"/>
      <c r="P21" s="4"/>
      <c r="Q21" s="4"/>
    </row>
    <row r="22" spans="1:17" ht="17.45">
      <c r="A22" s="163" t="s">
        <v>118</v>
      </c>
      <c r="B22" s="163"/>
      <c r="C22" s="163"/>
      <c r="D22" s="163"/>
      <c r="E22" s="163"/>
      <c r="F22" s="163"/>
      <c r="G22" s="163"/>
      <c r="H22" s="163"/>
      <c r="I22" s="163"/>
      <c r="J22" s="163"/>
      <c r="K22" s="163"/>
      <c r="L22" s="163"/>
      <c r="M22" s="163"/>
      <c r="N22" s="163"/>
      <c r="O22" s="163"/>
      <c r="P22" s="163"/>
      <c r="Q22" s="163"/>
    </row>
    <row r="23" spans="1:17" ht="15.6">
      <c r="A23" s="161" t="s">
        <v>119</v>
      </c>
      <c r="B23" s="161"/>
      <c r="C23" s="161"/>
      <c r="D23" s="161"/>
      <c r="E23" s="161"/>
      <c r="F23" s="161"/>
      <c r="G23" s="161"/>
      <c r="H23" s="161"/>
      <c r="I23" s="161"/>
      <c r="J23" s="161"/>
      <c r="K23" s="161"/>
      <c r="L23" s="161"/>
      <c r="M23" s="161"/>
      <c r="N23" s="161"/>
      <c r="O23" s="161"/>
      <c r="P23" s="161"/>
      <c r="Q23" s="161"/>
    </row>
    <row r="24" spans="1:17" ht="43.15">
      <c r="A24" s="40" t="s">
        <v>120</v>
      </c>
      <c r="B24" s="40" t="s">
        <v>121</v>
      </c>
      <c r="C24" s="147" t="s">
        <v>1779</v>
      </c>
      <c r="D24" s="40" t="s">
        <v>123</v>
      </c>
      <c r="E24" s="40" t="s">
        <v>124</v>
      </c>
      <c r="F24" s="9">
        <v>2</v>
      </c>
      <c r="G24" s="9">
        <v>2</v>
      </c>
      <c r="H24" s="9">
        <f t="shared" ref="H24:H51" si="1">F24*G24</f>
        <v>4</v>
      </c>
      <c r="I24" s="9"/>
      <c r="J24" s="40" t="s">
        <v>59</v>
      </c>
      <c r="K24" s="40" t="s">
        <v>59</v>
      </c>
      <c r="L24" s="8" t="s">
        <v>86</v>
      </c>
      <c r="M24" s="41" t="s">
        <v>25</v>
      </c>
      <c r="N24" s="40" t="s">
        <v>126</v>
      </c>
      <c r="O24" s="40" t="s">
        <v>125</v>
      </c>
      <c r="P24" s="40" t="s">
        <v>125</v>
      </c>
      <c r="Q24" s="40" t="s">
        <v>125</v>
      </c>
    </row>
    <row r="25" spans="1:17" ht="28.9">
      <c r="A25" s="40" t="s">
        <v>127</v>
      </c>
      <c r="B25" s="40" t="s">
        <v>128</v>
      </c>
      <c r="C25" s="148" t="s">
        <v>1780</v>
      </c>
      <c r="D25" s="40" t="s">
        <v>130</v>
      </c>
      <c r="E25" s="40" t="s">
        <v>102</v>
      </c>
      <c r="F25" s="9">
        <v>3</v>
      </c>
      <c r="G25" s="9">
        <v>1</v>
      </c>
      <c r="H25" s="9">
        <f t="shared" si="1"/>
        <v>3</v>
      </c>
      <c r="I25" s="9"/>
      <c r="J25" s="40" t="s">
        <v>59</v>
      </c>
      <c r="K25" s="40" t="s">
        <v>59</v>
      </c>
      <c r="L25" s="8" t="s">
        <v>86</v>
      </c>
      <c r="M25" s="42" t="s">
        <v>87</v>
      </c>
      <c r="N25" s="40" t="s">
        <v>131</v>
      </c>
      <c r="O25" s="40"/>
      <c r="P25" s="40"/>
      <c r="Q25" s="40"/>
    </row>
    <row r="26" spans="1:17" ht="28.9">
      <c r="A26" s="40" t="s">
        <v>132</v>
      </c>
      <c r="B26" s="40" t="s">
        <v>133</v>
      </c>
      <c r="C26" s="147" t="s">
        <v>1781</v>
      </c>
      <c r="D26" s="40" t="s">
        <v>135</v>
      </c>
      <c r="E26" s="40" t="s">
        <v>62</v>
      </c>
      <c r="F26" s="9">
        <v>3</v>
      </c>
      <c r="G26" s="9">
        <v>1</v>
      </c>
      <c r="H26" s="9">
        <f t="shared" si="1"/>
        <v>3</v>
      </c>
      <c r="I26" s="9"/>
      <c r="J26" s="40" t="s">
        <v>1782</v>
      </c>
      <c r="K26" s="40" t="s">
        <v>1783</v>
      </c>
      <c r="L26" s="8" t="s">
        <v>86</v>
      </c>
      <c r="M26" s="41" t="s">
        <v>136</v>
      </c>
      <c r="N26" s="40" t="s">
        <v>137</v>
      </c>
      <c r="O26" s="40" t="s">
        <v>125</v>
      </c>
      <c r="P26" s="40" t="s">
        <v>125</v>
      </c>
      <c r="Q26" s="40" t="s">
        <v>125</v>
      </c>
    </row>
    <row r="27" spans="1:17">
      <c r="A27" s="40" t="s">
        <v>138</v>
      </c>
      <c r="B27" s="40" t="s">
        <v>139</v>
      </c>
      <c r="C27" s="148" t="s">
        <v>1784</v>
      </c>
      <c r="D27" s="40"/>
      <c r="E27" s="40" t="s">
        <v>95</v>
      </c>
      <c r="F27" s="9">
        <v>5</v>
      </c>
      <c r="G27" s="9">
        <v>4</v>
      </c>
      <c r="H27" s="9">
        <f t="shared" si="1"/>
        <v>20</v>
      </c>
      <c r="I27" s="9"/>
      <c r="J27" s="40" t="s">
        <v>59</v>
      </c>
      <c r="K27" s="40" t="s">
        <v>59</v>
      </c>
      <c r="L27" s="8" t="s">
        <v>86</v>
      </c>
      <c r="M27" s="41"/>
      <c r="N27" s="40"/>
      <c r="O27" s="40"/>
      <c r="P27" s="40"/>
      <c r="Q27" s="40"/>
    </row>
    <row r="28" spans="1:17" hidden="1">
      <c r="A28" s="40" t="s">
        <v>142</v>
      </c>
      <c r="B28" s="40" t="s">
        <v>143</v>
      </c>
      <c r="C28" s="148" t="s">
        <v>144</v>
      </c>
      <c r="D28" s="40"/>
      <c r="E28" s="40" t="s">
        <v>95</v>
      </c>
      <c r="F28" s="9">
        <v>5</v>
      </c>
      <c r="G28" s="9">
        <v>4</v>
      </c>
      <c r="H28" s="9">
        <f t="shared" si="1"/>
        <v>20</v>
      </c>
      <c r="I28" s="9"/>
      <c r="J28" s="40"/>
      <c r="K28" s="40"/>
      <c r="L28" s="8"/>
      <c r="M28" s="41"/>
      <c r="N28" s="40"/>
      <c r="O28" s="40"/>
      <c r="P28" s="40"/>
      <c r="Q28" s="40"/>
    </row>
    <row r="29" spans="1:17" ht="28.9">
      <c r="A29" s="40" t="s">
        <v>146</v>
      </c>
      <c r="B29" s="40" t="s">
        <v>147</v>
      </c>
      <c r="C29" s="147" t="s">
        <v>1785</v>
      </c>
      <c r="D29" s="40" t="s">
        <v>149</v>
      </c>
      <c r="E29" s="40" t="s">
        <v>62</v>
      </c>
      <c r="F29" s="9">
        <v>4</v>
      </c>
      <c r="G29" s="9">
        <v>1</v>
      </c>
      <c r="H29" s="9">
        <f t="shared" si="1"/>
        <v>4</v>
      </c>
      <c r="I29" s="9"/>
      <c r="J29" s="40" t="s">
        <v>59</v>
      </c>
      <c r="K29" s="40" t="s">
        <v>59</v>
      </c>
      <c r="L29" s="8" t="s">
        <v>24</v>
      </c>
      <c r="M29" s="41" t="s">
        <v>60</v>
      </c>
      <c r="N29" s="40" t="s">
        <v>150</v>
      </c>
      <c r="O29" s="40" t="s">
        <v>125</v>
      </c>
      <c r="P29" s="40" t="s">
        <v>125</v>
      </c>
      <c r="Q29" s="40" t="s">
        <v>125</v>
      </c>
    </row>
    <row r="30" spans="1:17">
      <c r="A30" s="40" t="s">
        <v>151</v>
      </c>
      <c r="B30" s="40" t="s">
        <v>152</v>
      </c>
      <c r="C30" s="148" t="s">
        <v>153</v>
      </c>
      <c r="D30" s="43" t="s">
        <v>149</v>
      </c>
      <c r="E30" s="40" t="s">
        <v>62</v>
      </c>
      <c r="F30" s="9">
        <v>4</v>
      </c>
      <c r="G30" s="9">
        <v>2</v>
      </c>
      <c r="H30" s="9">
        <f t="shared" si="1"/>
        <v>8</v>
      </c>
      <c r="I30" s="9"/>
      <c r="J30" s="40" t="s">
        <v>125</v>
      </c>
      <c r="K30" s="40" t="s">
        <v>125</v>
      </c>
      <c r="L30" s="8" t="s">
        <v>86</v>
      </c>
      <c r="M30" s="41" t="s">
        <v>154</v>
      </c>
      <c r="N30" s="40" t="s">
        <v>155</v>
      </c>
      <c r="O30" s="40" t="s">
        <v>125</v>
      </c>
      <c r="P30" s="40" t="s">
        <v>125</v>
      </c>
      <c r="Q30" s="40" t="s">
        <v>125</v>
      </c>
    </row>
    <row r="31" spans="1:17">
      <c r="A31" s="40" t="s">
        <v>156</v>
      </c>
      <c r="B31" s="40" t="s">
        <v>157</v>
      </c>
      <c r="C31" s="148" t="s">
        <v>158</v>
      </c>
      <c r="D31" s="43" t="s">
        <v>149</v>
      </c>
      <c r="E31" s="40" t="s">
        <v>62</v>
      </c>
      <c r="F31" s="9">
        <v>4</v>
      </c>
      <c r="G31" s="9">
        <v>1</v>
      </c>
      <c r="H31" s="9">
        <f t="shared" si="1"/>
        <v>4</v>
      </c>
      <c r="I31" s="9"/>
      <c r="J31" s="40" t="s">
        <v>59</v>
      </c>
      <c r="K31" s="40" t="s">
        <v>59</v>
      </c>
      <c r="L31" s="8" t="s">
        <v>86</v>
      </c>
      <c r="M31" s="41" t="s">
        <v>154</v>
      </c>
      <c r="N31" s="40" t="s">
        <v>159</v>
      </c>
      <c r="O31" s="40" t="s">
        <v>125</v>
      </c>
      <c r="P31" s="40" t="s">
        <v>125</v>
      </c>
      <c r="Q31" s="40" t="s">
        <v>125</v>
      </c>
    </row>
    <row r="32" spans="1:17" ht="28.9">
      <c r="A32" s="40" t="s">
        <v>160</v>
      </c>
      <c r="B32" s="40" t="s">
        <v>161</v>
      </c>
      <c r="C32" s="149" t="s">
        <v>162</v>
      </c>
      <c r="D32" s="40" t="s">
        <v>163</v>
      </c>
      <c r="E32" s="40" t="s">
        <v>62</v>
      </c>
      <c r="F32" s="9">
        <v>4</v>
      </c>
      <c r="G32" s="9">
        <v>3</v>
      </c>
      <c r="H32" s="9">
        <f t="shared" si="1"/>
        <v>12</v>
      </c>
      <c r="I32" s="9"/>
      <c r="J32" s="40" t="s">
        <v>59</v>
      </c>
      <c r="K32" s="40" t="s">
        <v>59</v>
      </c>
      <c r="L32" s="8" t="s">
        <v>86</v>
      </c>
      <c r="M32" s="41" t="s">
        <v>164</v>
      </c>
      <c r="N32" s="40" t="s">
        <v>165</v>
      </c>
      <c r="O32" s="40" t="s">
        <v>125</v>
      </c>
      <c r="P32" s="40" t="s">
        <v>125</v>
      </c>
      <c r="Q32" s="40" t="s">
        <v>125</v>
      </c>
    </row>
    <row r="33" spans="1:17" ht="43.15">
      <c r="A33" s="40" t="s">
        <v>166</v>
      </c>
      <c r="B33" s="40" t="s">
        <v>167</v>
      </c>
      <c r="C33" s="148" t="s">
        <v>1786</v>
      </c>
      <c r="D33" s="40" t="s">
        <v>169</v>
      </c>
      <c r="E33" s="40" t="s">
        <v>170</v>
      </c>
      <c r="F33" s="9">
        <v>2</v>
      </c>
      <c r="G33" s="9">
        <v>2</v>
      </c>
      <c r="H33" s="9">
        <f t="shared" si="1"/>
        <v>4</v>
      </c>
      <c r="I33" s="9"/>
      <c r="J33" s="40" t="s">
        <v>59</v>
      </c>
      <c r="K33" s="40" t="s">
        <v>59</v>
      </c>
      <c r="L33" s="8" t="s">
        <v>86</v>
      </c>
      <c r="M33" s="41" t="s">
        <v>60</v>
      </c>
      <c r="N33" s="40" t="s">
        <v>171</v>
      </c>
      <c r="O33" s="40" t="s">
        <v>125</v>
      </c>
      <c r="P33" s="40" t="s">
        <v>125</v>
      </c>
      <c r="Q33" s="40" t="s">
        <v>125</v>
      </c>
    </row>
    <row r="34" spans="1:17" ht="28.9" hidden="1">
      <c r="A34" s="40" t="s">
        <v>172</v>
      </c>
      <c r="B34" s="40" t="s">
        <v>173</v>
      </c>
      <c r="C34" s="148" t="s">
        <v>174</v>
      </c>
      <c r="D34" s="40" t="s">
        <v>175</v>
      </c>
      <c r="E34" s="43" t="s">
        <v>107</v>
      </c>
      <c r="F34" s="9">
        <v>2</v>
      </c>
      <c r="G34" s="9">
        <v>2</v>
      </c>
      <c r="H34" s="9">
        <f t="shared" si="1"/>
        <v>4</v>
      </c>
      <c r="I34" s="9"/>
      <c r="J34" s="45" t="s">
        <v>176</v>
      </c>
      <c r="K34" s="40" t="s">
        <v>177</v>
      </c>
      <c r="L34" s="8" t="s">
        <v>24</v>
      </c>
      <c r="M34" s="41" t="s">
        <v>136</v>
      </c>
      <c r="N34" s="40" t="s">
        <v>178</v>
      </c>
      <c r="O34" s="40" t="s">
        <v>125</v>
      </c>
      <c r="P34" s="40" t="s">
        <v>125</v>
      </c>
      <c r="Q34" s="40" t="s">
        <v>125</v>
      </c>
    </row>
    <row r="35" spans="1:17" ht="43.15" hidden="1">
      <c r="A35" s="40" t="s">
        <v>179</v>
      </c>
      <c r="B35" s="40" t="s">
        <v>180</v>
      </c>
      <c r="C35" s="148" t="s">
        <v>181</v>
      </c>
      <c r="D35" s="40" t="s">
        <v>182</v>
      </c>
      <c r="E35" s="43" t="s">
        <v>107</v>
      </c>
      <c r="F35" s="9">
        <v>2</v>
      </c>
      <c r="G35" s="9">
        <v>2</v>
      </c>
      <c r="H35" s="9">
        <f t="shared" si="1"/>
        <v>4</v>
      </c>
      <c r="I35" s="9"/>
      <c r="J35" s="40" t="s">
        <v>59</v>
      </c>
      <c r="K35" s="40" t="s">
        <v>59</v>
      </c>
      <c r="L35" s="8" t="s">
        <v>24</v>
      </c>
      <c r="M35" s="41" t="s">
        <v>183</v>
      </c>
      <c r="N35" s="40" t="s">
        <v>184</v>
      </c>
      <c r="O35" s="40" t="s">
        <v>125</v>
      </c>
      <c r="P35" s="40" t="s">
        <v>125</v>
      </c>
      <c r="Q35" s="40" t="s">
        <v>125</v>
      </c>
    </row>
    <row r="36" spans="1:17" ht="28.9">
      <c r="A36" s="40" t="s">
        <v>185</v>
      </c>
      <c r="B36" s="40" t="s">
        <v>186</v>
      </c>
      <c r="C36" s="148" t="s">
        <v>187</v>
      </c>
      <c r="D36" s="40" t="s">
        <v>188</v>
      </c>
      <c r="E36" s="40" t="s">
        <v>189</v>
      </c>
      <c r="F36" s="9">
        <v>5</v>
      </c>
      <c r="G36" s="9">
        <v>2</v>
      </c>
      <c r="H36" s="9">
        <f t="shared" si="1"/>
        <v>10</v>
      </c>
      <c r="I36" s="9"/>
      <c r="J36" s="40" t="s">
        <v>59</v>
      </c>
      <c r="K36" s="40" t="s">
        <v>59</v>
      </c>
      <c r="L36" s="8" t="s">
        <v>86</v>
      </c>
      <c r="M36" s="41" t="s">
        <v>136</v>
      </c>
      <c r="N36" s="40" t="s">
        <v>190</v>
      </c>
      <c r="O36" s="40" t="s">
        <v>125</v>
      </c>
      <c r="P36" s="40" t="s">
        <v>125</v>
      </c>
      <c r="Q36" s="40" t="s">
        <v>125</v>
      </c>
    </row>
    <row r="37" spans="1:17" ht="28.9">
      <c r="A37" s="40" t="s">
        <v>191</v>
      </c>
      <c r="B37" s="40" t="s">
        <v>192</v>
      </c>
      <c r="C37" s="148" t="s">
        <v>193</v>
      </c>
      <c r="D37" s="40" t="s">
        <v>194</v>
      </c>
      <c r="E37" s="40" t="s">
        <v>195</v>
      </c>
      <c r="F37" s="9">
        <v>4</v>
      </c>
      <c r="G37" s="9">
        <v>1</v>
      </c>
      <c r="H37" s="9">
        <f t="shared" si="1"/>
        <v>4</v>
      </c>
      <c r="I37" s="9"/>
      <c r="J37" s="40" t="s">
        <v>59</v>
      </c>
      <c r="K37" s="40" t="s">
        <v>1787</v>
      </c>
      <c r="L37" s="8" t="s">
        <v>86</v>
      </c>
      <c r="M37" s="41" t="s">
        <v>198</v>
      </c>
      <c r="N37" s="40" t="s">
        <v>199</v>
      </c>
      <c r="O37" s="40" t="s">
        <v>125</v>
      </c>
      <c r="P37" s="40" t="s">
        <v>125</v>
      </c>
      <c r="Q37" s="40" t="s">
        <v>125</v>
      </c>
    </row>
    <row r="38" spans="1:17" ht="28.9">
      <c r="A38" s="40" t="s">
        <v>200</v>
      </c>
      <c r="B38" s="40" t="s">
        <v>201</v>
      </c>
      <c r="C38" s="148" t="s">
        <v>202</v>
      </c>
      <c r="D38" s="40" t="s">
        <v>203</v>
      </c>
      <c r="E38" s="43" t="s">
        <v>107</v>
      </c>
      <c r="F38" s="9">
        <v>2</v>
      </c>
      <c r="G38" s="9">
        <v>1</v>
      </c>
      <c r="H38" s="9">
        <f t="shared" si="1"/>
        <v>2</v>
      </c>
      <c r="I38" s="9"/>
      <c r="J38" s="40" t="s">
        <v>59</v>
      </c>
      <c r="K38" s="40" t="s">
        <v>59</v>
      </c>
      <c r="L38" s="8" t="s">
        <v>86</v>
      </c>
      <c r="M38" s="41" t="s">
        <v>204</v>
      </c>
      <c r="N38" s="40" t="s">
        <v>205</v>
      </c>
      <c r="O38" s="40" t="s">
        <v>125</v>
      </c>
      <c r="P38" s="40" t="s">
        <v>125</v>
      </c>
      <c r="Q38" s="40" t="s">
        <v>125</v>
      </c>
    </row>
    <row r="39" spans="1:17" ht="43.15" hidden="1">
      <c r="A39" s="40" t="s">
        <v>206</v>
      </c>
      <c r="B39" s="40" t="s">
        <v>207</v>
      </c>
      <c r="C39" s="148" t="s">
        <v>208</v>
      </c>
      <c r="D39" s="40" t="s">
        <v>209</v>
      </c>
      <c r="E39" s="40" t="s">
        <v>210</v>
      </c>
      <c r="F39" s="9">
        <v>3</v>
      </c>
      <c r="G39" s="9">
        <v>1</v>
      </c>
      <c r="H39" s="9">
        <f t="shared" si="1"/>
        <v>3</v>
      </c>
      <c r="I39" s="9"/>
      <c r="J39" s="40" t="s">
        <v>59</v>
      </c>
      <c r="K39" s="40" t="s">
        <v>59</v>
      </c>
      <c r="L39" s="8" t="s">
        <v>24</v>
      </c>
      <c r="M39" s="41" t="s">
        <v>198</v>
      </c>
      <c r="N39" s="40" t="s">
        <v>211</v>
      </c>
      <c r="O39" s="40" t="s">
        <v>125</v>
      </c>
      <c r="P39" s="40" t="s">
        <v>125</v>
      </c>
      <c r="Q39" s="40" t="s">
        <v>125</v>
      </c>
    </row>
    <row r="40" spans="1:17" ht="28.9" hidden="1">
      <c r="A40" s="40" t="s">
        <v>212</v>
      </c>
      <c r="B40" s="40" t="s">
        <v>213</v>
      </c>
      <c r="C40" s="148" t="s">
        <v>214</v>
      </c>
      <c r="D40" s="40" t="s">
        <v>215</v>
      </c>
      <c r="E40" s="40" t="s">
        <v>210</v>
      </c>
      <c r="F40" s="9">
        <v>3</v>
      </c>
      <c r="G40" s="9">
        <v>1</v>
      </c>
      <c r="H40" s="9">
        <f t="shared" si="1"/>
        <v>3</v>
      </c>
      <c r="I40" s="9"/>
      <c r="J40" s="40" t="s">
        <v>59</v>
      </c>
      <c r="K40" s="40" t="s">
        <v>59</v>
      </c>
      <c r="L40" s="8" t="s">
        <v>24</v>
      </c>
      <c r="M40" s="41" t="s">
        <v>198</v>
      </c>
      <c r="N40" s="40" t="s">
        <v>216</v>
      </c>
      <c r="O40" s="40" t="s">
        <v>125</v>
      </c>
      <c r="P40" s="40" t="s">
        <v>125</v>
      </c>
      <c r="Q40" s="40" t="s">
        <v>125</v>
      </c>
    </row>
    <row r="41" spans="1:17" ht="28.9">
      <c r="A41" s="40" t="s">
        <v>217</v>
      </c>
      <c r="B41" s="40" t="s">
        <v>218</v>
      </c>
      <c r="C41" s="148" t="s">
        <v>219</v>
      </c>
      <c r="D41" s="40" t="s">
        <v>220</v>
      </c>
      <c r="E41" s="40" t="s">
        <v>82</v>
      </c>
      <c r="F41" s="9">
        <v>3</v>
      </c>
      <c r="G41" s="9">
        <v>3</v>
      </c>
      <c r="H41" s="9">
        <f t="shared" si="1"/>
        <v>9</v>
      </c>
      <c r="I41" s="9"/>
      <c r="J41" s="40" t="s">
        <v>221</v>
      </c>
      <c r="K41" s="40" t="s">
        <v>222</v>
      </c>
      <c r="L41" s="8" t="s">
        <v>80</v>
      </c>
      <c r="M41" s="41" t="s">
        <v>25</v>
      </c>
      <c r="N41" s="40" t="s">
        <v>223</v>
      </c>
      <c r="O41" s="40" t="s">
        <v>125</v>
      </c>
      <c r="P41" s="40" t="s">
        <v>125</v>
      </c>
      <c r="Q41" s="40" t="s">
        <v>125</v>
      </c>
    </row>
    <row r="42" spans="1:17" ht="43.15">
      <c r="A42" s="40" t="s">
        <v>224</v>
      </c>
      <c r="B42" s="40" t="s">
        <v>225</v>
      </c>
      <c r="C42" s="148" t="s">
        <v>226</v>
      </c>
      <c r="D42" s="40" t="s">
        <v>227</v>
      </c>
      <c r="E42" s="40" t="s">
        <v>228</v>
      </c>
      <c r="F42" s="9">
        <v>4</v>
      </c>
      <c r="G42" s="9">
        <v>3</v>
      </c>
      <c r="H42" s="9">
        <f t="shared" si="1"/>
        <v>12</v>
      </c>
      <c r="I42" s="9"/>
      <c r="J42" s="40" t="s">
        <v>229</v>
      </c>
      <c r="K42" s="40" t="s">
        <v>230</v>
      </c>
      <c r="L42" s="8" t="s">
        <v>86</v>
      </c>
      <c r="M42" s="41" t="s">
        <v>231</v>
      </c>
      <c r="N42" s="40" t="s">
        <v>232</v>
      </c>
      <c r="O42" s="40" t="s">
        <v>125</v>
      </c>
      <c r="P42" s="40" t="s">
        <v>125</v>
      </c>
      <c r="Q42" s="40" t="s">
        <v>125</v>
      </c>
    </row>
    <row r="43" spans="1:17" ht="43.15">
      <c r="A43" s="40" t="s">
        <v>233</v>
      </c>
      <c r="B43" s="40" t="s">
        <v>234</v>
      </c>
      <c r="C43" s="148" t="s">
        <v>235</v>
      </c>
      <c r="D43" s="40" t="s">
        <v>236</v>
      </c>
      <c r="E43" s="40" t="s">
        <v>237</v>
      </c>
      <c r="F43" s="9">
        <v>5</v>
      </c>
      <c r="G43" s="9">
        <v>3</v>
      </c>
      <c r="H43" s="9">
        <f t="shared" si="1"/>
        <v>15</v>
      </c>
      <c r="I43" s="9"/>
      <c r="J43" s="40" t="s">
        <v>59</v>
      </c>
      <c r="K43" s="40" t="s">
        <v>59</v>
      </c>
      <c r="L43" s="8" t="s">
        <v>86</v>
      </c>
      <c r="M43" s="49" t="s">
        <v>238</v>
      </c>
      <c r="N43" s="48" t="s">
        <v>239</v>
      </c>
      <c r="O43" s="48" t="s">
        <v>125</v>
      </c>
      <c r="P43" s="48" t="s">
        <v>125</v>
      </c>
      <c r="Q43" s="48" t="s">
        <v>125</v>
      </c>
    </row>
    <row r="44" spans="1:17" ht="28.9">
      <c r="A44" s="40" t="s">
        <v>240</v>
      </c>
      <c r="B44" s="40" t="s">
        <v>241</v>
      </c>
      <c r="C44" s="148" t="s">
        <v>242</v>
      </c>
      <c r="D44" s="40" t="s">
        <v>243</v>
      </c>
      <c r="E44" s="40" t="s">
        <v>53</v>
      </c>
      <c r="F44" s="9">
        <v>4</v>
      </c>
      <c r="G44" s="9">
        <v>3</v>
      </c>
      <c r="H44" s="9">
        <f t="shared" si="1"/>
        <v>12</v>
      </c>
      <c r="I44" s="9"/>
      <c r="J44" s="40" t="s">
        <v>59</v>
      </c>
      <c r="K44" s="40" t="s">
        <v>59</v>
      </c>
      <c r="L44" s="8" t="s">
        <v>86</v>
      </c>
      <c r="M44" s="41" t="s">
        <v>136</v>
      </c>
      <c r="N44" s="40" t="s">
        <v>244</v>
      </c>
      <c r="O44" s="40" t="s">
        <v>125</v>
      </c>
      <c r="P44" s="40" t="s">
        <v>125</v>
      </c>
      <c r="Q44" s="40" t="s">
        <v>125</v>
      </c>
    </row>
    <row r="45" spans="1:17" ht="43.15">
      <c r="A45" s="40" t="s">
        <v>245</v>
      </c>
      <c r="B45" s="40" t="s">
        <v>246</v>
      </c>
      <c r="C45" s="148" t="s">
        <v>1788</v>
      </c>
      <c r="D45" s="40" t="s">
        <v>248</v>
      </c>
      <c r="E45" s="40" t="s">
        <v>53</v>
      </c>
      <c r="F45" s="9">
        <v>3</v>
      </c>
      <c r="G45" s="9">
        <v>2</v>
      </c>
      <c r="H45" s="9">
        <f t="shared" si="1"/>
        <v>6</v>
      </c>
      <c r="I45" s="9"/>
      <c r="J45" s="40" t="s">
        <v>1789</v>
      </c>
      <c r="K45" s="40" t="s">
        <v>1790</v>
      </c>
      <c r="L45" s="8" t="s">
        <v>86</v>
      </c>
      <c r="M45" s="41" t="s">
        <v>25</v>
      </c>
      <c r="N45" s="40" t="s">
        <v>251</v>
      </c>
      <c r="O45" s="40" t="s">
        <v>125</v>
      </c>
      <c r="P45" s="40" t="s">
        <v>125</v>
      </c>
      <c r="Q45" s="40" t="s">
        <v>125</v>
      </c>
    </row>
    <row r="46" spans="1:17" ht="28.9" hidden="1">
      <c r="A46" s="40" t="s">
        <v>252</v>
      </c>
      <c r="B46" s="40" t="s">
        <v>253</v>
      </c>
      <c r="C46" s="148" t="s">
        <v>254</v>
      </c>
      <c r="D46" s="40" t="s">
        <v>255</v>
      </c>
      <c r="E46" s="43" t="s">
        <v>107</v>
      </c>
      <c r="F46" s="9">
        <v>2</v>
      </c>
      <c r="G46" s="9">
        <v>1</v>
      </c>
      <c r="H46" s="9">
        <f t="shared" si="1"/>
        <v>2</v>
      </c>
      <c r="I46" s="9"/>
      <c r="J46" s="40" t="s">
        <v>59</v>
      </c>
      <c r="K46" s="40" t="s">
        <v>59</v>
      </c>
      <c r="L46" s="8" t="s">
        <v>24</v>
      </c>
      <c r="M46" s="41" t="s">
        <v>87</v>
      </c>
      <c r="N46" s="40" t="s">
        <v>256</v>
      </c>
      <c r="O46" s="40" t="s">
        <v>125</v>
      </c>
      <c r="P46" s="40" t="s">
        <v>125</v>
      </c>
      <c r="Q46" s="40" t="s">
        <v>125</v>
      </c>
    </row>
    <row r="47" spans="1:17" ht="43.15" hidden="1">
      <c r="A47" s="40" t="s">
        <v>257</v>
      </c>
      <c r="B47" s="40" t="s">
        <v>258</v>
      </c>
      <c r="C47" s="148" t="s">
        <v>259</v>
      </c>
      <c r="D47" s="40" t="s">
        <v>260</v>
      </c>
      <c r="E47" s="43" t="s">
        <v>261</v>
      </c>
      <c r="F47" s="9">
        <v>4</v>
      </c>
      <c r="G47" s="9">
        <v>2</v>
      </c>
      <c r="H47" s="9">
        <f t="shared" si="1"/>
        <v>8</v>
      </c>
      <c r="I47" s="9"/>
      <c r="J47" s="40" t="s">
        <v>59</v>
      </c>
      <c r="K47" s="40" t="s">
        <v>59</v>
      </c>
      <c r="L47" s="8" t="s">
        <v>24</v>
      </c>
      <c r="M47" s="41" t="s">
        <v>100</v>
      </c>
      <c r="N47" s="40" t="s">
        <v>262</v>
      </c>
      <c r="O47" s="40" t="s">
        <v>125</v>
      </c>
      <c r="P47" s="40" t="s">
        <v>125</v>
      </c>
      <c r="Q47" s="40" t="s">
        <v>125</v>
      </c>
    </row>
    <row r="48" spans="1:17" hidden="1">
      <c r="A48" s="40" t="s">
        <v>263</v>
      </c>
      <c r="B48" s="40" t="s">
        <v>264</v>
      </c>
      <c r="C48" s="150" t="s">
        <v>265</v>
      </c>
      <c r="D48" s="40" t="s">
        <v>266</v>
      </c>
      <c r="E48" s="43" t="s">
        <v>107</v>
      </c>
      <c r="F48" s="9">
        <v>3</v>
      </c>
      <c r="G48" s="9">
        <v>2</v>
      </c>
      <c r="H48" s="9">
        <f t="shared" si="1"/>
        <v>6</v>
      </c>
      <c r="I48" s="9"/>
      <c r="J48" s="40" t="s">
        <v>1791</v>
      </c>
      <c r="K48" s="40">
        <v>2</v>
      </c>
      <c r="L48" s="8" t="s">
        <v>24</v>
      </c>
      <c r="M48" s="41" t="s">
        <v>204</v>
      </c>
      <c r="N48" s="40" t="s">
        <v>269</v>
      </c>
      <c r="O48" s="40" t="s">
        <v>125</v>
      </c>
      <c r="P48" s="40" t="s">
        <v>125</v>
      </c>
      <c r="Q48" s="40" t="s">
        <v>125</v>
      </c>
    </row>
    <row r="49" spans="1:17" ht="28.9" hidden="1">
      <c r="A49" s="40" t="s">
        <v>270</v>
      </c>
      <c r="B49" s="40" t="s">
        <v>271</v>
      </c>
      <c r="C49" s="148" t="s">
        <v>272</v>
      </c>
      <c r="D49" s="40" t="s">
        <v>273</v>
      </c>
      <c r="E49" s="43" t="s">
        <v>210</v>
      </c>
      <c r="F49" s="9">
        <v>2</v>
      </c>
      <c r="G49" s="9">
        <v>1</v>
      </c>
      <c r="H49" s="9">
        <f t="shared" si="1"/>
        <v>2</v>
      </c>
      <c r="I49" s="9"/>
      <c r="J49" s="40" t="s">
        <v>59</v>
      </c>
      <c r="K49" s="40" t="s">
        <v>59</v>
      </c>
      <c r="L49" s="8" t="s">
        <v>24</v>
      </c>
      <c r="M49" s="41" t="s">
        <v>25</v>
      </c>
      <c r="N49" s="40" t="s">
        <v>274</v>
      </c>
      <c r="O49" s="40" t="s">
        <v>125</v>
      </c>
      <c r="P49" s="40" t="s">
        <v>125</v>
      </c>
      <c r="Q49" s="40" t="s">
        <v>125</v>
      </c>
    </row>
    <row r="50" spans="1:17" ht="43.15" hidden="1">
      <c r="A50" s="40" t="s">
        <v>275</v>
      </c>
      <c r="B50" s="40" t="s">
        <v>276</v>
      </c>
      <c r="C50" s="148" t="s">
        <v>277</v>
      </c>
      <c r="D50" s="40" t="s">
        <v>278</v>
      </c>
      <c r="E50" s="43" t="s">
        <v>107</v>
      </c>
      <c r="F50" s="9">
        <v>2</v>
      </c>
      <c r="G50" s="9">
        <v>1</v>
      </c>
      <c r="H50" s="9">
        <f t="shared" si="1"/>
        <v>2</v>
      </c>
      <c r="I50" s="9"/>
      <c r="J50" s="40" t="s">
        <v>59</v>
      </c>
      <c r="K50" s="40" t="s">
        <v>59</v>
      </c>
      <c r="L50" s="8" t="s">
        <v>24</v>
      </c>
      <c r="M50" s="41" t="s">
        <v>136</v>
      </c>
      <c r="N50" s="40" t="s">
        <v>279</v>
      </c>
      <c r="O50" s="40" t="s">
        <v>125</v>
      </c>
      <c r="P50" s="40" t="s">
        <v>125</v>
      </c>
      <c r="Q50" s="40" t="s">
        <v>125</v>
      </c>
    </row>
    <row r="51" spans="1:17" ht="28.9">
      <c r="A51" s="4" t="s">
        <v>280</v>
      </c>
      <c r="B51" s="40" t="s">
        <v>281</v>
      </c>
      <c r="C51" s="148" t="s">
        <v>282</v>
      </c>
      <c r="D51" s="40"/>
      <c r="E51" s="4" t="s">
        <v>210</v>
      </c>
      <c r="F51" s="9">
        <v>5</v>
      </c>
      <c r="G51" s="9">
        <v>1</v>
      </c>
      <c r="H51" s="9">
        <f t="shared" si="1"/>
        <v>5</v>
      </c>
      <c r="I51" s="9"/>
      <c r="J51" s="4" t="s">
        <v>59</v>
      </c>
      <c r="K51" s="4" t="s">
        <v>59</v>
      </c>
      <c r="L51" s="8" t="s">
        <v>86</v>
      </c>
      <c r="M51" s="42" t="s">
        <v>25</v>
      </c>
      <c r="N51" s="40" t="s">
        <v>283</v>
      </c>
      <c r="O51" s="4"/>
      <c r="P51" s="4"/>
      <c r="Q51" s="4"/>
    </row>
    <row r="52" spans="1:17">
      <c r="A52" s="40"/>
      <c r="B52" s="40"/>
      <c r="C52" s="40"/>
      <c r="D52" s="40"/>
      <c r="E52" s="43"/>
      <c r="F52" s="9"/>
      <c r="G52" s="9"/>
      <c r="H52" s="9"/>
      <c r="I52" s="9"/>
      <c r="J52" s="40"/>
      <c r="K52" s="40"/>
      <c r="L52" s="8"/>
      <c r="M52" s="41"/>
      <c r="N52" s="40"/>
      <c r="O52" s="40"/>
      <c r="P52" s="40"/>
      <c r="Q52" s="40"/>
    </row>
    <row r="53" spans="1:17" ht="15.6">
      <c r="A53" s="161" t="s">
        <v>284</v>
      </c>
      <c r="B53" s="161"/>
      <c r="C53" s="161"/>
      <c r="D53" s="161"/>
      <c r="E53" s="161"/>
      <c r="F53" s="161"/>
      <c r="G53" s="161"/>
      <c r="H53" s="161"/>
      <c r="I53" s="161"/>
      <c r="J53" s="161"/>
      <c r="K53" s="161"/>
      <c r="L53" s="161"/>
      <c r="M53" s="161"/>
      <c r="N53" s="161"/>
      <c r="O53" s="161"/>
      <c r="P53" s="161"/>
      <c r="Q53" s="161"/>
    </row>
    <row r="54" spans="1:17" ht="28.9">
      <c r="A54" s="4" t="s">
        <v>285</v>
      </c>
      <c r="B54" s="4" t="s">
        <v>286</v>
      </c>
      <c r="C54" s="4" t="s">
        <v>287</v>
      </c>
      <c r="D54" s="4" t="s">
        <v>288</v>
      </c>
      <c r="E54" s="4" t="s">
        <v>289</v>
      </c>
      <c r="F54" s="9">
        <v>3</v>
      </c>
      <c r="G54" s="9">
        <v>1</v>
      </c>
      <c r="H54" s="9">
        <f>F54*G54</f>
        <v>3</v>
      </c>
      <c r="I54" s="9"/>
      <c r="J54" s="4" t="s">
        <v>290</v>
      </c>
      <c r="K54" s="4" t="s">
        <v>59</v>
      </c>
      <c r="L54" s="8" t="s">
        <v>86</v>
      </c>
      <c r="M54" s="9" t="s">
        <v>25</v>
      </c>
      <c r="N54" s="4" t="s">
        <v>291</v>
      </c>
      <c r="O54" s="4"/>
      <c r="P54" s="4"/>
      <c r="Q54" s="4"/>
    </row>
    <row r="55" spans="1:17" ht="28.9">
      <c r="A55" s="4" t="s">
        <v>292</v>
      </c>
      <c r="B55" s="4" t="s">
        <v>293</v>
      </c>
      <c r="C55" s="4" t="s">
        <v>294</v>
      </c>
      <c r="D55" s="4" t="s">
        <v>295</v>
      </c>
      <c r="E55" s="4" t="s">
        <v>67</v>
      </c>
      <c r="F55" s="9">
        <v>5</v>
      </c>
      <c r="G55" s="9">
        <v>2</v>
      </c>
      <c r="H55" s="9">
        <f>F55*G55</f>
        <v>10</v>
      </c>
      <c r="I55" s="9"/>
      <c r="J55" s="4" t="s">
        <v>290</v>
      </c>
      <c r="K55" s="4" t="s">
        <v>59</v>
      </c>
      <c r="L55" s="8" t="s">
        <v>86</v>
      </c>
      <c r="M55" s="9" t="s">
        <v>25</v>
      </c>
      <c r="N55" s="4" t="s">
        <v>296</v>
      </c>
      <c r="O55" s="4"/>
      <c r="P55" s="4"/>
      <c r="Q55" s="4"/>
    </row>
    <row r="56" spans="1:17" ht="43.15">
      <c r="A56" s="4" t="s">
        <v>297</v>
      </c>
      <c r="B56" s="4" t="s">
        <v>298</v>
      </c>
      <c r="C56" s="4" t="s">
        <v>299</v>
      </c>
      <c r="D56" s="4" t="s">
        <v>300</v>
      </c>
      <c r="E56" s="4" t="s">
        <v>301</v>
      </c>
      <c r="F56" s="9">
        <v>2</v>
      </c>
      <c r="G56" s="9">
        <v>3</v>
      </c>
      <c r="H56" s="9">
        <f>F56*G56</f>
        <v>6</v>
      </c>
      <c r="I56" s="9"/>
      <c r="J56" s="4" t="s">
        <v>290</v>
      </c>
      <c r="K56" s="4" t="s">
        <v>59</v>
      </c>
      <c r="L56" s="8" t="s">
        <v>86</v>
      </c>
      <c r="M56" s="9" t="s">
        <v>25</v>
      </c>
      <c r="N56" s="4" t="s">
        <v>302</v>
      </c>
      <c r="O56" s="4"/>
      <c r="P56" s="4"/>
      <c r="Q56" s="4"/>
    </row>
    <row r="57" spans="1:17" ht="72">
      <c r="A57" s="4" t="s">
        <v>303</v>
      </c>
      <c r="B57" s="4" t="s">
        <v>304</v>
      </c>
      <c r="C57" s="4" t="s">
        <v>305</v>
      </c>
      <c r="D57" s="4" t="s">
        <v>306</v>
      </c>
      <c r="E57" s="4" t="s">
        <v>307</v>
      </c>
      <c r="F57" s="9">
        <v>3</v>
      </c>
      <c r="G57" s="9">
        <v>2</v>
      </c>
      <c r="H57" s="9">
        <f t="shared" ref="H57:H58" si="2">F57*G57</f>
        <v>6</v>
      </c>
      <c r="I57" s="9"/>
      <c r="J57" s="4" t="s">
        <v>290</v>
      </c>
      <c r="K57" s="4" t="s">
        <v>59</v>
      </c>
      <c r="L57" s="8" t="s">
        <v>86</v>
      </c>
      <c r="M57" s="9" t="s">
        <v>60</v>
      </c>
      <c r="N57" s="4" t="s">
        <v>308</v>
      </c>
      <c r="O57" s="4"/>
      <c r="P57" s="4"/>
      <c r="Q57" s="4"/>
    </row>
    <row r="58" spans="1:17" ht="43.15">
      <c r="A58" s="4" t="s">
        <v>309</v>
      </c>
      <c r="B58" s="4" t="s">
        <v>310</v>
      </c>
      <c r="C58" s="4" t="s">
        <v>311</v>
      </c>
      <c r="D58" s="4" t="s">
        <v>312</v>
      </c>
      <c r="E58" s="4" t="s">
        <v>313</v>
      </c>
      <c r="F58" s="9">
        <v>3</v>
      </c>
      <c r="G58" s="9">
        <v>2</v>
      </c>
      <c r="H58" s="9">
        <f t="shared" si="2"/>
        <v>6</v>
      </c>
      <c r="I58" s="9"/>
      <c r="J58" s="4" t="s">
        <v>314</v>
      </c>
      <c r="K58" s="4" t="s">
        <v>314</v>
      </c>
      <c r="L58" s="8" t="s">
        <v>86</v>
      </c>
      <c r="M58" s="9" t="s">
        <v>87</v>
      </c>
      <c r="N58" s="4" t="s">
        <v>315</v>
      </c>
      <c r="O58" s="4"/>
      <c r="P58" s="4"/>
      <c r="Q58" s="4"/>
    </row>
    <row r="59" spans="1:17" ht="43.15">
      <c r="A59" s="4" t="s">
        <v>316</v>
      </c>
      <c r="B59" s="4" t="s">
        <v>317</v>
      </c>
      <c r="C59" s="4" t="s">
        <v>318</v>
      </c>
      <c r="D59" s="4" t="s">
        <v>319</v>
      </c>
      <c r="E59" s="4" t="s">
        <v>67</v>
      </c>
      <c r="F59" s="9">
        <v>3</v>
      </c>
      <c r="G59" s="9">
        <v>2</v>
      </c>
      <c r="H59" s="9">
        <f>F59*G59</f>
        <v>6</v>
      </c>
      <c r="I59" s="9"/>
      <c r="J59" s="4" t="s">
        <v>320</v>
      </c>
      <c r="K59" s="4" t="s">
        <v>320</v>
      </c>
      <c r="L59" s="8" t="s">
        <v>80</v>
      </c>
      <c r="M59" s="9" t="s">
        <v>198</v>
      </c>
      <c r="N59" s="4" t="s">
        <v>321</v>
      </c>
      <c r="O59" s="4"/>
      <c r="P59" s="4"/>
      <c r="Q59" s="4"/>
    </row>
    <row r="60" spans="1:17" ht="28.9">
      <c r="A60" s="4" t="s">
        <v>322</v>
      </c>
      <c r="B60" s="4" t="s">
        <v>225</v>
      </c>
      <c r="C60" s="4" t="s">
        <v>323</v>
      </c>
      <c r="D60" s="4" t="s">
        <v>324</v>
      </c>
      <c r="E60" s="4" t="s">
        <v>313</v>
      </c>
      <c r="F60" s="9">
        <v>3</v>
      </c>
      <c r="G60" s="9">
        <v>3</v>
      </c>
      <c r="H60" s="9">
        <f t="shared" ref="H60:H61" si="3">F60*G60</f>
        <v>9</v>
      </c>
      <c r="I60" s="9"/>
      <c r="J60" s="119" t="s">
        <v>325</v>
      </c>
      <c r="K60" s="4" t="s">
        <v>326</v>
      </c>
      <c r="L60" s="8" t="s">
        <v>24</v>
      </c>
      <c r="M60" s="9" t="s">
        <v>87</v>
      </c>
      <c r="N60" s="4" t="s">
        <v>327</v>
      </c>
      <c r="O60" s="4"/>
      <c r="P60" s="4"/>
      <c r="Q60" s="4"/>
    </row>
    <row r="61" spans="1:17" ht="28.9">
      <c r="A61" s="4" t="s">
        <v>328</v>
      </c>
      <c r="B61" s="4" t="s">
        <v>329</v>
      </c>
      <c r="C61" s="4" t="s">
        <v>330</v>
      </c>
      <c r="D61" s="4" t="s">
        <v>331</v>
      </c>
      <c r="E61" s="4" t="s">
        <v>332</v>
      </c>
      <c r="F61" s="9">
        <v>3</v>
      </c>
      <c r="G61" s="9">
        <v>1</v>
      </c>
      <c r="H61" s="9">
        <f t="shared" si="3"/>
        <v>3</v>
      </c>
      <c r="I61" s="9"/>
      <c r="J61" s="4"/>
      <c r="K61" s="4"/>
      <c r="L61" s="8" t="s">
        <v>86</v>
      </c>
      <c r="M61" s="9" t="s">
        <v>25</v>
      </c>
      <c r="N61" s="4" t="s">
        <v>333</v>
      </c>
      <c r="O61" s="4"/>
      <c r="P61" s="4"/>
      <c r="Q61" s="4"/>
    </row>
    <row r="62" spans="1:17" ht="15.6">
      <c r="A62" s="161" t="s">
        <v>334</v>
      </c>
      <c r="B62" s="161"/>
      <c r="C62" s="161"/>
      <c r="D62" s="161"/>
      <c r="E62" s="161"/>
      <c r="F62" s="161"/>
      <c r="G62" s="161"/>
      <c r="H62" s="161"/>
      <c r="I62" s="161"/>
      <c r="J62" s="161"/>
      <c r="K62" s="161"/>
      <c r="L62" s="161"/>
      <c r="M62" s="161"/>
      <c r="N62" s="161"/>
      <c r="O62" s="161"/>
      <c r="P62" s="161"/>
      <c r="Q62" s="161"/>
    </row>
    <row r="63" spans="1:17" ht="43.15">
      <c r="A63" s="148" t="s">
        <v>335</v>
      </c>
      <c r="B63" s="148" t="s">
        <v>336</v>
      </c>
      <c r="C63" s="148" t="s">
        <v>337</v>
      </c>
      <c r="D63" s="148" t="s">
        <v>338</v>
      </c>
      <c r="E63" s="148" t="s">
        <v>339</v>
      </c>
      <c r="F63" s="9">
        <v>5</v>
      </c>
      <c r="G63" s="9">
        <v>1</v>
      </c>
      <c r="H63" s="9">
        <f t="shared" ref="H63:H82" si="4">F63*G63</f>
        <v>5</v>
      </c>
      <c r="I63" s="9"/>
      <c r="J63" s="148" t="s">
        <v>59</v>
      </c>
      <c r="K63" s="148" t="s">
        <v>59</v>
      </c>
      <c r="L63" s="8" t="s">
        <v>80</v>
      </c>
      <c r="M63" s="41" t="s">
        <v>25</v>
      </c>
      <c r="N63" s="40" t="s">
        <v>340</v>
      </c>
      <c r="O63" s="40" t="s">
        <v>125</v>
      </c>
      <c r="P63" s="40" t="s">
        <v>125</v>
      </c>
      <c r="Q63" s="40" t="s">
        <v>125</v>
      </c>
    </row>
    <row r="64" spans="1:17" ht="28.9">
      <c r="A64" s="148" t="s">
        <v>341</v>
      </c>
      <c r="B64" s="148" t="s">
        <v>342</v>
      </c>
      <c r="C64" s="148" t="s">
        <v>1792</v>
      </c>
      <c r="D64" s="148" t="s">
        <v>344</v>
      </c>
      <c r="E64" s="148" t="s">
        <v>191</v>
      </c>
      <c r="F64" s="9">
        <v>4</v>
      </c>
      <c r="G64" s="9">
        <v>3</v>
      </c>
      <c r="H64" s="9">
        <f t="shared" si="4"/>
        <v>12</v>
      </c>
      <c r="I64" s="9"/>
      <c r="J64" s="148" t="s">
        <v>1793</v>
      </c>
      <c r="K64" s="148" t="s">
        <v>1794</v>
      </c>
      <c r="L64" s="8" t="s">
        <v>86</v>
      </c>
      <c r="M64" s="41" t="s">
        <v>198</v>
      </c>
      <c r="N64" s="40" t="s">
        <v>347</v>
      </c>
      <c r="O64" s="40" t="s">
        <v>125</v>
      </c>
      <c r="P64" s="40" t="s">
        <v>125</v>
      </c>
      <c r="Q64" s="40" t="s">
        <v>125</v>
      </c>
    </row>
    <row r="65" spans="1:17">
      <c r="A65" s="148" t="s">
        <v>348</v>
      </c>
      <c r="B65" s="148" t="s">
        <v>349</v>
      </c>
      <c r="C65" s="148" t="s">
        <v>1795</v>
      </c>
      <c r="D65" s="148" t="s">
        <v>344</v>
      </c>
      <c r="E65" s="148" t="s">
        <v>191</v>
      </c>
      <c r="F65" s="9">
        <v>2</v>
      </c>
      <c r="G65" s="9">
        <v>2</v>
      </c>
      <c r="H65" s="9">
        <f t="shared" si="4"/>
        <v>4</v>
      </c>
      <c r="I65" s="9"/>
      <c r="J65" s="148" t="s">
        <v>1796</v>
      </c>
      <c r="K65" s="148" t="s">
        <v>1797</v>
      </c>
      <c r="L65" s="8" t="s">
        <v>86</v>
      </c>
      <c r="M65" s="41" t="s">
        <v>198</v>
      </c>
      <c r="N65" s="40" t="s">
        <v>353</v>
      </c>
      <c r="O65" s="40" t="s">
        <v>125</v>
      </c>
      <c r="P65" s="40" t="s">
        <v>125</v>
      </c>
      <c r="Q65" s="40" t="s">
        <v>125</v>
      </c>
    </row>
    <row r="66" spans="1:17" ht="28.9">
      <c r="A66" s="148" t="s">
        <v>354</v>
      </c>
      <c r="B66" s="148" t="s">
        <v>355</v>
      </c>
      <c r="C66" s="148" t="s">
        <v>1798</v>
      </c>
      <c r="D66" s="148" t="s">
        <v>344</v>
      </c>
      <c r="E66" s="148" t="s">
        <v>191</v>
      </c>
      <c r="F66" s="9">
        <v>4</v>
      </c>
      <c r="G66" s="9">
        <v>2</v>
      </c>
      <c r="H66" s="9">
        <f t="shared" si="4"/>
        <v>8</v>
      </c>
      <c r="I66" s="9"/>
      <c r="J66" s="148" t="s">
        <v>357</v>
      </c>
      <c r="K66" s="148" t="s">
        <v>358</v>
      </c>
      <c r="L66" s="8" t="s">
        <v>73</v>
      </c>
      <c r="M66" s="41" t="s">
        <v>100</v>
      </c>
      <c r="N66" s="40" t="s">
        <v>359</v>
      </c>
      <c r="O66" s="40" t="s">
        <v>125</v>
      </c>
      <c r="P66" s="40" t="s">
        <v>125</v>
      </c>
      <c r="Q66" s="40" t="s">
        <v>125</v>
      </c>
    </row>
    <row r="67" spans="1:17" ht="28.9">
      <c r="A67" s="148" t="s">
        <v>360</v>
      </c>
      <c r="B67" s="148" t="s">
        <v>361</v>
      </c>
      <c r="C67" s="148" t="s">
        <v>1799</v>
      </c>
      <c r="D67" s="148" t="s">
        <v>363</v>
      </c>
      <c r="E67" s="148" t="s">
        <v>125</v>
      </c>
      <c r="F67" s="9">
        <v>4</v>
      </c>
      <c r="G67" s="9">
        <v>2</v>
      </c>
      <c r="H67" s="9">
        <f t="shared" si="4"/>
        <v>8</v>
      </c>
      <c r="I67" s="9"/>
      <c r="J67" s="148" t="s">
        <v>59</v>
      </c>
      <c r="K67" s="148" t="s">
        <v>59</v>
      </c>
      <c r="L67" s="8" t="s">
        <v>24</v>
      </c>
      <c r="M67" s="41" t="s">
        <v>238</v>
      </c>
      <c r="N67" s="40" t="s">
        <v>364</v>
      </c>
      <c r="O67" s="40" t="s">
        <v>125</v>
      </c>
      <c r="P67" s="40" t="s">
        <v>125</v>
      </c>
      <c r="Q67" s="40" t="s">
        <v>125</v>
      </c>
    </row>
    <row r="68" spans="1:17" ht="28.9">
      <c r="A68" s="148" t="s">
        <v>365</v>
      </c>
      <c r="B68" s="148" t="s">
        <v>366</v>
      </c>
      <c r="C68" s="148" t="s">
        <v>1800</v>
      </c>
      <c r="D68" s="148" t="s">
        <v>368</v>
      </c>
      <c r="E68" s="148" t="s">
        <v>369</v>
      </c>
      <c r="F68" s="9">
        <v>5</v>
      </c>
      <c r="G68" s="9">
        <v>3</v>
      </c>
      <c r="H68" s="9">
        <f t="shared" si="4"/>
        <v>15</v>
      </c>
      <c r="I68" s="9"/>
      <c r="J68" s="148" t="s">
        <v>59</v>
      </c>
      <c r="K68" s="148" t="s">
        <v>59</v>
      </c>
      <c r="L68" s="8" t="s">
        <v>86</v>
      </c>
      <c r="M68" s="42" t="s">
        <v>87</v>
      </c>
      <c r="N68" s="40" t="s">
        <v>370</v>
      </c>
      <c r="O68" s="40" t="s">
        <v>125</v>
      </c>
      <c r="P68" s="40" t="s">
        <v>125</v>
      </c>
      <c r="Q68" s="40" t="s">
        <v>125</v>
      </c>
    </row>
    <row r="69" spans="1:17" ht="43.15">
      <c r="A69" s="148" t="s">
        <v>371</v>
      </c>
      <c r="B69" s="148" t="s">
        <v>372</v>
      </c>
      <c r="C69" s="148" t="s">
        <v>373</v>
      </c>
      <c r="D69" s="148" t="s">
        <v>374</v>
      </c>
      <c r="E69" s="148" t="s">
        <v>67</v>
      </c>
      <c r="F69" s="9">
        <v>5</v>
      </c>
      <c r="G69" s="9">
        <v>1</v>
      </c>
      <c r="H69" s="9">
        <f t="shared" si="4"/>
        <v>5</v>
      </c>
      <c r="I69" s="9"/>
      <c r="J69" s="148" t="s">
        <v>59</v>
      </c>
      <c r="K69" s="148" t="s">
        <v>59</v>
      </c>
      <c r="L69" s="8" t="s">
        <v>86</v>
      </c>
      <c r="M69" s="41" t="s">
        <v>204</v>
      </c>
      <c r="N69" s="40" t="s">
        <v>375</v>
      </c>
      <c r="O69" s="40" t="s">
        <v>125</v>
      </c>
      <c r="P69" s="40" t="s">
        <v>125</v>
      </c>
      <c r="Q69" s="40" t="s">
        <v>125</v>
      </c>
    </row>
    <row r="70" spans="1:17" ht="43.15" hidden="1">
      <c r="A70" s="148" t="s">
        <v>376</v>
      </c>
      <c r="B70" s="148" t="s">
        <v>377</v>
      </c>
      <c r="C70" s="148" t="s">
        <v>378</v>
      </c>
      <c r="D70" s="148" t="s">
        <v>379</v>
      </c>
      <c r="E70" s="148" t="s">
        <v>67</v>
      </c>
      <c r="F70" s="9">
        <v>1</v>
      </c>
      <c r="G70" s="9">
        <v>1</v>
      </c>
      <c r="H70" s="9">
        <f t="shared" si="4"/>
        <v>1</v>
      </c>
      <c r="I70" s="9"/>
      <c r="J70" s="148" t="s">
        <v>59</v>
      </c>
      <c r="K70" s="148" t="s">
        <v>59</v>
      </c>
      <c r="L70" s="8" t="s">
        <v>86</v>
      </c>
      <c r="M70" s="41" t="s">
        <v>25</v>
      </c>
      <c r="N70" s="40" t="s">
        <v>380</v>
      </c>
      <c r="O70" s="40" t="s">
        <v>125</v>
      </c>
      <c r="P70" s="40" t="s">
        <v>125</v>
      </c>
      <c r="Q70" s="40" t="s">
        <v>125</v>
      </c>
    </row>
    <row r="71" spans="1:17" ht="28.9">
      <c r="A71" s="148" t="s">
        <v>381</v>
      </c>
      <c r="B71" s="148" t="s">
        <v>382</v>
      </c>
      <c r="C71" s="148" t="s">
        <v>1801</v>
      </c>
      <c r="D71" s="148" t="s">
        <v>384</v>
      </c>
      <c r="E71" s="148" t="s">
        <v>385</v>
      </c>
      <c r="F71" s="9">
        <v>4</v>
      </c>
      <c r="G71" s="9">
        <v>2</v>
      </c>
      <c r="H71" s="9">
        <f t="shared" si="4"/>
        <v>8</v>
      </c>
      <c r="I71" s="9"/>
      <c r="J71" s="148" t="s">
        <v>59</v>
      </c>
      <c r="K71" s="148" t="s">
        <v>59</v>
      </c>
      <c r="L71" s="8" t="s">
        <v>80</v>
      </c>
      <c r="M71" s="41" t="s">
        <v>136</v>
      </c>
      <c r="N71" s="40" t="s">
        <v>386</v>
      </c>
      <c r="O71" s="40" t="s">
        <v>125</v>
      </c>
      <c r="P71" s="40" t="s">
        <v>125</v>
      </c>
      <c r="Q71" s="40" t="s">
        <v>125</v>
      </c>
    </row>
    <row r="72" spans="1:17" ht="28.9">
      <c r="A72" s="148" t="s">
        <v>387</v>
      </c>
      <c r="B72" s="148" t="s">
        <v>388</v>
      </c>
      <c r="C72" s="148" t="s">
        <v>389</v>
      </c>
      <c r="D72" s="148" t="s">
        <v>390</v>
      </c>
      <c r="E72" s="148" t="s">
        <v>102</v>
      </c>
      <c r="F72" s="9">
        <v>2</v>
      </c>
      <c r="G72" s="9">
        <v>1</v>
      </c>
      <c r="H72" s="9">
        <f t="shared" si="4"/>
        <v>2</v>
      </c>
      <c r="I72" s="9"/>
      <c r="J72" s="148" t="s">
        <v>59</v>
      </c>
      <c r="K72" s="148" t="s">
        <v>59</v>
      </c>
      <c r="L72" s="8" t="s">
        <v>80</v>
      </c>
      <c r="M72" s="41" t="s">
        <v>25</v>
      </c>
      <c r="N72" s="40" t="s">
        <v>391</v>
      </c>
      <c r="O72" s="40" t="s">
        <v>125</v>
      </c>
      <c r="P72" s="40" t="s">
        <v>125</v>
      </c>
      <c r="Q72" s="40" t="s">
        <v>125</v>
      </c>
    </row>
    <row r="73" spans="1:17" ht="43.15">
      <c r="A73" s="148" t="s">
        <v>392</v>
      </c>
      <c r="B73" s="148" t="s">
        <v>393</v>
      </c>
      <c r="C73" s="147" t="s">
        <v>1802</v>
      </c>
      <c r="D73" s="148" t="s">
        <v>395</v>
      </c>
      <c r="E73" s="148" t="s">
        <v>396</v>
      </c>
      <c r="F73" s="9">
        <v>5</v>
      </c>
      <c r="G73" s="9">
        <v>1</v>
      </c>
      <c r="H73" s="9">
        <f t="shared" si="4"/>
        <v>5</v>
      </c>
      <c r="I73" s="9"/>
      <c r="J73" s="148" t="s">
        <v>1803</v>
      </c>
      <c r="K73" s="148" t="s">
        <v>1804</v>
      </c>
      <c r="L73" s="8" t="s">
        <v>80</v>
      </c>
      <c r="M73" s="49" t="s">
        <v>231</v>
      </c>
      <c r="N73" s="48" t="s">
        <v>399</v>
      </c>
      <c r="O73" s="48" t="s">
        <v>125</v>
      </c>
      <c r="P73" s="48" t="s">
        <v>125</v>
      </c>
      <c r="Q73" s="48" t="s">
        <v>125</v>
      </c>
    </row>
    <row r="74" spans="1:17" ht="28.9">
      <c r="A74" s="148" t="s">
        <v>400</v>
      </c>
      <c r="B74" s="148" t="s">
        <v>401</v>
      </c>
      <c r="C74" s="148" t="s">
        <v>402</v>
      </c>
      <c r="D74" s="148" t="s">
        <v>403</v>
      </c>
      <c r="E74" s="148" t="s">
        <v>125</v>
      </c>
      <c r="F74" s="9">
        <v>5</v>
      </c>
      <c r="G74" s="9">
        <v>2</v>
      </c>
      <c r="H74" s="9">
        <f t="shared" si="4"/>
        <v>10</v>
      </c>
      <c r="I74" s="9"/>
      <c r="J74" s="148" t="s">
        <v>59</v>
      </c>
      <c r="K74" s="148" t="s">
        <v>59</v>
      </c>
      <c r="L74" s="8" t="s">
        <v>73</v>
      </c>
      <c r="M74" s="41" t="s">
        <v>25</v>
      </c>
      <c r="N74" s="40" t="s">
        <v>404</v>
      </c>
      <c r="O74" s="40" t="s">
        <v>125</v>
      </c>
      <c r="P74" s="40" t="s">
        <v>125</v>
      </c>
      <c r="Q74" s="40" t="s">
        <v>125</v>
      </c>
    </row>
    <row r="75" spans="1:17" ht="28.9">
      <c r="A75" s="148" t="s">
        <v>405</v>
      </c>
      <c r="B75" s="148" t="s">
        <v>406</v>
      </c>
      <c r="C75" s="147" t="s">
        <v>1805</v>
      </c>
      <c r="D75" s="148" t="s">
        <v>408</v>
      </c>
      <c r="E75" s="148" t="s">
        <v>313</v>
      </c>
      <c r="F75" s="9">
        <v>4</v>
      </c>
      <c r="G75" s="9">
        <v>2</v>
      </c>
      <c r="H75" s="9">
        <f t="shared" si="4"/>
        <v>8</v>
      </c>
      <c r="I75" s="9"/>
      <c r="J75" s="148" t="s">
        <v>59</v>
      </c>
      <c r="K75" s="148" t="s">
        <v>59</v>
      </c>
      <c r="L75" s="8" t="s">
        <v>80</v>
      </c>
      <c r="M75" s="41" t="s">
        <v>411</v>
      </c>
      <c r="N75" s="40" t="s">
        <v>412</v>
      </c>
      <c r="O75" s="40" t="s">
        <v>125</v>
      </c>
      <c r="P75" s="40" t="s">
        <v>125</v>
      </c>
      <c r="Q75" s="40" t="s">
        <v>125</v>
      </c>
    </row>
    <row r="76" spans="1:17" ht="28.9" hidden="1">
      <c r="A76" s="148" t="s">
        <v>413</v>
      </c>
      <c r="B76" s="148" t="s">
        <v>414</v>
      </c>
      <c r="C76" s="148" t="s">
        <v>415</v>
      </c>
      <c r="D76" s="148" t="s">
        <v>416</v>
      </c>
      <c r="E76" s="150" t="s">
        <v>107</v>
      </c>
      <c r="F76" s="9">
        <v>5</v>
      </c>
      <c r="G76" s="9">
        <v>1</v>
      </c>
      <c r="H76" s="9">
        <f t="shared" si="4"/>
        <v>5</v>
      </c>
      <c r="I76" s="9"/>
      <c r="J76" s="148" t="s">
        <v>59</v>
      </c>
      <c r="K76" s="148" t="s">
        <v>59</v>
      </c>
      <c r="L76" s="8" t="s">
        <v>24</v>
      </c>
      <c r="M76" s="41" t="s">
        <v>25</v>
      </c>
      <c r="N76" s="40" t="s">
        <v>417</v>
      </c>
      <c r="O76" s="40" t="s">
        <v>125</v>
      </c>
      <c r="P76" s="40" t="s">
        <v>125</v>
      </c>
      <c r="Q76" s="40" t="s">
        <v>125</v>
      </c>
    </row>
    <row r="77" spans="1:17" ht="28.9" hidden="1">
      <c r="A77" s="148" t="s">
        <v>418</v>
      </c>
      <c r="B77" s="148" t="s">
        <v>419</v>
      </c>
      <c r="C77" s="148" t="s">
        <v>420</v>
      </c>
      <c r="D77" s="148" t="s">
        <v>421</v>
      </c>
      <c r="E77" s="150" t="s">
        <v>107</v>
      </c>
      <c r="F77" s="9">
        <v>4</v>
      </c>
      <c r="G77" s="9">
        <v>1</v>
      </c>
      <c r="H77" s="9">
        <f t="shared" si="4"/>
        <v>4</v>
      </c>
      <c r="I77" s="9"/>
      <c r="J77" s="148" t="s">
        <v>59</v>
      </c>
      <c r="K77" s="148" t="s">
        <v>59</v>
      </c>
      <c r="L77" s="8" t="s">
        <v>24</v>
      </c>
      <c r="M77" s="41" t="s">
        <v>422</v>
      </c>
      <c r="N77" s="40" t="s">
        <v>423</v>
      </c>
      <c r="O77" s="40" t="s">
        <v>125</v>
      </c>
      <c r="P77" s="40" t="s">
        <v>125</v>
      </c>
      <c r="Q77" s="40" t="s">
        <v>125</v>
      </c>
    </row>
    <row r="78" spans="1:17" ht="28.9" hidden="1">
      <c r="A78" s="148" t="s">
        <v>424</v>
      </c>
      <c r="B78" s="148" t="s">
        <v>425</v>
      </c>
      <c r="C78" s="148" t="s">
        <v>426</v>
      </c>
      <c r="D78" s="148" t="s">
        <v>427</v>
      </c>
      <c r="E78" s="150" t="s">
        <v>107</v>
      </c>
      <c r="F78" s="9">
        <v>4</v>
      </c>
      <c r="G78" s="9">
        <v>1</v>
      </c>
      <c r="H78" s="9">
        <f t="shared" si="4"/>
        <v>4</v>
      </c>
      <c r="I78" s="9"/>
      <c r="J78" s="148" t="s">
        <v>59</v>
      </c>
      <c r="K78" s="148" t="s">
        <v>59</v>
      </c>
      <c r="L78" s="8" t="s">
        <v>24</v>
      </c>
      <c r="M78" s="41" t="s">
        <v>25</v>
      </c>
      <c r="N78" s="40" t="s">
        <v>428</v>
      </c>
      <c r="O78" s="40" t="s">
        <v>125</v>
      </c>
      <c r="P78" s="40" t="s">
        <v>125</v>
      </c>
      <c r="Q78" s="40" t="s">
        <v>125</v>
      </c>
    </row>
    <row r="79" spans="1:17" ht="28.9" hidden="1">
      <c r="A79" s="148" t="s">
        <v>429</v>
      </c>
      <c r="B79" s="148" t="s">
        <v>430</v>
      </c>
      <c r="C79" s="148" t="s">
        <v>431</v>
      </c>
      <c r="D79" s="148" t="s">
        <v>432</v>
      </c>
      <c r="E79" s="150" t="s">
        <v>107</v>
      </c>
      <c r="F79" s="9">
        <v>3</v>
      </c>
      <c r="G79" s="9">
        <v>2</v>
      </c>
      <c r="H79" s="9">
        <f t="shared" si="4"/>
        <v>6</v>
      </c>
      <c r="I79" s="9"/>
      <c r="J79" s="148" t="s">
        <v>59</v>
      </c>
      <c r="K79" s="148" t="s">
        <v>59</v>
      </c>
      <c r="L79" s="8" t="s">
        <v>24</v>
      </c>
      <c r="M79" s="41" t="s">
        <v>60</v>
      </c>
      <c r="N79" s="40" t="s">
        <v>433</v>
      </c>
      <c r="O79" s="40" t="s">
        <v>125</v>
      </c>
      <c r="P79" s="40" t="s">
        <v>125</v>
      </c>
      <c r="Q79" s="40" t="s">
        <v>125</v>
      </c>
    </row>
    <row r="80" spans="1:17" ht="28.9" hidden="1">
      <c r="A80" s="148" t="s">
        <v>434</v>
      </c>
      <c r="B80" s="148" t="s">
        <v>435</v>
      </c>
      <c r="C80" s="148" t="s">
        <v>436</v>
      </c>
      <c r="D80" s="148" t="s">
        <v>437</v>
      </c>
      <c r="E80" s="150" t="s">
        <v>107</v>
      </c>
      <c r="F80" s="9">
        <v>2</v>
      </c>
      <c r="G80" s="9">
        <v>1</v>
      </c>
      <c r="H80" s="9">
        <f t="shared" si="4"/>
        <v>2</v>
      </c>
      <c r="I80" s="9"/>
      <c r="J80" s="148" t="s">
        <v>59</v>
      </c>
      <c r="K80" s="148" t="s">
        <v>59</v>
      </c>
      <c r="L80" s="8" t="s">
        <v>24</v>
      </c>
      <c r="M80" s="41" t="s">
        <v>60</v>
      </c>
      <c r="N80" s="40" t="s">
        <v>438</v>
      </c>
      <c r="O80" s="40" t="s">
        <v>125</v>
      </c>
      <c r="P80" s="40" t="s">
        <v>125</v>
      </c>
      <c r="Q80" s="40" t="s">
        <v>125</v>
      </c>
    </row>
    <row r="81" spans="1:17" ht="43.15" hidden="1">
      <c r="A81" s="148" t="s">
        <v>439</v>
      </c>
      <c r="B81" s="148" t="s">
        <v>440</v>
      </c>
      <c r="C81" s="148" t="s">
        <v>441</v>
      </c>
      <c r="D81" s="148" t="s">
        <v>442</v>
      </c>
      <c r="E81" s="150" t="s">
        <v>107</v>
      </c>
      <c r="F81" s="9">
        <v>2</v>
      </c>
      <c r="G81" s="9">
        <v>1</v>
      </c>
      <c r="H81" s="9">
        <f t="shared" si="4"/>
        <v>2</v>
      </c>
      <c r="I81" s="9"/>
      <c r="J81" s="148" t="s">
        <v>59</v>
      </c>
      <c r="K81" s="148" t="s">
        <v>59</v>
      </c>
      <c r="L81" s="8" t="s">
        <v>24</v>
      </c>
      <c r="M81" s="41" t="s">
        <v>154</v>
      </c>
      <c r="N81" s="40" t="s">
        <v>443</v>
      </c>
      <c r="O81" s="40" t="s">
        <v>125</v>
      </c>
      <c r="P81" s="40" t="s">
        <v>125</v>
      </c>
      <c r="Q81" s="40" t="s">
        <v>125</v>
      </c>
    </row>
    <row r="82" spans="1:17" ht="28.9" hidden="1">
      <c r="A82" s="148" t="s">
        <v>444</v>
      </c>
      <c r="B82" s="148" t="s">
        <v>445</v>
      </c>
      <c r="C82" s="148" t="s">
        <v>446</v>
      </c>
      <c r="D82" s="148" t="s">
        <v>447</v>
      </c>
      <c r="E82" s="150" t="s">
        <v>107</v>
      </c>
      <c r="F82" s="9">
        <v>4</v>
      </c>
      <c r="G82" s="9">
        <v>2</v>
      </c>
      <c r="H82" s="9">
        <f t="shared" si="4"/>
        <v>8</v>
      </c>
      <c r="I82" s="9"/>
      <c r="J82" s="148" t="s">
        <v>59</v>
      </c>
      <c r="K82" s="148" t="s">
        <v>59</v>
      </c>
      <c r="L82" s="8" t="s">
        <v>24</v>
      </c>
      <c r="M82" s="41" t="s">
        <v>100</v>
      </c>
      <c r="N82" s="40" t="s">
        <v>448</v>
      </c>
      <c r="O82" s="40" t="s">
        <v>125</v>
      </c>
      <c r="P82" s="40" t="s">
        <v>125</v>
      </c>
      <c r="Q82" s="40" t="s">
        <v>125</v>
      </c>
    </row>
    <row r="83" spans="1:17" ht="28.9" hidden="1">
      <c r="A83" s="148" t="s">
        <v>449</v>
      </c>
      <c r="B83" s="148" t="s">
        <v>450</v>
      </c>
      <c r="C83" s="148" t="s">
        <v>451</v>
      </c>
      <c r="D83" s="148" t="s">
        <v>452</v>
      </c>
      <c r="E83" s="150" t="s">
        <v>107</v>
      </c>
      <c r="F83" s="9">
        <v>4</v>
      </c>
      <c r="G83" s="9">
        <v>1</v>
      </c>
      <c r="H83" s="9">
        <f>F83*G83</f>
        <v>4</v>
      </c>
      <c r="I83" s="9"/>
      <c r="J83" s="151" t="s">
        <v>1806</v>
      </c>
      <c r="K83" s="148" t="s">
        <v>454</v>
      </c>
      <c r="L83" s="8" t="s">
        <v>24</v>
      </c>
      <c r="M83" s="41" t="s">
        <v>455</v>
      </c>
      <c r="N83" s="40" t="s">
        <v>456</v>
      </c>
      <c r="O83" s="40" t="s">
        <v>125</v>
      </c>
      <c r="P83" s="40" t="s">
        <v>125</v>
      </c>
      <c r="Q83" s="40" t="s">
        <v>125</v>
      </c>
    </row>
    <row r="84" spans="1:17" ht="28.9" hidden="1">
      <c r="A84" s="148" t="s">
        <v>457</v>
      </c>
      <c r="B84" s="148" t="s">
        <v>458</v>
      </c>
      <c r="C84" s="148" t="s">
        <v>459</v>
      </c>
      <c r="D84" s="148" t="s">
        <v>460</v>
      </c>
      <c r="E84" s="150" t="s">
        <v>107</v>
      </c>
      <c r="F84" s="9">
        <v>4</v>
      </c>
      <c r="G84" s="9">
        <v>1</v>
      </c>
      <c r="H84" s="9">
        <f>F84*G84</f>
        <v>4</v>
      </c>
      <c r="I84" s="9"/>
      <c r="J84" s="148" t="s">
        <v>461</v>
      </c>
      <c r="K84" s="148" t="s">
        <v>462</v>
      </c>
      <c r="L84" s="8" t="s">
        <v>24</v>
      </c>
      <c r="M84" s="41" t="s">
        <v>238</v>
      </c>
      <c r="N84" s="40" t="s">
        <v>463</v>
      </c>
      <c r="O84" s="40" t="s">
        <v>125</v>
      </c>
      <c r="P84" s="40" t="s">
        <v>125</v>
      </c>
      <c r="Q84" s="40" t="s">
        <v>125</v>
      </c>
    </row>
    <row r="85" spans="1:17">
      <c r="A85" s="40" t="s">
        <v>1807</v>
      </c>
      <c r="B85" s="40" t="s">
        <v>1808</v>
      </c>
      <c r="C85" s="40" t="s">
        <v>1809</v>
      </c>
      <c r="D85" s="40"/>
      <c r="E85" s="43"/>
      <c r="F85" s="9"/>
      <c r="G85" s="9"/>
      <c r="H85" s="9"/>
      <c r="I85" s="9"/>
      <c r="J85" s="40" t="s">
        <v>59</v>
      </c>
      <c r="K85" s="40" t="s">
        <v>59</v>
      </c>
      <c r="L85" s="8" t="s">
        <v>86</v>
      </c>
      <c r="M85" s="41"/>
      <c r="N85" s="40"/>
      <c r="O85" s="40"/>
      <c r="P85" s="40"/>
      <c r="Q85" s="40"/>
    </row>
    <row r="86" spans="1:17">
      <c r="A86" s="40"/>
      <c r="B86" s="40"/>
      <c r="C86" s="40"/>
      <c r="D86" s="40"/>
      <c r="E86" s="43"/>
      <c r="F86" s="9"/>
      <c r="G86" s="9"/>
      <c r="H86" s="9"/>
      <c r="I86" s="9"/>
      <c r="J86" s="40"/>
      <c r="K86" s="40"/>
      <c r="L86" s="8"/>
      <c r="M86" s="41"/>
      <c r="N86" s="40"/>
      <c r="O86" s="40"/>
      <c r="P86" s="40"/>
      <c r="Q86" s="40"/>
    </row>
    <row r="87" spans="1:17">
      <c r="A87" s="40"/>
      <c r="B87" s="40"/>
      <c r="C87" s="40"/>
      <c r="D87" s="40"/>
      <c r="E87" s="43"/>
      <c r="F87" s="9"/>
      <c r="G87" s="9"/>
      <c r="H87" s="9"/>
      <c r="I87" s="9"/>
      <c r="J87" s="40"/>
      <c r="K87" s="40"/>
      <c r="L87" s="8"/>
      <c r="M87" s="41"/>
      <c r="N87" s="40"/>
      <c r="O87" s="40"/>
      <c r="P87" s="40"/>
      <c r="Q87" s="40"/>
    </row>
    <row r="88" spans="1:17" ht="15.6">
      <c r="A88" s="161" t="s">
        <v>464</v>
      </c>
      <c r="B88" s="161"/>
      <c r="C88" s="161"/>
      <c r="D88" s="161"/>
      <c r="E88" s="161"/>
      <c r="F88" s="161"/>
      <c r="G88" s="161"/>
      <c r="H88" s="161"/>
      <c r="I88" s="161"/>
      <c r="J88" s="161"/>
      <c r="K88" s="161"/>
      <c r="L88" s="161"/>
      <c r="M88" s="161"/>
      <c r="N88" s="161"/>
      <c r="O88" s="161"/>
      <c r="P88" s="161"/>
      <c r="Q88" s="161"/>
    </row>
    <row r="89" spans="1:17" ht="28.9">
      <c r="A89" s="4" t="s">
        <v>465</v>
      </c>
      <c r="B89" s="4" t="s">
        <v>466</v>
      </c>
      <c r="C89" s="4" t="s">
        <v>467</v>
      </c>
      <c r="D89" s="4" t="s">
        <v>468</v>
      </c>
      <c r="E89" s="4" t="s">
        <v>67</v>
      </c>
      <c r="F89" s="9">
        <v>5</v>
      </c>
      <c r="G89" s="9">
        <v>2</v>
      </c>
      <c r="H89" s="9">
        <f t="shared" ref="H89:H93" si="5">F89*G89</f>
        <v>10</v>
      </c>
      <c r="I89" s="9" t="s">
        <v>72</v>
      </c>
      <c r="J89" s="4" t="s">
        <v>470</v>
      </c>
      <c r="K89" s="4" t="s">
        <v>469</v>
      </c>
      <c r="L89" s="8" t="s">
        <v>86</v>
      </c>
      <c r="M89" s="9" t="s">
        <v>25</v>
      </c>
      <c r="N89" s="4" t="s">
        <v>471</v>
      </c>
      <c r="O89" s="4"/>
      <c r="P89" s="4"/>
      <c r="Q89" s="4"/>
    </row>
    <row r="90" spans="1:17" ht="28.9">
      <c r="A90" s="4" t="s">
        <v>472</v>
      </c>
      <c r="B90" s="4" t="s">
        <v>473</v>
      </c>
      <c r="C90" s="4" t="s">
        <v>474</v>
      </c>
      <c r="D90" s="4" t="s">
        <v>475</v>
      </c>
      <c r="E90" s="4" t="s">
        <v>67</v>
      </c>
      <c r="F90" s="9">
        <v>5</v>
      </c>
      <c r="G90" s="9">
        <v>2</v>
      </c>
      <c r="H90" s="9">
        <f t="shared" si="5"/>
        <v>10</v>
      </c>
      <c r="I90" s="9" t="s">
        <v>72</v>
      </c>
      <c r="J90" s="4" t="s">
        <v>59</v>
      </c>
      <c r="K90" s="4" t="s">
        <v>59</v>
      </c>
      <c r="L90" s="8" t="s">
        <v>80</v>
      </c>
      <c r="M90" s="9" t="s">
        <v>25</v>
      </c>
      <c r="N90" s="4" t="s">
        <v>476</v>
      </c>
      <c r="O90" s="4"/>
      <c r="P90" s="4"/>
      <c r="Q90" s="4"/>
    </row>
    <row r="91" spans="1:17" ht="28.9">
      <c r="A91" s="4" t="s">
        <v>477</v>
      </c>
      <c r="B91" s="4" t="s">
        <v>478</v>
      </c>
      <c r="C91" s="4" t="s">
        <v>479</v>
      </c>
      <c r="D91" s="4"/>
      <c r="E91" s="4" t="s">
        <v>480</v>
      </c>
      <c r="F91" s="9">
        <v>3</v>
      </c>
      <c r="G91" s="9">
        <v>1</v>
      </c>
      <c r="H91" s="9">
        <f t="shared" si="5"/>
        <v>3</v>
      </c>
      <c r="I91" s="9" t="s">
        <v>72</v>
      </c>
      <c r="J91" s="4" t="s">
        <v>59</v>
      </c>
      <c r="K91" s="4" t="s">
        <v>59</v>
      </c>
      <c r="L91" s="8" t="s">
        <v>80</v>
      </c>
      <c r="M91" s="9" t="s">
        <v>25</v>
      </c>
      <c r="N91" s="4" t="s">
        <v>481</v>
      </c>
      <c r="O91" s="4"/>
      <c r="P91" s="4"/>
      <c r="Q91" s="4"/>
    </row>
    <row r="92" spans="1:17" ht="15.6">
      <c r="A92" s="161" t="s">
        <v>482</v>
      </c>
      <c r="B92" s="161"/>
      <c r="C92" s="161"/>
      <c r="D92" s="161"/>
      <c r="E92" s="161"/>
      <c r="F92" s="161"/>
      <c r="G92" s="161"/>
      <c r="H92" s="161"/>
      <c r="I92" s="161"/>
      <c r="J92" s="161"/>
      <c r="K92" s="161"/>
      <c r="L92" s="161"/>
      <c r="M92" s="161"/>
      <c r="N92" s="161"/>
      <c r="O92" s="161"/>
      <c r="P92" s="161"/>
      <c r="Q92" s="161"/>
    </row>
    <row r="93" spans="1:17" ht="28.9">
      <c r="A93" s="9" t="s">
        <v>483</v>
      </c>
      <c r="B93" s="9" t="s">
        <v>484</v>
      </c>
      <c r="C93" s="51" t="s">
        <v>485</v>
      </c>
      <c r="D93" s="9" t="s">
        <v>486</v>
      </c>
      <c r="E93" s="9" t="s">
        <v>487</v>
      </c>
      <c r="F93" s="9"/>
      <c r="G93" s="9"/>
      <c r="H93" s="9">
        <f t="shared" si="5"/>
        <v>0</v>
      </c>
      <c r="I93" s="9"/>
      <c r="J93" s="9"/>
      <c r="K93" s="9"/>
      <c r="L93" s="8" t="s">
        <v>80</v>
      </c>
      <c r="M93" s="9" t="s">
        <v>60</v>
      </c>
      <c r="N93" s="9" t="s">
        <v>488</v>
      </c>
      <c r="O93" s="9"/>
      <c r="P93" s="9"/>
      <c r="Q93" s="9"/>
    </row>
    <row r="94" spans="1:17" ht="17.45">
      <c r="A94" s="163" t="s">
        <v>489</v>
      </c>
      <c r="B94" s="163"/>
      <c r="C94" s="163"/>
      <c r="D94" s="163"/>
      <c r="E94" s="163"/>
      <c r="F94" s="163"/>
      <c r="G94" s="163"/>
      <c r="H94" s="163"/>
      <c r="I94" s="163"/>
      <c r="J94" s="163"/>
      <c r="K94" s="163"/>
      <c r="L94" s="163"/>
      <c r="M94" s="163"/>
      <c r="N94" s="163"/>
      <c r="O94" s="163"/>
      <c r="P94" s="163"/>
      <c r="Q94" s="163"/>
    </row>
    <row r="95" spans="1:17" ht="15.6">
      <c r="A95" s="161" t="s">
        <v>490</v>
      </c>
      <c r="B95" s="161"/>
      <c r="C95" s="161"/>
      <c r="D95" s="161"/>
      <c r="E95" s="161"/>
      <c r="F95" s="161"/>
      <c r="G95" s="161"/>
      <c r="H95" s="161"/>
      <c r="I95" s="161"/>
      <c r="J95" s="161"/>
      <c r="K95" s="161"/>
      <c r="L95" s="161"/>
      <c r="M95" s="161"/>
      <c r="N95" s="161"/>
      <c r="O95" s="161"/>
      <c r="P95" s="161"/>
      <c r="Q95" s="161"/>
    </row>
    <row r="96" spans="1:17" ht="43.15">
      <c r="A96" s="4" t="s">
        <v>491</v>
      </c>
      <c r="B96" s="4" t="s">
        <v>492</v>
      </c>
      <c r="C96" s="4" t="s">
        <v>493</v>
      </c>
      <c r="D96" s="4" t="s">
        <v>494</v>
      </c>
      <c r="E96" s="4" t="s">
        <v>495</v>
      </c>
      <c r="F96" s="9">
        <v>5</v>
      </c>
      <c r="G96" s="9">
        <v>2</v>
      </c>
      <c r="H96" s="9">
        <f t="shared" ref="H96:H126" si="6">F96*G96</f>
        <v>10</v>
      </c>
      <c r="I96" s="9"/>
      <c r="J96" s="4"/>
      <c r="K96" s="4"/>
      <c r="L96" s="8" t="s">
        <v>24</v>
      </c>
      <c r="M96" s="9" t="s">
        <v>50</v>
      </c>
      <c r="N96" s="4" t="s">
        <v>496</v>
      </c>
      <c r="O96" s="4"/>
      <c r="P96" s="4"/>
      <c r="Q96" s="4"/>
    </row>
    <row r="97" spans="1:17" ht="72">
      <c r="A97" s="4" t="s">
        <v>497</v>
      </c>
      <c r="B97" s="4" t="s">
        <v>498</v>
      </c>
      <c r="C97" s="4" t="s">
        <v>499</v>
      </c>
      <c r="D97" s="4" t="s">
        <v>500</v>
      </c>
      <c r="E97" s="4" t="s">
        <v>335</v>
      </c>
      <c r="F97" s="9">
        <v>4</v>
      </c>
      <c r="G97" s="9">
        <v>2</v>
      </c>
      <c r="H97" s="9">
        <f t="shared" si="6"/>
        <v>8</v>
      </c>
      <c r="I97" s="9"/>
      <c r="J97" s="4"/>
      <c r="K97" s="4"/>
      <c r="L97" s="8" t="s">
        <v>24</v>
      </c>
      <c r="M97" s="9" t="s">
        <v>60</v>
      </c>
      <c r="N97" s="4" t="s">
        <v>501</v>
      </c>
      <c r="O97" s="4"/>
      <c r="P97" s="4"/>
      <c r="Q97" s="4"/>
    </row>
    <row r="98" spans="1:17" ht="43.15">
      <c r="A98" s="4" t="s">
        <v>502</v>
      </c>
      <c r="B98" s="4" t="s">
        <v>503</v>
      </c>
      <c r="C98" s="4" t="s">
        <v>504</v>
      </c>
      <c r="D98" s="4" t="s">
        <v>505</v>
      </c>
      <c r="E98" s="4" t="s">
        <v>335</v>
      </c>
      <c r="F98" s="9">
        <v>4</v>
      </c>
      <c r="G98" s="9">
        <v>4</v>
      </c>
      <c r="H98" s="9">
        <f>F98*G98</f>
        <v>16</v>
      </c>
      <c r="I98" s="9"/>
      <c r="J98" s="4"/>
      <c r="K98" s="4"/>
      <c r="L98" s="8"/>
      <c r="M98" s="9" t="s">
        <v>60</v>
      </c>
      <c r="N98" s="4" t="s">
        <v>506</v>
      </c>
      <c r="O98" s="4"/>
      <c r="P98" s="4"/>
      <c r="Q98" s="4"/>
    </row>
    <row r="99" spans="1:17" ht="28.9">
      <c r="A99" s="4" t="s">
        <v>507</v>
      </c>
      <c r="B99" s="4" t="s">
        <v>508</v>
      </c>
      <c r="C99" s="4" t="s">
        <v>509</v>
      </c>
      <c r="D99" s="4" t="s">
        <v>510</v>
      </c>
      <c r="E99" s="4" t="s">
        <v>335</v>
      </c>
      <c r="F99" s="9">
        <v>5</v>
      </c>
      <c r="G99" s="9">
        <v>1</v>
      </c>
      <c r="H99" s="9">
        <f t="shared" si="6"/>
        <v>5</v>
      </c>
      <c r="I99" s="9"/>
      <c r="J99" s="4"/>
      <c r="K99" s="4"/>
      <c r="L99" s="8"/>
      <c r="M99" s="9" t="s">
        <v>60</v>
      </c>
      <c r="N99" s="4" t="s">
        <v>511</v>
      </c>
      <c r="O99" s="4"/>
      <c r="P99" s="4"/>
      <c r="Q99" s="4"/>
    </row>
    <row r="100" spans="1:17" ht="43.15">
      <c r="A100" s="4" t="s">
        <v>512</v>
      </c>
      <c r="B100" s="4" t="s">
        <v>513</v>
      </c>
      <c r="C100" s="4" t="s">
        <v>514</v>
      </c>
      <c r="D100" s="4" t="s">
        <v>515</v>
      </c>
      <c r="E100" s="4" t="s">
        <v>495</v>
      </c>
      <c r="F100" s="9">
        <v>3</v>
      </c>
      <c r="G100" s="9">
        <v>1</v>
      </c>
      <c r="H100" s="9">
        <f t="shared" si="6"/>
        <v>3</v>
      </c>
      <c r="I100" s="9"/>
      <c r="J100" s="4"/>
      <c r="K100" s="4"/>
      <c r="L100" s="8"/>
      <c r="M100" s="9" t="s">
        <v>50</v>
      </c>
      <c r="N100" s="4" t="s">
        <v>516</v>
      </c>
      <c r="O100" s="4"/>
      <c r="P100" s="4"/>
      <c r="Q100" s="4"/>
    </row>
    <row r="101" spans="1:17" ht="28.9">
      <c r="A101" s="4" t="s">
        <v>517</v>
      </c>
      <c r="B101" s="4" t="s">
        <v>518</v>
      </c>
      <c r="C101" s="4" t="s">
        <v>519</v>
      </c>
      <c r="D101" s="4" t="s">
        <v>520</v>
      </c>
      <c r="E101" s="4" t="s">
        <v>335</v>
      </c>
      <c r="F101" s="9">
        <v>5</v>
      </c>
      <c r="G101" s="9">
        <v>4</v>
      </c>
      <c r="H101" s="9">
        <f t="shared" si="6"/>
        <v>20</v>
      </c>
      <c r="I101" s="9"/>
      <c r="J101" s="4"/>
      <c r="K101" s="4"/>
      <c r="L101" s="8" t="s">
        <v>24</v>
      </c>
      <c r="M101" s="9" t="s">
        <v>25</v>
      </c>
      <c r="N101" s="4" t="s">
        <v>521</v>
      </c>
      <c r="O101" s="4"/>
      <c r="P101" s="4"/>
      <c r="Q101" s="4"/>
    </row>
    <row r="102" spans="1:17" ht="28.9">
      <c r="A102" s="4" t="s">
        <v>522</v>
      </c>
      <c r="B102" s="4" t="s">
        <v>523</v>
      </c>
      <c r="C102" s="4" t="s">
        <v>524</v>
      </c>
      <c r="D102" s="4" t="s">
        <v>525</v>
      </c>
      <c r="E102" s="4" t="s">
        <v>335</v>
      </c>
      <c r="F102" s="9">
        <v>4</v>
      </c>
      <c r="G102" s="9">
        <v>2</v>
      </c>
      <c r="H102" s="9">
        <f t="shared" si="6"/>
        <v>8</v>
      </c>
      <c r="I102" s="9"/>
      <c r="J102" s="4"/>
      <c r="K102" s="4"/>
      <c r="L102" s="8" t="s">
        <v>24</v>
      </c>
      <c r="M102" s="9" t="s">
        <v>60</v>
      </c>
      <c r="N102" s="4" t="s">
        <v>526</v>
      </c>
      <c r="O102" s="4"/>
      <c r="P102" s="4"/>
      <c r="Q102" s="4"/>
    </row>
    <row r="103" spans="1:17" ht="28.9">
      <c r="A103" s="4" t="s">
        <v>527</v>
      </c>
      <c r="B103" s="4" t="s">
        <v>528</v>
      </c>
      <c r="C103" s="4" t="s">
        <v>529</v>
      </c>
      <c r="D103" s="4" t="s">
        <v>530</v>
      </c>
      <c r="E103" s="4" t="s">
        <v>531</v>
      </c>
      <c r="F103" s="9">
        <v>5</v>
      </c>
      <c r="G103" s="9">
        <v>1</v>
      </c>
      <c r="H103" s="9">
        <f t="shared" si="6"/>
        <v>5</v>
      </c>
      <c r="I103" s="9"/>
      <c r="J103" s="4"/>
      <c r="K103" s="4"/>
      <c r="L103" s="8" t="s">
        <v>24</v>
      </c>
      <c r="M103" s="9" t="s">
        <v>60</v>
      </c>
      <c r="N103" s="4" t="s">
        <v>532</v>
      </c>
      <c r="O103" s="4"/>
      <c r="P103" s="4"/>
      <c r="Q103" s="4"/>
    </row>
    <row r="104" spans="1:17" ht="28.9">
      <c r="A104" s="4" t="s">
        <v>533</v>
      </c>
      <c r="B104" s="4" t="s">
        <v>534</v>
      </c>
      <c r="C104" s="4" t="s">
        <v>535</v>
      </c>
      <c r="D104" s="4" t="s">
        <v>536</v>
      </c>
      <c r="E104" s="4" t="s">
        <v>531</v>
      </c>
      <c r="F104" s="9">
        <v>5</v>
      </c>
      <c r="G104" s="9">
        <v>2</v>
      </c>
      <c r="H104" s="9">
        <f t="shared" si="6"/>
        <v>10</v>
      </c>
      <c r="I104" s="9"/>
      <c r="J104" s="4"/>
      <c r="K104" s="4"/>
      <c r="L104" s="8" t="s">
        <v>24</v>
      </c>
      <c r="M104" s="9" t="s">
        <v>537</v>
      </c>
      <c r="N104" s="4" t="s">
        <v>538</v>
      </c>
      <c r="O104" s="4"/>
      <c r="P104" s="4"/>
      <c r="Q104" s="4"/>
    </row>
    <row r="105" spans="1:17" ht="28.9">
      <c r="A105" s="4" t="s">
        <v>539</v>
      </c>
      <c r="B105" s="4" t="s">
        <v>540</v>
      </c>
      <c r="C105" s="4" t="s">
        <v>541</v>
      </c>
      <c r="D105" s="4" t="s">
        <v>542</v>
      </c>
      <c r="E105" s="4" t="s">
        <v>531</v>
      </c>
      <c r="F105" s="9">
        <v>5</v>
      </c>
      <c r="G105" s="9">
        <v>2</v>
      </c>
      <c r="H105" s="9">
        <f t="shared" si="6"/>
        <v>10</v>
      </c>
      <c r="I105" s="9"/>
      <c r="J105" s="4"/>
      <c r="K105" s="4"/>
      <c r="L105" s="8" t="s">
        <v>24</v>
      </c>
      <c r="M105" s="9" t="s">
        <v>60</v>
      </c>
      <c r="N105" s="4" t="s">
        <v>543</v>
      </c>
      <c r="O105" s="4"/>
      <c r="P105" s="4"/>
      <c r="Q105" s="4"/>
    </row>
    <row r="106" spans="1:17" ht="28.9">
      <c r="A106" s="4" t="s">
        <v>544</v>
      </c>
      <c r="B106" s="4" t="s">
        <v>545</v>
      </c>
      <c r="C106" s="4" t="s">
        <v>546</v>
      </c>
      <c r="D106" s="4" t="s">
        <v>547</v>
      </c>
      <c r="E106" s="4" t="s">
        <v>531</v>
      </c>
      <c r="F106" s="9">
        <v>5</v>
      </c>
      <c r="G106" s="9">
        <v>2</v>
      </c>
      <c r="H106" s="9">
        <f t="shared" si="6"/>
        <v>10</v>
      </c>
      <c r="I106" s="9"/>
      <c r="J106" s="4"/>
      <c r="K106" s="4"/>
      <c r="L106" s="8"/>
      <c r="M106" s="9" t="s">
        <v>60</v>
      </c>
      <c r="N106" s="4" t="s">
        <v>548</v>
      </c>
      <c r="O106" s="4"/>
      <c r="P106" s="4"/>
      <c r="Q106" s="4"/>
    </row>
    <row r="107" spans="1:17" ht="43.15">
      <c r="A107" s="4" t="s">
        <v>549</v>
      </c>
      <c r="B107" s="4" t="s">
        <v>550</v>
      </c>
      <c r="C107" s="4" t="s">
        <v>551</v>
      </c>
      <c r="D107" s="4" t="s">
        <v>515</v>
      </c>
      <c r="E107" s="4" t="s">
        <v>495</v>
      </c>
      <c r="F107" s="9">
        <v>3</v>
      </c>
      <c r="G107" s="9">
        <v>1</v>
      </c>
      <c r="H107" s="9">
        <f t="shared" si="6"/>
        <v>3</v>
      </c>
      <c r="I107" s="9"/>
      <c r="J107" s="4"/>
      <c r="K107" s="4"/>
      <c r="L107" s="8"/>
      <c r="M107" s="9" t="s">
        <v>25</v>
      </c>
      <c r="N107" s="4" t="s">
        <v>552</v>
      </c>
      <c r="O107" s="4"/>
      <c r="P107" s="4"/>
      <c r="Q107" s="4"/>
    </row>
    <row r="108" spans="1:17" ht="28.9">
      <c r="A108" s="4" t="s">
        <v>553</v>
      </c>
      <c r="B108" s="4" t="s">
        <v>554</v>
      </c>
      <c r="C108" s="4" t="s">
        <v>555</v>
      </c>
      <c r="D108" s="4" t="s">
        <v>556</v>
      </c>
      <c r="E108" s="4" t="s">
        <v>531</v>
      </c>
      <c r="F108" s="9">
        <v>4</v>
      </c>
      <c r="G108" s="9">
        <v>2</v>
      </c>
      <c r="H108" s="9">
        <f t="shared" si="6"/>
        <v>8</v>
      </c>
      <c r="I108" s="9"/>
      <c r="J108" s="4"/>
      <c r="K108" s="4"/>
      <c r="L108" s="8"/>
      <c r="M108" s="9" t="s">
        <v>60</v>
      </c>
      <c r="N108" s="4" t="s">
        <v>557</v>
      </c>
      <c r="O108" s="4"/>
      <c r="P108" s="4"/>
      <c r="Q108" s="4"/>
    </row>
    <row r="109" spans="1:17" ht="28.9">
      <c r="A109" s="4" t="s">
        <v>558</v>
      </c>
      <c r="B109" s="4" t="s">
        <v>559</v>
      </c>
      <c r="C109" s="4" t="s">
        <v>560</v>
      </c>
      <c r="D109" s="4" t="s">
        <v>561</v>
      </c>
      <c r="E109" s="4" t="s">
        <v>562</v>
      </c>
      <c r="F109" s="9">
        <v>5</v>
      </c>
      <c r="G109" s="9">
        <v>3</v>
      </c>
      <c r="H109" s="9">
        <f t="shared" si="6"/>
        <v>15</v>
      </c>
      <c r="I109" s="9"/>
      <c r="J109" s="4"/>
      <c r="K109" s="4"/>
      <c r="L109" s="8"/>
      <c r="M109" s="9" t="s">
        <v>60</v>
      </c>
      <c r="N109" s="4" t="s">
        <v>563</v>
      </c>
      <c r="O109" s="4"/>
      <c r="P109" s="4"/>
      <c r="Q109" s="4"/>
    </row>
    <row r="110" spans="1:17" ht="57.6">
      <c r="A110" s="4" t="s">
        <v>564</v>
      </c>
      <c r="B110" s="4" t="s">
        <v>565</v>
      </c>
      <c r="C110" s="4" t="s">
        <v>566</v>
      </c>
      <c r="D110" s="4" t="s">
        <v>567</v>
      </c>
      <c r="E110" s="4" t="s">
        <v>568</v>
      </c>
      <c r="F110" s="9">
        <v>5</v>
      </c>
      <c r="G110" s="9">
        <v>4</v>
      </c>
      <c r="H110" s="9">
        <f t="shared" si="6"/>
        <v>20</v>
      </c>
      <c r="I110" s="9"/>
      <c r="J110" s="4"/>
      <c r="K110" s="4"/>
      <c r="L110" s="8"/>
      <c r="M110" s="9" t="s">
        <v>537</v>
      </c>
      <c r="N110" s="4" t="s">
        <v>569</v>
      </c>
      <c r="O110" s="4"/>
      <c r="P110" s="4"/>
      <c r="Q110" s="4"/>
    </row>
    <row r="111" spans="1:17" ht="57.6">
      <c r="A111" s="4" t="s">
        <v>570</v>
      </c>
      <c r="B111" s="4" t="s">
        <v>571</v>
      </c>
      <c r="C111" s="4" t="s">
        <v>572</v>
      </c>
      <c r="D111" s="4" t="s">
        <v>573</v>
      </c>
      <c r="E111" s="4" t="s">
        <v>335</v>
      </c>
      <c r="F111" s="9">
        <v>5</v>
      </c>
      <c r="G111" s="9">
        <v>4</v>
      </c>
      <c r="H111" s="9">
        <f t="shared" si="6"/>
        <v>20</v>
      </c>
      <c r="I111" s="9"/>
      <c r="J111" s="4"/>
      <c r="K111" s="4"/>
      <c r="L111" s="8"/>
      <c r="M111" s="9" t="s">
        <v>60</v>
      </c>
      <c r="N111" s="4" t="s">
        <v>574</v>
      </c>
      <c r="O111" s="4"/>
      <c r="P111" s="4"/>
      <c r="Q111" s="4"/>
    </row>
    <row r="112" spans="1:17" ht="43.15">
      <c r="A112" s="4" t="s">
        <v>575</v>
      </c>
      <c r="B112" s="4" t="s">
        <v>576</v>
      </c>
      <c r="C112" s="4" t="s">
        <v>577</v>
      </c>
      <c r="D112" s="4" t="s">
        <v>494</v>
      </c>
      <c r="E112" s="4" t="s">
        <v>495</v>
      </c>
      <c r="F112" s="9">
        <v>3</v>
      </c>
      <c r="G112" s="9">
        <v>1</v>
      </c>
      <c r="H112" s="9">
        <f t="shared" si="6"/>
        <v>3</v>
      </c>
      <c r="I112" s="9"/>
      <c r="J112" s="4"/>
      <c r="K112" s="4"/>
      <c r="L112" s="8"/>
      <c r="M112" s="9" t="s">
        <v>50</v>
      </c>
      <c r="N112" s="4" t="s">
        <v>578</v>
      </c>
      <c r="O112" s="4"/>
      <c r="P112" s="4"/>
      <c r="Q112" s="4"/>
    </row>
    <row r="113" spans="1:17" ht="72">
      <c r="A113" s="4" t="s">
        <v>579</v>
      </c>
      <c r="B113" s="4" t="s">
        <v>580</v>
      </c>
      <c r="C113" s="4" t="s">
        <v>581</v>
      </c>
      <c r="D113" s="4" t="s">
        <v>582</v>
      </c>
      <c r="E113" s="4" t="s">
        <v>562</v>
      </c>
      <c r="F113" s="9">
        <v>4</v>
      </c>
      <c r="G113" s="9">
        <v>2</v>
      </c>
      <c r="H113" s="9">
        <f t="shared" si="6"/>
        <v>8</v>
      </c>
      <c r="I113" s="9"/>
      <c r="J113" s="4"/>
      <c r="K113" s="4"/>
      <c r="L113" s="8"/>
      <c r="M113" s="9" t="s">
        <v>60</v>
      </c>
      <c r="N113" s="4" t="s">
        <v>583</v>
      </c>
      <c r="O113" s="4"/>
      <c r="P113" s="4"/>
      <c r="Q113" s="4"/>
    </row>
    <row r="114" spans="1:17" ht="43.15">
      <c r="A114" s="4" t="s">
        <v>584</v>
      </c>
      <c r="B114" s="4" t="s">
        <v>585</v>
      </c>
      <c r="C114" s="4" t="s">
        <v>586</v>
      </c>
      <c r="D114" s="4" t="s">
        <v>587</v>
      </c>
      <c r="E114" s="4" t="s">
        <v>588</v>
      </c>
      <c r="F114" s="9">
        <v>5</v>
      </c>
      <c r="G114" s="9">
        <v>4</v>
      </c>
      <c r="H114" s="9">
        <f t="shared" si="6"/>
        <v>20</v>
      </c>
      <c r="I114" s="9"/>
      <c r="J114" s="4"/>
      <c r="K114" s="4"/>
      <c r="L114" s="8"/>
      <c r="M114" s="9" t="s">
        <v>25</v>
      </c>
      <c r="N114" s="4" t="s">
        <v>589</v>
      </c>
      <c r="O114" s="4"/>
      <c r="P114" s="4"/>
      <c r="Q114" s="4"/>
    </row>
    <row r="115" spans="1:17">
      <c r="A115" s="4"/>
      <c r="B115" s="4"/>
      <c r="C115" s="4"/>
      <c r="D115" s="4"/>
      <c r="E115" s="4"/>
      <c r="F115" s="9"/>
      <c r="G115" s="9"/>
      <c r="H115" s="9"/>
      <c r="I115" s="9"/>
      <c r="J115" s="4"/>
      <c r="K115" s="4"/>
      <c r="L115" s="8"/>
      <c r="M115" s="4"/>
      <c r="N115" s="4"/>
      <c r="O115" s="4"/>
      <c r="P115" s="4"/>
      <c r="Q115" s="4"/>
    </row>
    <row r="116" spans="1:17" ht="15.6">
      <c r="A116" s="161" t="s">
        <v>590</v>
      </c>
      <c r="B116" s="161"/>
      <c r="C116" s="161"/>
      <c r="D116" s="161"/>
      <c r="E116" s="161"/>
      <c r="F116" s="161"/>
      <c r="G116" s="161"/>
      <c r="H116" s="161"/>
      <c r="I116" s="161"/>
      <c r="J116" s="161"/>
      <c r="K116" s="161"/>
      <c r="L116" s="161"/>
      <c r="M116" s="161"/>
      <c r="N116" s="161"/>
      <c r="O116" s="161"/>
      <c r="P116" s="161"/>
      <c r="Q116" s="161"/>
    </row>
    <row r="117" spans="1:17" ht="43.15">
      <c r="A117" s="4" t="s">
        <v>591</v>
      </c>
      <c r="B117" s="4" t="s">
        <v>592</v>
      </c>
      <c r="C117" s="4" t="s">
        <v>593</v>
      </c>
      <c r="D117" s="4" t="s">
        <v>594</v>
      </c>
      <c r="E117" s="4" t="s">
        <v>595</v>
      </c>
      <c r="F117" s="9">
        <v>4</v>
      </c>
      <c r="G117" s="9">
        <v>4</v>
      </c>
      <c r="H117" s="9">
        <f t="shared" si="6"/>
        <v>16</v>
      </c>
      <c r="I117" s="9"/>
      <c r="J117" s="4" t="s">
        <v>597</v>
      </c>
      <c r="K117" s="4" t="s">
        <v>598</v>
      </c>
      <c r="L117" s="8" t="s">
        <v>73</v>
      </c>
      <c r="M117" s="9" t="s">
        <v>25</v>
      </c>
      <c r="N117" s="4" t="s">
        <v>599</v>
      </c>
      <c r="O117" s="4"/>
      <c r="P117" s="4"/>
      <c r="Q117" s="4"/>
    </row>
    <row r="118" spans="1:17" ht="28.9">
      <c r="A118" s="4" t="s">
        <v>600</v>
      </c>
      <c r="B118" s="4" t="s">
        <v>601</v>
      </c>
      <c r="C118" s="4" t="s">
        <v>602</v>
      </c>
      <c r="D118" s="4" t="s">
        <v>603</v>
      </c>
      <c r="E118" s="4" t="s">
        <v>604</v>
      </c>
      <c r="F118" s="9">
        <v>3</v>
      </c>
      <c r="G118" s="9">
        <v>2</v>
      </c>
      <c r="H118" s="9">
        <f t="shared" si="6"/>
        <v>6</v>
      </c>
      <c r="I118" s="9"/>
      <c r="J118" s="4" t="s">
        <v>605</v>
      </c>
      <c r="K118" s="4" t="s">
        <v>605</v>
      </c>
      <c r="L118" s="8" t="s">
        <v>86</v>
      </c>
      <c r="M118" s="9" t="s">
        <v>25</v>
      </c>
      <c r="N118" s="4" t="s">
        <v>606</v>
      </c>
      <c r="O118" s="4"/>
      <c r="P118" s="4"/>
      <c r="Q118" s="4"/>
    </row>
    <row r="119" spans="1:17" ht="43.15">
      <c r="A119" s="4" t="s">
        <v>607</v>
      </c>
      <c r="B119" s="4" t="s">
        <v>608</v>
      </c>
      <c r="C119" s="4" t="s">
        <v>609</v>
      </c>
      <c r="D119" s="4" t="s">
        <v>610</v>
      </c>
      <c r="E119" s="4" t="s">
        <v>611</v>
      </c>
      <c r="F119" s="9">
        <v>4</v>
      </c>
      <c r="G119" s="9">
        <v>2</v>
      </c>
      <c r="H119" s="9">
        <f t="shared" si="6"/>
        <v>8</v>
      </c>
      <c r="I119" s="9"/>
      <c r="J119" s="4" t="s">
        <v>597</v>
      </c>
      <c r="K119" s="4" t="s">
        <v>598</v>
      </c>
      <c r="L119" s="8" t="s">
        <v>73</v>
      </c>
      <c r="M119" s="36" t="s">
        <v>60</v>
      </c>
      <c r="N119" s="4" t="s">
        <v>612</v>
      </c>
      <c r="O119" s="4"/>
      <c r="P119" s="4"/>
      <c r="Q119" s="4"/>
    </row>
    <row r="120" spans="1:17" ht="28.9">
      <c r="A120" s="4" t="s">
        <v>613</v>
      </c>
      <c r="B120" s="4" t="s">
        <v>614</v>
      </c>
      <c r="C120" s="4" t="s">
        <v>615</v>
      </c>
      <c r="D120" s="4" t="s">
        <v>616</v>
      </c>
      <c r="E120" s="4" t="s">
        <v>617</v>
      </c>
      <c r="F120" s="9">
        <v>4</v>
      </c>
      <c r="G120" s="9">
        <v>2</v>
      </c>
      <c r="H120" s="9">
        <f t="shared" si="6"/>
        <v>8</v>
      </c>
      <c r="I120" s="9"/>
      <c r="J120" s="4" t="s">
        <v>618</v>
      </c>
      <c r="K120" s="4" t="s">
        <v>619</v>
      </c>
      <c r="L120" s="8" t="s">
        <v>86</v>
      </c>
      <c r="M120" s="9" t="s">
        <v>25</v>
      </c>
      <c r="N120" s="4" t="s">
        <v>620</v>
      </c>
      <c r="O120" s="4"/>
      <c r="P120" s="4"/>
      <c r="Q120" s="4"/>
    </row>
    <row r="121" spans="1:17" ht="28.9">
      <c r="A121" s="4" t="s">
        <v>621</v>
      </c>
      <c r="B121" s="4" t="s">
        <v>622</v>
      </c>
      <c r="C121" s="4" t="s">
        <v>623</v>
      </c>
      <c r="D121" s="4" t="s">
        <v>624</v>
      </c>
      <c r="E121" s="4" t="s">
        <v>625</v>
      </c>
      <c r="F121" s="9">
        <v>2</v>
      </c>
      <c r="G121" s="9">
        <v>2</v>
      </c>
      <c r="H121" s="9">
        <f t="shared" si="6"/>
        <v>4</v>
      </c>
      <c r="I121" s="9"/>
      <c r="J121" s="4" t="s">
        <v>626</v>
      </c>
      <c r="K121" s="4" t="s">
        <v>626</v>
      </c>
      <c r="L121" s="8" t="s">
        <v>86</v>
      </c>
      <c r="M121" s="9" t="s">
        <v>198</v>
      </c>
      <c r="N121" s="4" t="s">
        <v>627</v>
      </c>
      <c r="O121" s="4"/>
      <c r="P121" s="4"/>
      <c r="Q121" s="4"/>
    </row>
    <row r="122" spans="1:17" ht="28.9">
      <c r="A122" s="4" t="s">
        <v>628</v>
      </c>
      <c r="B122" s="4" t="s">
        <v>629</v>
      </c>
      <c r="C122" s="4" t="s">
        <v>630</v>
      </c>
      <c r="D122" s="4" t="s">
        <v>631</v>
      </c>
      <c r="E122" s="4" t="s">
        <v>625</v>
      </c>
      <c r="F122" s="9">
        <v>4</v>
      </c>
      <c r="G122" s="9">
        <v>4</v>
      </c>
      <c r="H122" s="9">
        <f t="shared" si="6"/>
        <v>16</v>
      </c>
      <c r="I122" s="9"/>
      <c r="J122" s="4" t="s">
        <v>632</v>
      </c>
      <c r="K122" s="4" t="s">
        <v>632</v>
      </c>
      <c r="L122" s="8" t="s">
        <v>86</v>
      </c>
      <c r="M122" s="9" t="s">
        <v>198</v>
      </c>
      <c r="N122" s="4" t="s">
        <v>633</v>
      </c>
      <c r="O122" s="4"/>
      <c r="P122" s="4"/>
      <c r="Q122" s="4"/>
    </row>
    <row r="123" spans="1:17" ht="28.9">
      <c r="A123" s="4" t="s">
        <v>634</v>
      </c>
      <c r="B123" s="4" t="s">
        <v>635</v>
      </c>
      <c r="C123" s="4" t="s">
        <v>636</v>
      </c>
      <c r="D123" s="4" t="s">
        <v>637</v>
      </c>
      <c r="E123" s="4" t="s">
        <v>638</v>
      </c>
      <c r="F123" s="9">
        <v>5</v>
      </c>
      <c r="G123" s="9">
        <v>4</v>
      </c>
      <c r="H123" s="9">
        <f t="shared" si="6"/>
        <v>20</v>
      </c>
      <c r="I123" s="9"/>
      <c r="J123" s="58" t="s">
        <v>639</v>
      </c>
      <c r="K123" s="58" t="s">
        <v>639</v>
      </c>
      <c r="L123" s="8" t="s">
        <v>80</v>
      </c>
      <c r="M123" s="9" t="s">
        <v>25</v>
      </c>
      <c r="N123" s="4" t="s">
        <v>640</v>
      </c>
      <c r="O123" s="4"/>
      <c r="P123" s="4"/>
      <c r="Q123" s="4"/>
    </row>
    <row r="124" spans="1:17" ht="28.9">
      <c r="A124" s="4" t="s">
        <v>641</v>
      </c>
      <c r="B124" s="4" t="s">
        <v>642</v>
      </c>
      <c r="C124" s="4" t="s">
        <v>643</v>
      </c>
      <c r="D124" s="4" t="s">
        <v>644</v>
      </c>
      <c r="E124" s="4" t="s">
        <v>645</v>
      </c>
      <c r="F124" s="9">
        <v>5</v>
      </c>
      <c r="G124" s="9">
        <v>3</v>
      </c>
      <c r="H124" s="9">
        <f t="shared" si="6"/>
        <v>15</v>
      </c>
      <c r="I124" s="9"/>
      <c r="J124" s="58" t="s">
        <v>646</v>
      </c>
      <c r="K124" s="58" t="s">
        <v>646</v>
      </c>
      <c r="L124" s="8" t="s">
        <v>86</v>
      </c>
      <c r="M124" s="9" t="s">
        <v>25</v>
      </c>
      <c r="N124" s="4" t="s">
        <v>647</v>
      </c>
      <c r="O124" s="4"/>
      <c r="P124" s="4"/>
      <c r="Q124" s="4"/>
    </row>
    <row r="125" spans="1:17" ht="57.6">
      <c r="A125" s="4" t="s">
        <v>648</v>
      </c>
      <c r="B125" s="4" t="s">
        <v>649</v>
      </c>
      <c r="C125" s="4" t="s">
        <v>650</v>
      </c>
      <c r="D125" s="4" t="s">
        <v>651</v>
      </c>
      <c r="E125" s="4" t="s">
        <v>652</v>
      </c>
      <c r="F125" s="9">
        <v>4</v>
      </c>
      <c r="G125" s="9">
        <v>2</v>
      </c>
      <c r="H125" s="9">
        <f t="shared" si="6"/>
        <v>8</v>
      </c>
      <c r="I125" s="9"/>
      <c r="J125" s="4" t="s">
        <v>653</v>
      </c>
      <c r="K125" s="4" t="s">
        <v>654</v>
      </c>
      <c r="L125" s="8" t="s">
        <v>86</v>
      </c>
      <c r="M125" s="36" t="s">
        <v>50</v>
      </c>
      <c r="N125" s="4" t="s">
        <v>655</v>
      </c>
      <c r="O125" s="4"/>
      <c r="P125" s="4"/>
      <c r="Q125" s="4"/>
    </row>
    <row r="126" spans="1:17" ht="28.9">
      <c r="A126" s="4" t="s">
        <v>656</v>
      </c>
      <c r="B126" s="4" t="s">
        <v>657</v>
      </c>
      <c r="C126" s="4" t="s">
        <v>658</v>
      </c>
      <c r="D126" s="4" t="s">
        <v>659</v>
      </c>
      <c r="E126" s="4" t="s">
        <v>328</v>
      </c>
      <c r="F126" s="9">
        <v>4</v>
      </c>
      <c r="G126" s="9">
        <v>3</v>
      </c>
      <c r="H126" s="9">
        <f t="shared" si="6"/>
        <v>12</v>
      </c>
      <c r="I126" s="9"/>
      <c r="J126" s="4" t="s">
        <v>660</v>
      </c>
      <c r="K126" s="4" t="s">
        <v>661</v>
      </c>
      <c r="L126" s="8" t="s">
        <v>86</v>
      </c>
      <c r="M126" s="9" t="s">
        <v>25</v>
      </c>
      <c r="N126" s="51" t="s">
        <v>662</v>
      </c>
      <c r="O126" s="4"/>
      <c r="P126" s="4"/>
      <c r="Q126" s="4"/>
    </row>
    <row r="127" spans="1:17" ht="15.6">
      <c r="A127" s="161" t="s">
        <v>663</v>
      </c>
      <c r="B127" s="161"/>
      <c r="C127" s="161"/>
      <c r="D127" s="161"/>
      <c r="E127" s="161"/>
      <c r="F127" s="161"/>
      <c r="G127" s="161"/>
      <c r="H127" s="161"/>
      <c r="I127" s="161"/>
      <c r="J127" s="161"/>
      <c r="K127" s="161"/>
      <c r="L127" s="161"/>
      <c r="M127" s="161"/>
      <c r="N127" s="161"/>
      <c r="O127" s="161"/>
      <c r="P127" s="161"/>
      <c r="Q127" s="161"/>
    </row>
    <row r="128" spans="1:17" ht="43.15">
      <c r="A128" s="4" t="s">
        <v>664</v>
      </c>
      <c r="B128" s="4" t="s">
        <v>665</v>
      </c>
      <c r="C128" s="4" t="s">
        <v>666</v>
      </c>
      <c r="D128" s="4" t="s">
        <v>667</v>
      </c>
      <c r="E128" s="52" t="s">
        <v>668</v>
      </c>
      <c r="F128" s="9">
        <v>5</v>
      </c>
      <c r="G128" s="9">
        <v>1</v>
      </c>
      <c r="H128" s="9">
        <f t="shared" ref="H128:H147" si="7">F128*G128</f>
        <v>5</v>
      </c>
      <c r="I128" s="9" t="s">
        <v>72</v>
      </c>
      <c r="J128" s="4" t="s">
        <v>59</v>
      </c>
      <c r="K128" s="4" t="s">
        <v>59</v>
      </c>
      <c r="L128" s="55" t="s">
        <v>86</v>
      </c>
      <c r="M128" s="9" t="s">
        <v>60</v>
      </c>
      <c r="N128" s="4" t="s">
        <v>669</v>
      </c>
      <c r="O128" s="4"/>
      <c r="P128" s="4"/>
      <c r="Q128" s="4"/>
    </row>
    <row r="129" spans="1:17" ht="28.9">
      <c r="A129" s="4" t="s">
        <v>670</v>
      </c>
      <c r="B129" s="4" t="s">
        <v>671</v>
      </c>
      <c r="C129" s="37" t="s">
        <v>672</v>
      </c>
      <c r="D129" s="4" t="s">
        <v>673</v>
      </c>
      <c r="E129" s="52" t="s">
        <v>309</v>
      </c>
      <c r="F129" s="9">
        <v>4</v>
      </c>
      <c r="G129" s="9">
        <v>1</v>
      </c>
      <c r="H129" s="9">
        <f t="shared" si="7"/>
        <v>4</v>
      </c>
      <c r="I129" s="9" t="s">
        <v>72</v>
      </c>
      <c r="J129" s="4" t="s">
        <v>674</v>
      </c>
      <c r="K129" s="4" t="s">
        <v>674</v>
      </c>
      <c r="L129" s="8" t="s">
        <v>86</v>
      </c>
      <c r="M129" s="9" t="s">
        <v>60</v>
      </c>
      <c r="N129" s="4" t="s">
        <v>675</v>
      </c>
      <c r="O129" s="4"/>
      <c r="P129" s="4"/>
      <c r="Q129" s="4"/>
    </row>
    <row r="130" spans="1:17" ht="28.9">
      <c r="A130" s="4" t="s">
        <v>676</v>
      </c>
      <c r="B130" s="4" t="s">
        <v>677</v>
      </c>
      <c r="C130" s="37" t="s">
        <v>678</v>
      </c>
      <c r="D130" s="4" t="s">
        <v>679</v>
      </c>
      <c r="E130" s="52" t="s">
        <v>309</v>
      </c>
      <c r="F130" s="9">
        <v>4</v>
      </c>
      <c r="G130" s="9">
        <v>1</v>
      </c>
      <c r="H130" s="9">
        <f t="shared" si="7"/>
        <v>4</v>
      </c>
      <c r="I130" s="9" t="s">
        <v>72</v>
      </c>
      <c r="J130" s="4" t="s">
        <v>674</v>
      </c>
      <c r="K130" s="4" t="s">
        <v>674</v>
      </c>
      <c r="L130" s="8" t="s">
        <v>86</v>
      </c>
      <c r="M130" s="9" t="s">
        <v>100</v>
      </c>
      <c r="N130" s="4" t="s">
        <v>680</v>
      </c>
      <c r="O130" s="4"/>
      <c r="P130" s="4"/>
      <c r="Q130" s="4"/>
    </row>
    <row r="131" spans="1:17" ht="28.9">
      <c r="A131" s="4" t="s">
        <v>681</v>
      </c>
      <c r="B131" s="4" t="s">
        <v>682</v>
      </c>
      <c r="C131" s="4" t="s">
        <v>683</v>
      </c>
      <c r="D131" s="4" t="s">
        <v>684</v>
      </c>
      <c r="E131" s="52" t="s">
        <v>354</v>
      </c>
      <c r="F131" s="9">
        <v>3</v>
      </c>
      <c r="G131" s="9">
        <v>1</v>
      </c>
      <c r="H131" s="9">
        <f t="shared" si="7"/>
        <v>3</v>
      </c>
      <c r="I131" s="9" t="s">
        <v>72</v>
      </c>
      <c r="J131" s="4" t="s">
        <v>685</v>
      </c>
      <c r="K131" s="4" t="s">
        <v>685</v>
      </c>
      <c r="L131" s="8" t="s">
        <v>86</v>
      </c>
      <c r="M131" s="9" t="s">
        <v>60</v>
      </c>
      <c r="N131" s="4" t="s">
        <v>686</v>
      </c>
      <c r="O131" s="4"/>
      <c r="P131" s="4"/>
      <c r="Q131" s="4"/>
    </row>
    <row r="132" spans="1:17" ht="28.9">
      <c r="A132" s="4" t="s">
        <v>687</v>
      </c>
      <c r="B132" s="4" t="s">
        <v>688</v>
      </c>
      <c r="C132" s="4" t="s">
        <v>689</v>
      </c>
      <c r="D132" s="4" t="s">
        <v>690</v>
      </c>
      <c r="E132" s="52" t="s">
        <v>354</v>
      </c>
      <c r="F132" s="9">
        <v>3</v>
      </c>
      <c r="G132" s="9">
        <v>1</v>
      </c>
      <c r="H132" s="9">
        <f t="shared" si="7"/>
        <v>3</v>
      </c>
      <c r="I132" s="9" t="s">
        <v>72</v>
      </c>
      <c r="J132" s="4" t="s">
        <v>685</v>
      </c>
      <c r="K132" s="4" t="s">
        <v>685</v>
      </c>
      <c r="L132" s="8" t="s">
        <v>86</v>
      </c>
      <c r="M132" s="9" t="s">
        <v>100</v>
      </c>
      <c r="N132" s="4" t="s">
        <v>691</v>
      </c>
      <c r="O132" s="4"/>
      <c r="P132" s="4"/>
      <c r="Q132" s="4"/>
    </row>
    <row r="133" spans="1:17" ht="28.9">
      <c r="A133" s="4" t="s">
        <v>692</v>
      </c>
      <c r="B133" s="4" t="s">
        <v>693</v>
      </c>
      <c r="C133" s="50" t="s">
        <v>694</v>
      </c>
      <c r="D133" s="4" t="s">
        <v>695</v>
      </c>
      <c r="E133" s="52" t="s">
        <v>381</v>
      </c>
      <c r="F133" s="9">
        <v>4</v>
      </c>
      <c r="G133" s="9">
        <v>1</v>
      </c>
      <c r="H133" s="9">
        <f t="shared" si="7"/>
        <v>4</v>
      </c>
      <c r="I133" s="9" t="s">
        <v>72</v>
      </c>
      <c r="J133" s="50" t="s">
        <v>696</v>
      </c>
      <c r="K133" s="50" t="s">
        <v>697</v>
      </c>
      <c r="L133" s="8" t="s">
        <v>80</v>
      </c>
      <c r="M133" s="9" t="s">
        <v>60</v>
      </c>
      <c r="N133" s="4" t="s">
        <v>698</v>
      </c>
      <c r="O133" s="4"/>
      <c r="P133" s="4"/>
      <c r="Q133" s="4"/>
    </row>
    <row r="134" spans="1:17" ht="28.9">
      <c r="A134" s="4" t="s">
        <v>699</v>
      </c>
      <c r="B134" s="4" t="s">
        <v>700</v>
      </c>
      <c r="C134" s="50" t="s">
        <v>701</v>
      </c>
      <c r="D134" s="53" t="s">
        <v>702</v>
      </c>
      <c r="E134" s="52" t="s">
        <v>381</v>
      </c>
      <c r="F134" s="9">
        <v>4</v>
      </c>
      <c r="G134" s="9">
        <v>1</v>
      </c>
      <c r="H134" s="9">
        <f t="shared" si="7"/>
        <v>4</v>
      </c>
      <c r="I134" s="9" t="s">
        <v>72</v>
      </c>
      <c r="J134" s="50" t="s">
        <v>696</v>
      </c>
      <c r="K134" s="50" t="s">
        <v>697</v>
      </c>
      <c r="L134" s="8" t="s">
        <v>80</v>
      </c>
      <c r="M134" s="9" t="s">
        <v>100</v>
      </c>
      <c r="N134" s="4" t="s">
        <v>703</v>
      </c>
      <c r="O134" s="4"/>
      <c r="P134" s="4"/>
      <c r="Q134" s="4"/>
    </row>
    <row r="135" spans="1:17" ht="28.9">
      <c r="A135" s="4" t="s">
        <v>704</v>
      </c>
      <c r="B135" s="4" t="s">
        <v>705</v>
      </c>
      <c r="C135" s="4" t="s">
        <v>706</v>
      </c>
      <c r="D135" s="4" t="s">
        <v>707</v>
      </c>
      <c r="E135" s="52" t="s">
        <v>309</v>
      </c>
      <c r="F135" s="9">
        <v>4</v>
      </c>
      <c r="G135" s="9">
        <v>1</v>
      </c>
      <c r="H135" s="9">
        <f t="shared" si="7"/>
        <v>4</v>
      </c>
      <c r="I135" s="9" t="s">
        <v>72</v>
      </c>
      <c r="J135" s="4" t="s">
        <v>59</v>
      </c>
      <c r="K135" s="4" t="s">
        <v>59</v>
      </c>
      <c r="L135" s="8" t="s">
        <v>86</v>
      </c>
      <c r="M135" s="9" t="s">
        <v>60</v>
      </c>
      <c r="N135" s="4" t="s">
        <v>708</v>
      </c>
      <c r="O135" s="4"/>
      <c r="P135" s="4"/>
      <c r="Q135" s="4"/>
    </row>
    <row r="136" spans="1:17" ht="28.9">
      <c r="A136" s="4" t="s">
        <v>709</v>
      </c>
      <c r="B136" s="4" t="s">
        <v>710</v>
      </c>
      <c r="C136" s="4" t="s">
        <v>711</v>
      </c>
      <c r="D136" s="4" t="s">
        <v>712</v>
      </c>
      <c r="E136" s="52" t="s">
        <v>179</v>
      </c>
      <c r="F136" s="9">
        <v>5</v>
      </c>
      <c r="G136" s="9">
        <v>1</v>
      </c>
      <c r="H136" s="9">
        <f t="shared" si="7"/>
        <v>5</v>
      </c>
      <c r="I136" s="9" t="s">
        <v>72</v>
      </c>
      <c r="J136" s="4" t="s">
        <v>59</v>
      </c>
      <c r="K136" s="4" t="s">
        <v>59</v>
      </c>
      <c r="L136" s="55" t="s">
        <v>86</v>
      </c>
      <c r="M136" s="9" t="s">
        <v>100</v>
      </c>
      <c r="N136" s="4" t="s">
        <v>713</v>
      </c>
      <c r="O136" s="4"/>
      <c r="P136" s="4"/>
      <c r="Q136" s="4"/>
    </row>
    <row r="137" spans="1:17" ht="28.9">
      <c r="A137" s="4" t="s">
        <v>714</v>
      </c>
      <c r="B137" s="4" t="s">
        <v>715</v>
      </c>
      <c r="C137" s="4" t="s">
        <v>716</v>
      </c>
      <c r="D137" s="4" t="s">
        <v>717</v>
      </c>
      <c r="E137" s="52" t="s">
        <v>179</v>
      </c>
      <c r="F137" s="9">
        <v>5</v>
      </c>
      <c r="G137" s="9">
        <v>1</v>
      </c>
      <c r="H137" s="9">
        <f t="shared" si="7"/>
        <v>5</v>
      </c>
      <c r="I137" s="9" t="s">
        <v>72</v>
      </c>
      <c r="J137" s="4" t="s">
        <v>718</v>
      </c>
      <c r="K137" s="4" t="s">
        <v>718</v>
      </c>
      <c r="L137" s="55" t="s">
        <v>86</v>
      </c>
      <c r="M137" s="9" t="s">
        <v>100</v>
      </c>
      <c r="N137" s="4" t="s">
        <v>719</v>
      </c>
      <c r="O137" s="4"/>
      <c r="P137" s="4"/>
      <c r="Q137" s="4"/>
    </row>
    <row r="138" spans="1:17" ht="28.9">
      <c r="A138" s="4" t="s">
        <v>720</v>
      </c>
      <c r="B138" s="4" t="s">
        <v>721</v>
      </c>
      <c r="C138" s="4" t="s">
        <v>722</v>
      </c>
      <c r="D138" s="4" t="s">
        <v>723</v>
      </c>
      <c r="E138" s="52" t="s">
        <v>179</v>
      </c>
      <c r="F138" s="9">
        <v>5</v>
      </c>
      <c r="G138" s="9">
        <v>1</v>
      </c>
      <c r="H138" s="9">
        <f t="shared" si="7"/>
        <v>5</v>
      </c>
      <c r="I138" s="9" t="s">
        <v>72</v>
      </c>
      <c r="J138" s="4" t="s">
        <v>718</v>
      </c>
      <c r="K138" s="4" t="s">
        <v>718</v>
      </c>
      <c r="L138" s="8" t="s">
        <v>86</v>
      </c>
      <c r="M138" s="9" t="s">
        <v>100</v>
      </c>
      <c r="N138" s="4" t="s">
        <v>724</v>
      </c>
      <c r="O138" s="4"/>
      <c r="P138" s="4"/>
      <c r="Q138" s="4"/>
    </row>
    <row r="139" spans="1:17" ht="28.9">
      <c r="A139" s="4" t="s">
        <v>725</v>
      </c>
      <c r="B139" s="4" t="s">
        <v>726</v>
      </c>
      <c r="C139" s="4" t="s">
        <v>727</v>
      </c>
      <c r="D139" s="10" t="s">
        <v>728</v>
      </c>
      <c r="E139" s="52" t="s">
        <v>179</v>
      </c>
      <c r="F139" s="9">
        <v>4</v>
      </c>
      <c r="G139" s="9">
        <v>1</v>
      </c>
      <c r="H139" s="9">
        <f t="shared" si="7"/>
        <v>4</v>
      </c>
      <c r="I139" s="9" t="s">
        <v>72</v>
      </c>
      <c r="J139" s="4" t="s">
        <v>729</v>
      </c>
      <c r="K139" s="4" t="s">
        <v>729</v>
      </c>
      <c r="L139" s="55" t="s">
        <v>86</v>
      </c>
      <c r="M139" s="9" t="s">
        <v>537</v>
      </c>
      <c r="N139" s="4" t="s">
        <v>730</v>
      </c>
      <c r="O139" s="4"/>
      <c r="P139" s="4"/>
      <c r="Q139" s="4"/>
    </row>
    <row r="140" spans="1:17" ht="28.9">
      <c r="A140" s="4" t="s">
        <v>731</v>
      </c>
      <c r="B140" s="4" t="s">
        <v>732</v>
      </c>
      <c r="C140" s="4" t="s">
        <v>733</v>
      </c>
      <c r="D140" s="10" t="s">
        <v>734</v>
      </c>
      <c r="E140" s="52" t="s">
        <v>179</v>
      </c>
      <c r="F140" s="9">
        <v>5</v>
      </c>
      <c r="G140" s="9">
        <v>1</v>
      </c>
      <c r="H140" s="9">
        <f t="shared" si="7"/>
        <v>5</v>
      </c>
      <c r="I140" s="9" t="s">
        <v>72</v>
      </c>
      <c r="J140" s="4" t="s">
        <v>735</v>
      </c>
      <c r="K140" s="4" t="s">
        <v>735</v>
      </c>
      <c r="L140" s="55" t="s">
        <v>86</v>
      </c>
      <c r="M140" s="9" t="s">
        <v>100</v>
      </c>
      <c r="N140" s="4" t="s">
        <v>1810</v>
      </c>
      <c r="O140" s="4"/>
      <c r="P140" s="4"/>
      <c r="Q140" s="4"/>
    </row>
    <row r="141" spans="1:17" ht="28.9">
      <c r="A141" s="77" t="s">
        <v>737</v>
      </c>
      <c r="B141" s="77" t="s">
        <v>738</v>
      </c>
      <c r="C141" s="77" t="s">
        <v>739</v>
      </c>
      <c r="D141" s="78" t="s">
        <v>740</v>
      </c>
      <c r="E141" s="79" t="s">
        <v>335</v>
      </c>
      <c r="F141" s="80">
        <v>5</v>
      </c>
      <c r="G141" s="80">
        <v>1</v>
      </c>
      <c r="H141" s="80">
        <f t="shared" si="7"/>
        <v>5</v>
      </c>
      <c r="I141" s="80" t="s">
        <v>72</v>
      </c>
      <c r="J141" s="77" t="s">
        <v>59</v>
      </c>
      <c r="K141" s="77" t="s">
        <v>59</v>
      </c>
      <c r="L141" s="38" t="s">
        <v>24</v>
      </c>
      <c r="M141" s="80" t="s">
        <v>25</v>
      </c>
      <c r="N141" s="77" t="s">
        <v>741</v>
      </c>
      <c r="O141" s="77"/>
      <c r="P141" s="77"/>
      <c r="Q141" s="77"/>
    </row>
    <row r="142" spans="1:17" ht="28.9">
      <c r="A142" s="81" t="s">
        <v>742</v>
      </c>
      <c r="B142" s="81" t="s">
        <v>743</v>
      </c>
      <c r="C142" s="82" t="s">
        <v>744</v>
      </c>
      <c r="D142" s="86" t="s">
        <v>1811</v>
      </c>
      <c r="E142" s="85" t="s">
        <v>285</v>
      </c>
      <c r="F142" s="87">
        <v>4</v>
      </c>
      <c r="G142" s="87">
        <v>1</v>
      </c>
      <c r="H142" s="87">
        <f t="shared" si="7"/>
        <v>4</v>
      </c>
      <c r="I142" s="87" t="s">
        <v>72</v>
      </c>
      <c r="J142" s="82" t="s">
        <v>746</v>
      </c>
      <c r="K142" s="82" t="s">
        <v>747</v>
      </c>
      <c r="L142" s="84" t="s">
        <v>24</v>
      </c>
      <c r="M142" s="87" t="s">
        <v>100</v>
      </c>
      <c r="N142" s="85" t="s">
        <v>1377</v>
      </c>
      <c r="O142" s="85"/>
      <c r="P142" s="85"/>
      <c r="Q142" s="85"/>
    </row>
    <row r="143" spans="1:17" ht="28.9">
      <c r="A143" s="4" t="s">
        <v>750</v>
      </c>
      <c r="B143" s="4" t="s">
        <v>751</v>
      </c>
      <c r="C143" s="50" t="s">
        <v>752</v>
      </c>
      <c r="D143" s="89" t="s">
        <v>1812</v>
      </c>
      <c r="E143" s="76" t="s">
        <v>360</v>
      </c>
      <c r="F143" s="94">
        <v>5</v>
      </c>
      <c r="G143" s="94">
        <v>1</v>
      </c>
      <c r="H143" s="90">
        <f t="shared" si="7"/>
        <v>5</v>
      </c>
      <c r="I143" s="90" t="s">
        <v>72</v>
      </c>
      <c r="J143" s="50" t="s">
        <v>754</v>
      </c>
      <c r="K143" s="50" t="s">
        <v>755</v>
      </c>
      <c r="L143" s="8" t="s">
        <v>24</v>
      </c>
      <c r="M143" s="90" t="s">
        <v>100</v>
      </c>
      <c r="N143" s="76" t="s">
        <v>1383</v>
      </c>
      <c r="O143" s="76"/>
      <c r="P143" s="76"/>
      <c r="Q143" s="76"/>
    </row>
    <row r="144" spans="1:17" ht="28.9">
      <c r="A144" s="4" t="s">
        <v>757</v>
      </c>
      <c r="B144" s="4" t="s">
        <v>758</v>
      </c>
      <c r="C144" s="50" t="s">
        <v>759</v>
      </c>
      <c r="D144" s="92" t="s">
        <v>1813</v>
      </c>
      <c r="E144" s="92" t="s">
        <v>365</v>
      </c>
      <c r="F144" s="93">
        <v>4</v>
      </c>
      <c r="G144" s="93">
        <v>2</v>
      </c>
      <c r="H144" s="93">
        <f t="shared" si="7"/>
        <v>8</v>
      </c>
      <c r="I144" s="93" t="s">
        <v>596</v>
      </c>
      <c r="J144" s="50" t="s">
        <v>761</v>
      </c>
      <c r="K144" s="50" t="s">
        <v>762</v>
      </c>
      <c r="L144" s="8" t="s">
        <v>24</v>
      </c>
      <c r="M144" s="93" t="s">
        <v>87</v>
      </c>
      <c r="N144" s="92" t="s">
        <v>1390</v>
      </c>
      <c r="O144" s="92"/>
      <c r="P144" s="92"/>
      <c r="Q144" s="92"/>
    </row>
    <row r="145" spans="1:19" ht="28.9">
      <c r="A145" s="4" t="s">
        <v>764</v>
      </c>
      <c r="B145" s="4" t="s">
        <v>765</v>
      </c>
      <c r="C145" s="50" t="s">
        <v>766</v>
      </c>
      <c r="D145" s="81" t="s">
        <v>745</v>
      </c>
      <c r="E145" s="81" t="s">
        <v>341</v>
      </c>
      <c r="F145" s="83">
        <v>4</v>
      </c>
      <c r="G145" s="83">
        <v>1</v>
      </c>
      <c r="H145" s="83">
        <f t="shared" si="7"/>
        <v>4</v>
      </c>
      <c r="I145" s="83" t="s">
        <v>72</v>
      </c>
      <c r="J145" s="50" t="s">
        <v>768</v>
      </c>
      <c r="K145" s="50" t="s">
        <v>769</v>
      </c>
      <c r="L145" s="8" t="s">
        <v>24</v>
      </c>
      <c r="M145" s="83" t="s">
        <v>50</v>
      </c>
      <c r="N145" s="81" t="s">
        <v>1814</v>
      </c>
      <c r="O145" s="81"/>
      <c r="P145" s="81"/>
      <c r="Q145" s="81"/>
    </row>
    <row r="146" spans="1:19" ht="28.9">
      <c r="A146" s="4" t="s">
        <v>771</v>
      </c>
      <c r="B146" s="4" t="s">
        <v>772</v>
      </c>
      <c r="C146" s="50" t="s">
        <v>773</v>
      </c>
      <c r="D146" s="4" t="s">
        <v>753</v>
      </c>
      <c r="E146" s="4" t="s">
        <v>348</v>
      </c>
      <c r="F146" s="9">
        <v>4</v>
      </c>
      <c r="G146" s="9">
        <v>1</v>
      </c>
      <c r="H146" s="9">
        <f t="shared" si="7"/>
        <v>4</v>
      </c>
      <c r="I146" s="9" t="s">
        <v>72</v>
      </c>
      <c r="J146" s="50" t="s">
        <v>775</v>
      </c>
      <c r="K146" s="50" t="s">
        <v>776</v>
      </c>
      <c r="L146" s="8" t="s">
        <v>24</v>
      </c>
      <c r="M146" s="9" t="s">
        <v>748</v>
      </c>
      <c r="N146" s="4" t="s">
        <v>1815</v>
      </c>
      <c r="O146" s="4"/>
      <c r="P146" s="4"/>
      <c r="Q146" s="4"/>
    </row>
    <row r="147" spans="1:19" ht="28.9">
      <c r="A147" s="4" t="s">
        <v>778</v>
      </c>
      <c r="B147" s="4" t="s">
        <v>779</v>
      </c>
      <c r="C147" s="50" t="s">
        <v>780</v>
      </c>
      <c r="D147" s="4" t="s">
        <v>760</v>
      </c>
      <c r="E147" s="4" t="s">
        <v>354</v>
      </c>
      <c r="F147" s="9">
        <v>4</v>
      </c>
      <c r="G147" s="9">
        <v>1</v>
      </c>
      <c r="H147" s="9">
        <f t="shared" si="7"/>
        <v>4</v>
      </c>
      <c r="I147" s="9" t="s">
        <v>72</v>
      </c>
      <c r="J147" s="50" t="s">
        <v>782</v>
      </c>
      <c r="K147" s="4" t="s">
        <v>783</v>
      </c>
      <c r="L147" s="8" t="s">
        <v>80</v>
      </c>
      <c r="M147" s="9" t="s">
        <v>50</v>
      </c>
      <c r="N147" s="4" t="s">
        <v>1816</v>
      </c>
      <c r="O147" s="4"/>
      <c r="P147" s="4"/>
      <c r="Q147" s="4"/>
    </row>
    <row r="148" spans="1:19" ht="15.6">
      <c r="A148" s="161" t="s">
        <v>785</v>
      </c>
      <c r="B148" s="161"/>
      <c r="C148" s="161"/>
      <c r="D148" s="161"/>
      <c r="E148" s="161"/>
      <c r="F148" s="161"/>
      <c r="G148" s="161"/>
      <c r="H148" s="161"/>
      <c r="I148" s="161"/>
      <c r="J148" s="161"/>
      <c r="K148" s="161"/>
      <c r="L148" s="161"/>
      <c r="M148" s="161"/>
      <c r="N148" s="161"/>
      <c r="O148" s="161"/>
      <c r="P148" s="161"/>
      <c r="Q148" s="161"/>
    </row>
    <row r="149" spans="1:19" ht="35.25" customHeight="1">
      <c r="A149" s="37" t="s">
        <v>786</v>
      </c>
      <c r="B149" s="37" t="s">
        <v>787</v>
      </c>
      <c r="C149" s="111" t="s">
        <v>1817</v>
      </c>
      <c r="D149" s="37" t="s">
        <v>789</v>
      </c>
      <c r="E149" s="37" t="s">
        <v>465</v>
      </c>
      <c r="F149" s="9">
        <v>3</v>
      </c>
      <c r="G149" s="9">
        <v>3</v>
      </c>
      <c r="H149" s="9">
        <f>F149*G149</f>
        <v>9</v>
      </c>
      <c r="I149" s="9"/>
      <c r="J149" s="156" t="s">
        <v>59</v>
      </c>
      <c r="K149" s="156" t="s">
        <v>59</v>
      </c>
      <c r="L149" s="55" t="s">
        <v>86</v>
      </c>
      <c r="M149" s="9" t="s">
        <v>60</v>
      </c>
      <c r="N149" s="37" t="s">
        <v>792</v>
      </c>
      <c r="O149" s="4"/>
      <c r="P149" s="4"/>
      <c r="Q149" s="4"/>
    </row>
    <row r="150" spans="1:19" ht="35.25" customHeight="1">
      <c r="A150" s="37" t="s">
        <v>793</v>
      </c>
      <c r="B150" s="37" t="s">
        <v>794</v>
      </c>
      <c r="C150" s="37" t="s">
        <v>1818</v>
      </c>
      <c r="D150" s="37" t="s">
        <v>796</v>
      </c>
      <c r="E150" s="37" t="s">
        <v>465</v>
      </c>
      <c r="F150" s="9">
        <v>4</v>
      </c>
      <c r="G150" s="9">
        <v>2</v>
      </c>
      <c r="H150" s="9">
        <f t="shared" ref="H150:H164" si="8">F150*G150</f>
        <v>8</v>
      </c>
      <c r="I150" s="9"/>
      <c r="J150" s="157" t="s">
        <v>59</v>
      </c>
      <c r="K150" s="156" t="s">
        <v>59</v>
      </c>
      <c r="L150" s="55" t="s">
        <v>86</v>
      </c>
      <c r="M150" s="39" t="s">
        <v>60</v>
      </c>
      <c r="N150" s="37" t="s">
        <v>797</v>
      </c>
      <c r="O150" s="37"/>
      <c r="P150" s="37"/>
      <c r="Q150" s="37"/>
    </row>
    <row r="151" spans="1:19" ht="35.25" customHeight="1">
      <c r="A151" s="37" t="s">
        <v>798</v>
      </c>
      <c r="B151" s="4" t="s">
        <v>799</v>
      </c>
      <c r="C151" s="4" t="s">
        <v>1819</v>
      </c>
      <c r="D151" s="4" t="s">
        <v>801</v>
      </c>
      <c r="E151" s="37" t="s">
        <v>465</v>
      </c>
      <c r="F151" s="9">
        <v>4</v>
      </c>
      <c r="G151" s="9">
        <v>5</v>
      </c>
      <c r="H151" s="9">
        <f t="shared" si="8"/>
        <v>20</v>
      </c>
      <c r="I151" s="9"/>
      <c r="J151" s="58" t="s">
        <v>469</v>
      </c>
      <c r="K151" s="58" t="s">
        <v>1820</v>
      </c>
      <c r="L151" s="55" t="s">
        <v>86</v>
      </c>
      <c r="M151" s="9" t="s">
        <v>25</v>
      </c>
      <c r="N151" s="4" t="s">
        <v>802</v>
      </c>
      <c r="O151" s="4"/>
      <c r="P151" s="4"/>
      <c r="Q151" s="4"/>
    </row>
    <row r="152" spans="1:19" ht="35.25" customHeight="1">
      <c r="A152" s="37" t="s">
        <v>803</v>
      </c>
      <c r="B152" s="37" t="s">
        <v>804</v>
      </c>
      <c r="C152" s="37" t="s">
        <v>1821</v>
      </c>
      <c r="D152" s="37" t="s">
        <v>806</v>
      </c>
      <c r="E152" s="37" t="s">
        <v>335</v>
      </c>
      <c r="F152" s="9">
        <v>4</v>
      </c>
      <c r="G152" s="9">
        <v>2</v>
      </c>
      <c r="H152" s="9">
        <f>F152*G152</f>
        <v>8</v>
      </c>
      <c r="I152" s="9"/>
      <c r="J152" s="56" t="s">
        <v>59</v>
      </c>
      <c r="K152" s="56" t="s">
        <v>59</v>
      </c>
      <c r="L152" s="55" t="s">
        <v>86</v>
      </c>
      <c r="M152" s="9" t="s">
        <v>60</v>
      </c>
      <c r="N152" s="37" t="s">
        <v>807</v>
      </c>
      <c r="O152" s="4"/>
      <c r="P152" s="4"/>
      <c r="Q152" s="4"/>
    </row>
    <row r="153" spans="1:19" ht="35.25" customHeight="1">
      <c r="A153" s="37" t="s">
        <v>808</v>
      </c>
      <c r="B153" s="37" t="s">
        <v>809</v>
      </c>
      <c r="C153" s="37" t="s">
        <v>1822</v>
      </c>
      <c r="D153" s="37" t="s">
        <v>811</v>
      </c>
      <c r="E153" s="37" t="s">
        <v>335</v>
      </c>
      <c r="F153" s="9">
        <v>5</v>
      </c>
      <c r="G153" s="9">
        <v>2</v>
      </c>
      <c r="H153" s="9">
        <f t="shared" si="8"/>
        <v>10</v>
      </c>
      <c r="I153" s="9"/>
      <c r="J153" s="56" t="s">
        <v>59</v>
      </c>
      <c r="K153" s="56" t="s">
        <v>59</v>
      </c>
      <c r="L153" s="55" t="s">
        <v>86</v>
      </c>
      <c r="M153" s="9" t="s">
        <v>60</v>
      </c>
      <c r="N153" s="37" t="s">
        <v>812</v>
      </c>
      <c r="O153" s="4"/>
      <c r="P153" s="4"/>
      <c r="Q153" s="4"/>
    </row>
    <row r="154" spans="1:19" ht="35.25" customHeight="1">
      <c r="A154" s="37" t="s">
        <v>813</v>
      </c>
      <c r="B154" s="37" t="s">
        <v>814</v>
      </c>
      <c r="C154" s="156" t="s">
        <v>1823</v>
      </c>
      <c r="D154" s="37" t="s">
        <v>816</v>
      </c>
      <c r="E154" s="37" t="s">
        <v>335</v>
      </c>
      <c r="F154" s="9">
        <v>3</v>
      </c>
      <c r="G154" s="9">
        <v>2</v>
      </c>
      <c r="H154" s="9">
        <f>F154*G154</f>
        <v>6</v>
      </c>
      <c r="I154" s="9"/>
      <c r="J154" s="56" t="s">
        <v>59</v>
      </c>
      <c r="K154" s="56" t="s">
        <v>59</v>
      </c>
      <c r="L154" s="55" t="s">
        <v>86</v>
      </c>
      <c r="M154" s="9" t="s">
        <v>60</v>
      </c>
      <c r="N154" s="37" t="s">
        <v>817</v>
      </c>
      <c r="O154" s="4"/>
      <c r="P154" s="4"/>
      <c r="Q154" s="4"/>
    </row>
    <row r="155" spans="1:19" ht="35.25" customHeight="1">
      <c r="A155" s="37" t="s">
        <v>818</v>
      </c>
      <c r="B155" s="37" t="s">
        <v>819</v>
      </c>
      <c r="C155" s="50" t="s">
        <v>820</v>
      </c>
      <c r="D155" s="50" t="s">
        <v>821</v>
      </c>
      <c r="E155" s="155" t="s">
        <v>335</v>
      </c>
      <c r="F155" s="153">
        <v>3</v>
      </c>
      <c r="G155" s="153">
        <v>2</v>
      </c>
      <c r="H155" s="153">
        <f t="shared" si="8"/>
        <v>6</v>
      </c>
      <c r="I155" s="153"/>
      <c r="J155" s="154" t="s">
        <v>59</v>
      </c>
      <c r="K155" s="158" t="s">
        <v>790</v>
      </c>
      <c r="L155" s="55" t="s">
        <v>73</v>
      </c>
      <c r="M155" s="9" t="s">
        <v>60</v>
      </c>
      <c r="N155" s="37" t="s">
        <v>822</v>
      </c>
      <c r="O155" s="4"/>
      <c r="P155" s="4"/>
      <c r="Q155" s="4"/>
    </row>
    <row r="156" spans="1:19" ht="35.25" customHeight="1">
      <c r="A156" s="37" t="s">
        <v>823</v>
      </c>
      <c r="B156" s="37" t="s">
        <v>824</v>
      </c>
      <c r="C156" s="46" t="s">
        <v>825</v>
      </c>
      <c r="D156" s="50" t="s">
        <v>826</v>
      </c>
      <c r="E156" s="155" t="s">
        <v>200</v>
      </c>
      <c r="F156" s="153">
        <v>4</v>
      </c>
      <c r="G156" s="153">
        <v>4</v>
      </c>
      <c r="H156" s="153">
        <f t="shared" si="8"/>
        <v>16</v>
      </c>
      <c r="I156" s="153"/>
      <c r="J156" s="158" t="s">
        <v>790</v>
      </c>
      <c r="K156" s="158" t="s">
        <v>790</v>
      </c>
      <c r="L156" s="55" t="s">
        <v>73</v>
      </c>
      <c r="M156" s="9" t="s">
        <v>25</v>
      </c>
      <c r="N156" s="37" t="s">
        <v>828</v>
      </c>
      <c r="O156" s="4"/>
      <c r="P156" s="4"/>
      <c r="Q156" s="4"/>
    </row>
    <row r="157" spans="1:19" ht="35.25" customHeight="1">
      <c r="A157" s="37" t="s">
        <v>829</v>
      </c>
      <c r="B157" s="37" t="s">
        <v>830</v>
      </c>
      <c r="C157" s="156" t="s">
        <v>1824</v>
      </c>
      <c r="D157" s="37" t="s">
        <v>832</v>
      </c>
      <c r="E157" s="37" t="s">
        <v>172</v>
      </c>
      <c r="F157" s="9">
        <v>3</v>
      </c>
      <c r="G157" s="9">
        <v>4</v>
      </c>
      <c r="H157" s="9">
        <f t="shared" si="8"/>
        <v>12</v>
      </c>
      <c r="I157" s="9"/>
      <c r="J157" s="56" t="s">
        <v>1825</v>
      </c>
      <c r="K157" s="56" t="s">
        <v>1826</v>
      </c>
      <c r="L157" s="55" t="s">
        <v>86</v>
      </c>
      <c r="M157" s="9" t="s">
        <v>25</v>
      </c>
      <c r="N157" s="4" t="s">
        <v>833</v>
      </c>
      <c r="O157" s="4"/>
      <c r="P157" s="4"/>
      <c r="Q157" s="4"/>
      <c r="S157" t="s">
        <v>1311</v>
      </c>
    </row>
    <row r="158" spans="1:19" ht="35.25" customHeight="1">
      <c r="A158" s="37" t="s">
        <v>834</v>
      </c>
      <c r="B158" s="4" t="s">
        <v>835</v>
      </c>
      <c r="C158" s="4" t="s">
        <v>1827</v>
      </c>
      <c r="D158" s="4" t="s">
        <v>837</v>
      </c>
      <c r="E158" s="37" t="s">
        <v>240</v>
      </c>
      <c r="F158" s="9">
        <v>3</v>
      </c>
      <c r="G158" s="9">
        <v>2</v>
      </c>
      <c r="H158" s="9">
        <f t="shared" si="8"/>
        <v>6</v>
      </c>
      <c r="I158" s="9"/>
      <c r="J158" s="56" t="s">
        <v>59</v>
      </c>
      <c r="K158" s="56" t="s">
        <v>59</v>
      </c>
      <c r="L158" s="55" t="s">
        <v>86</v>
      </c>
      <c r="M158" s="9" t="s">
        <v>25</v>
      </c>
      <c r="N158" s="4" t="s">
        <v>838</v>
      </c>
      <c r="O158" s="4"/>
      <c r="P158" s="4"/>
      <c r="Q158" s="4"/>
    </row>
    <row r="159" spans="1:19" ht="35.25" customHeight="1">
      <c r="A159" s="37" t="s">
        <v>839</v>
      </c>
      <c r="B159" s="4" t="s">
        <v>1828</v>
      </c>
      <c r="C159" s="152" t="s">
        <v>1829</v>
      </c>
      <c r="D159" s="50"/>
      <c r="E159" s="50"/>
      <c r="F159" s="153"/>
      <c r="G159" s="153"/>
      <c r="H159" s="153"/>
      <c r="I159" s="153"/>
      <c r="J159" s="154" t="s">
        <v>1830</v>
      </c>
      <c r="K159" s="154" t="s">
        <v>1831</v>
      </c>
      <c r="L159" s="55" t="s">
        <v>73</v>
      </c>
      <c r="M159" s="9"/>
      <c r="N159" s="4"/>
      <c r="O159" s="4"/>
      <c r="P159" s="4"/>
      <c r="Q159" s="4"/>
    </row>
    <row r="160" spans="1:19" ht="35.25" customHeight="1">
      <c r="A160" s="37" t="s">
        <v>839</v>
      </c>
      <c r="B160" s="60" t="s">
        <v>840</v>
      </c>
      <c r="C160" s="50" t="s">
        <v>1832</v>
      </c>
      <c r="D160" s="50"/>
      <c r="E160" s="50"/>
      <c r="F160" s="153"/>
      <c r="G160" s="153"/>
      <c r="H160" s="153">
        <f t="shared" si="8"/>
        <v>0</v>
      </c>
      <c r="I160" s="153"/>
      <c r="J160" s="154" t="s">
        <v>1833</v>
      </c>
      <c r="K160" s="158" t="s">
        <v>790</v>
      </c>
      <c r="L160" s="8" t="s">
        <v>73</v>
      </c>
      <c r="M160" s="9" t="s">
        <v>25</v>
      </c>
      <c r="N160" s="4" t="s">
        <v>843</v>
      </c>
      <c r="O160" s="4"/>
      <c r="P160" s="4"/>
      <c r="Q160" s="4"/>
    </row>
    <row r="161" spans="1:17" ht="35.25" customHeight="1">
      <c r="A161" s="37" t="s">
        <v>844</v>
      </c>
      <c r="B161" s="60" t="s">
        <v>845</v>
      </c>
      <c r="C161" s="50" t="s">
        <v>1834</v>
      </c>
      <c r="D161" s="50"/>
      <c r="E161" s="50"/>
      <c r="F161" s="153"/>
      <c r="G161" s="153"/>
      <c r="H161" s="153">
        <f t="shared" si="8"/>
        <v>0</v>
      </c>
      <c r="I161" s="153"/>
      <c r="J161" s="158" t="s">
        <v>790</v>
      </c>
      <c r="K161" s="158" t="s">
        <v>790</v>
      </c>
      <c r="L161" s="8" t="s">
        <v>73</v>
      </c>
      <c r="M161" s="9" t="s">
        <v>25</v>
      </c>
      <c r="N161" s="4" t="s">
        <v>848</v>
      </c>
      <c r="O161" s="4"/>
      <c r="P161" s="4"/>
      <c r="Q161" s="4"/>
    </row>
    <row r="162" spans="1:17" ht="35.25" customHeight="1">
      <c r="A162" s="4" t="s">
        <v>849</v>
      </c>
      <c r="B162" s="4" t="s">
        <v>705</v>
      </c>
      <c r="C162" s="4" t="s">
        <v>850</v>
      </c>
      <c r="D162" s="4" t="s">
        <v>851</v>
      </c>
      <c r="E162" s="52" t="s">
        <v>309</v>
      </c>
      <c r="F162" s="9">
        <v>3</v>
      </c>
      <c r="G162" s="9">
        <v>1</v>
      </c>
      <c r="H162" s="9">
        <f>F162*G162</f>
        <v>3</v>
      </c>
      <c r="I162" s="9" t="s">
        <v>72</v>
      </c>
      <c r="J162" s="58" t="s">
        <v>1835</v>
      </c>
      <c r="K162" s="58" t="s">
        <v>1836</v>
      </c>
      <c r="L162" s="8" t="s">
        <v>86</v>
      </c>
      <c r="M162" s="9" t="s">
        <v>60</v>
      </c>
      <c r="N162" s="4" t="s">
        <v>854</v>
      </c>
      <c r="O162" s="4"/>
      <c r="P162" s="4"/>
      <c r="Q162" s="4"/>
    </row>
    <row r="163" spans="1:17" ht="35.25" customHeight="1">
      <c r="A163" s="37"/>
      <c r="B163" s="61" t="s">
        <v>855</v>
      </c>
      <c r="C163" s="4"/>
      <c r="D163" s="4"/>
      <c r="E163" s="37"/>
      <c r="F163" s="9"/>
      <c r="G163" s="9"/>
      <c r="H163" s="9">
        <f t="shared" si="8"/>
        <v>0</v>
      </c>
      <c r="I163" s="9"/>
      <c r="J163" s="58"/>
      <c r="K163" s="58"/>
      <c r="L163" s="8"/>
      <c r="M163" s="4"/>
      <c r="N163" s="4"/>
      <c r="O163" s="4"/>
      <c r="P163" s="4"/>
      <c r="Q163" s="4"/>
    </row>
    <row r="164" spans="1:17" ht="35.25" customHeight="1">
      <c r="A164" s="37"/>
      <c r="B164" s="61" t="s">
        <v>855</v>
      </c>
      <c r="C164" s="4"/>
      <c r="D164" s="4"/>
      <c r="E164" s="37"/>
      <c r="F164" s="9"/>
      <c r="G164" s="9"/>
      <c r="H164" s="9">
        <f t="shared" si="8"/>
        <v>0</v>
      </c>
      <c r="I164" s="9"/>
      <c r="J164" s="58"/>
      <c r="K164" s="58"/>
      <c r="L164" s="8"/>
      <c r="M164" s="4"/>
      <c r="N164" s="4"/>
      <c r="O164" s="4"/>
      <c r="P164" s="4"/>
      <c r="Q164" s="4"/>
    </row>
    <row r="165" spans="1:17" ht="15.6">
      <c r="A165" s="161" t="s">
        <v>856</v>
      </c>
      <c r="B165" s="161"/>
      <c r="C165" s="161"/>
      <c r="D165" s="161"/>
      <c r="E165" s="161"/>
      <c r="F165" s="161"/>
      <c r="G165" s="161"/>
      <c r="H165" s="161"/>
      <c r="I165" s="161"/>
      <c r="J165" s="161"/>
      <c r="K165" s="161"/>
      <c r="L165" s="161"/>
      <c r="M165" s="161"/>
      <c r="N165" s="161"/>
      <c r="O165" s="161"/>
      <c r="P165" s="161"/>
      <c r="Q165" s="161"/>
    </row>
    <row r="166" spans="1:17" ht="28.9">
      <c r="A166" s="4" t="s">
        <v>857</v>
      </c>
      <c r="B166" s="62" t="s">
        <v>858</v>
      </c>
      <c r="C166" s="63" t="s">
        <v>859</v>
      </c>
      <c r="D166" s="4" t="s">
        <v>860</v>
      </c>
      <c r="E166" s="4" t="s">
        <v>861</v>
      </c>
      <c r="F166" s="9">
        <v>3</v>
      </c>
      <c r="G166" s="9">
        <v>1</v>
      </c>
      <c r="H166" s="9">
        <f>F166*G166</f>
        <v>3</v>
      </c>
      <c r="I166" s="9" t="s">
        <v>72</v>
      </c>
      <c r="J166" s="4" t="s">
        <v>827</v>
      </c>
      <c r="K166" s="4" t="s">
        <v>827</v>
      </c>
      <c r="L166" s="8" t="s">
        <v>86</v>
      </c>
      <c r="M166" s="9" t="s">
        <v>60</v>
      </c>
      <c r="N166" s="4" t="s">
        <v>862</v>
      </c>
      <c r="O166" s="4"/>
      <c r="P166" s="4"/>
      <c r="Q166" s="4"/>
    </row>
    <row r="167" spans="1:17" ht="28.9">
      <c r="A167" s="4" t="s">
        <v>863</v>
      </c>
      <c r="B167" s="62" t="s">
        <v>864</v>
      </c>
      <c r="C167" s="63" t="s">
        <v>865</v>
      </c>
      <c r="D167" s="4" t="s">
        <v>860</v>
      </c>
      <c r="E167" s="4" t="s">
        <v>387</v>
      </c>
      <c r="F167" s="9">
        <v>3</v>
      </c>
      <c r="G167" s="9">
        <v>1</v>
      </c>
      <c r="H167" s="9">
        <f t="shared" ref="H167:H179" si="9">F167*G167</f>
        <v>3</v>
      </c>
      <c r="I167" s="9" t="s">
        <v>72</v>
      </c>
      <c r="J167" s="4" t="s">
        <v>827</v>
      </c>
      <c r="K167" s="4" t="s">
        <v>827</v>
      </c>
      <c r="L167" s="55" t="s">
        <v>73</v>
      </c>
      <c r="M167" s="9" t="s">
        <v>60</v>
      </c>
      <c r="N167" s="4" t="s">
        <v>866</v>
      </c>
      <c r="O167" s="4"/>
      <c r="P167" s="4"/>
      <c r="Q167" s="4"/>
    </row>
    <row r="168" spans="1:17" ht="28.9">
      <c r="A168" s="4" t="s">
        <v>867</v>
      </c>
      <c r="B168" s="62" t="s">
        <v>868</v>
      </c>
      <c r="C168" s="63" t="s">
        <v>869</v>
      </c>
      <c r="D168" s="4" t="s">
        <v>870</v>
      </c>
      <c r="E168" s="4" t="s">
        <v>871</v>
      </c>
      <c r="F168" s="9">
        <v>3</v>
      </c>
      <c r="G168" s="9">
        <v>3</v>
      </c>
      <c r="H168" s="9">
        <f t="shared" si="9"/>
        <v>9</v>
      </c>
      <c r="I168" s="9" t="s">
        <v>72</v>
      </c>
      <c r="J168" s="139">
        <v>0.3</v>
      </c>
      <c r="K168" s="139">
        <v>0.5</v>
      </c>
      <c r="L168" s="55" t="s">
        <v>73</v>
      </c>
      <c r="M168" s="9" t="s">
        <v>87</v>
      </c>
      <c r="N168" s="4" t="s">
        <v>872</v>
      </c>
      <c r="O168" s="4"/>
      <c r="P168" s="4"/>
      <c r="Q168" s="4"/>
    </row>
    <row r="169" spans="1:17" ht="28.9">
      <c r="A169" s="4" t="s">
        <v>873</v>
      </c>
      <c r="B169" s="63" t="s">
        <v>874</v>
      </c>
      <c r="C169" s="63" t="s">
        <v>875</v>
      </c>
      <c r="D169" s="63" t="s">
        <v>876</v>
      </c>
      <c r="E169" s="4" t="s">
        <v>166</v>
      </c>
      <c r="F169" s="9">
        <v>4</v>
      </c>
      <c r="G169" s="9">
        <v>2</v>
      </c>
      <c r="H169" s="9">
        <f t="shared" si="9"/>
        <v>8</v>
      </c>
      <c r="I169" s="9" t="s">
        <v>72</v>
      </c>
      <c r="J169" s="4" t="s">
        <v>827</v>
      </c>
      <c r="K169" s="4" t="s">
        <v>827</v>
      </c>
      <c r="L169" s="55" t="s">
        <v>73</v>
      </c>
      <c r="M169" s="9" t="s">
        <v>238</v>
      </c>
      <c r="N169" s="4" t="s">
        <v>877</v>
      </c>
      <c r="O169" s="4"/>
      <c r="P169" s="4"/>
      <c r="Q169" s="4"/>
    </row>
    <row r="170" spans="1:17" ht="28.9">
      <c r="A170" s="4" t="s">
        <v>878</v>
      </c>
      <c r="B170" s="63" t="s">
        <v>879</v>
      </c>
      <c r="C170" s="63" t="s">
        <v>880</v>
      </c>
      <c r="D170" s="63" t="s">
        <v>881</v>
      </c>
      <c r="E170" s="64" t="s">
        <v>166</v>
      </c>
      <c r="F170" s="9">
        <v>3</v>
      </c>
      <c r="G170" s="9">
        <v>2</v>
      </c>
      <c r="H170" s="9">
        <f t="shared" si="9"/>
        <v>6</v>
      </c>
      <c r="I170" s="9" t="s">
        <v>72</v>
      </c>
      <c r="J170" s="4" t="s">
        <v>827</v>
      </c>
      <c r="K170" s="4" t="s">
        <v>827</v>
      </c>
      <c r="L170" s="55" t="s">
        <v>73</v>
      </c>
      <c r="M170" s="9" t="s">
        <v>238</v>
      </c>
      <c r="N170" s="4" t="s">
        <v>882</v>
      </c>
      <c r="O170" s="4"/>
      <c r="P170" s="4"/>
      <c r="Q170" s="4"/>
    </row>
    <row r="171" spans="1:17" ht="43.15">
      <c r="A171" s="4" t="s">
        <v>883</v>
      </c>
      <c r="B171" s="63" t="s">
        <v>884</v>
      </c>
      <c r="C171" s="63" t="s">
        <v>885</v>
      </c>
      <c r="D171" s="63" t="s">
        <v>886</v>
      </c>
      <c r="E171" s="64" t="s">
        <v>166</v>
      </c>
      <c r="F171" s="9">
        <v>3</v>
      </c>
      <c r="G171" s="9">
        <v>2</v>
      </c>
      <c r="H171" s="9">
        <f t="shared" si="9"/>
        <v>6</v>
      </c>
      <c r="I171" s="9" t="s">
        <v>72</v>
      </c>
      <c r="J171" s="4" t="s">
        <v>827</v>
      </c>
      <c r="K171" s="4" t="s">
        <v>827</v>
      </c>
      <c r="L171" s="55" t="s">
        <v>73</v>
      </c>
      <c r="M171" s="9" t="s">
        <v>238</v>
      </c>
      <c r="N171" s="4" t="s">
        <v>887</v>
      </c>
      <c r="O171" s="4"/>
      <c r="P171" s="4"/>
      <c r="Q171" s="4"/>
    </row>
    <row r="172" spans="1:17" ht="43.15">
      <c r="A172" s="4" t="s">
        <v>888</v>
      </c>
      <c r="B172" s="62" t="s">
        <v>889</v>
      </c>
      <c r="C172" s="62" t="s">
        <v>890</v>
      </c>
      <c r="D172" s="4" t="s">
        <v>891</v>
      </c>
      <c r="E172" s="4" t="s">
        <v>892</v>
      </c>
      <c r="F172" s="9">
        <v>5</v>
      </c>
      <c r="G172" s="9">
        <v>2</v>
      </c>
      <c r="H172" s="9">
        <f t="shared" si="9"/>
        <v>10</v>
      </c>
      <c r="I172" s="9" t="s">
        <v>72</v>
      </c>
      <c r="J172" s="4" t="s">
        <v>827</v>
      </c>
      <c r="K172" s="4" t="s">
        <v>827</v>
      </c>
      <c r="L172" s="55" t="s">
        <v>73</v>
      </c>
      <c r="M172" s="9" t="s">
        <v>238</v>
      </c>
      <c r="N172" s="4" t="s">
        <v>893</v>
      </c>
      <c r="O172" s="4"/>
      <c r="P172" s="4"/>
      <c r="Q172" s="4"/>
    </row>
    <row r="173" spans="1:17" ht="28.9">
      <c r="A173" s="4" t="s">
        <v>894</v>
      </c>
      <c r="B173" s="62" t="s">
        <v>895</v>
      </c>
      <c r="C173" s="62" t="s">
        <v>896</v>
      </c>
      <c r="D173" s="4" t="s">
        <v>897</v>
      </c>
      <c r="E173" s="4" t="s">
        <v>892</v>
      </c>
      <c r="F173" s="9">
        <v>4</v>
      </c>
      <c r="G173" s="9">
        <v>2</v>
      </c>
      <c r="H173" s="9">
        <f t="shared" si="9"/>
        <v>8</v>
      </c>
      <c r="I173" s="9" t="s">
        <v>58</v>
      </c>
      <c r="J173" s="4" t="s">
        <v>827</v>
      </c>
      <c r="K173" s="4" t="s">
        <v>827</v>
      </c>
      <c r="L173" s="8" t="s">
        <v>86</v>
      </c>
      <c r="M173" s="9" t="s">
        <v>50</v>
      </c>
      <c r="N173" s="4" t="s">
        <v>898</v>
      </c>
      <c r="O173" s="4"/>
      <c r="P173" s="4"/>
      <c r="Q173" s="4"/>
    </row>
    <row r="174" spans="1:17" ht="43.15">
      <c r="A174" s="4" t="s">
        <v>899</v>
      </c>
      <c r="B174" s="62" t="s">
        <v>900</v>
      </c>
      <c r="C174" s="62" t="s">
        <v>901</v>
      </c>
      <c r="D174" s="4" t="s">
        <v>902</v>
      </c>
      <c r="E174" s="4" t="s">
        <v>903</v>
      </c>
      <c r="F174" s="9">
        <v>4</v>
      </c>
      <c r="G174" s="9">
        <v>3</v>
      </c>
      <c r="H174" s="9">
        <f t="shared" si="9"/>
        <v>12</v>
      </c>
      <c r="I174" s="9" t="s">
        <v>58</v>
      </c>
      <c r="J174" s="4" t="s">
        <v>827</v>
      </c>
      <c r="K174" s="4" t="s">
        <v>827</v>
      </c>
      <c r="L174" s="55" t="s">
        <v>73</v>
      </c>
      <c r="M174" s="9" t="s">
        <v>60</v>
      </c>
      <c r="N174" s="4" t="s">
        <v>904</v>
      </c>
      <c r="O174" s="4"/>
      <c r="P174" s="4"/>
      <c r="Q174" s="4"/>
    </row>
    <row r="175" spans="1:17" ht="28.9">
      <c r="A175" s="4" t="s">
        <v>905</v>
      </c>
      <c r="B175" s="62" t="s">
        <v>906</v>
      </c>
      <c r="C175" s="4" t="s">
        <v>907</v>
      </c>
      <c r="D175" s="4" t="s">
        <v>908</v>
      </c>
      <c r="E175" s="4" t="s">
        <v>185</v>
      </c>
      <c r="F175" s="9">
        <v>1</v>
      </c>
      <c r="G175" s="9">
        <v>3</v>
      </c>
      <c r="H175" s="9">
        <f t="shared" si="9"/>
        <v>3</v>
      </c>
      <c r="I175" s="9" t="s">
        <v>596</v>
      </c>
      <c r="J175" s="4" t="s">
        <v>827</v>
      </c>
      <c r="K175" s="4" t="s">
        <v>827</v>
      </c>
      <c r="L175" s="8" t="s">
        <v>73</v>
      </c>
      <c r="M175" s="9" t="s">
        <v>60</v>
      </c>
      <c r="N175" s="4" t="s">
        <v>909</v>
      </c>
      <c r="O175" s="4"/>
      <c r="P175" s="4"/>
      <c r="Q175" s="4"/>
    </row>
    <row r="176" spans="1:17" ht="28.9">
      <c r="A176" s="4" t="s">
        <v>910</v>
      </c>
      <c r="B176" s="62" t="s">
        <v>911</v>
      </c>
      <c r="C176" s="62" t="s">
        <v>912</v>
      </c>
      <c r="D176" s="4" t="s">
        <v>913</v>
      </c>
      <c r="E176" s="4" t="s">
        <v>914</v>
      </c>
      <c r="F176" s="9">
        <v>5</v>
      </c>
      <c r="G176" s="9">
        <v>3</v>
      </c>
      <c r="H176" s="9">
        <f t="shared" si="9"/>
        <v>15</v>
      </c>
      <c r="I176" s="9" t="s">
        <v>72</v>
      </c>
      <c r="J176" s="4" t="s">
        <v>827</v>
      </c>
      <c r="K176" s="4" t="s">
        <v>827</v>
      </c>
      <c r="L176" s="8" t="s">
        <v>73</v>
      </c>
      <c r="M176" s="9" t="s">
        <v>60</v>
      </c>
      <c r="N176" s="63" t="s">
        <v>915</v>
      </c>
      <c r="O176" s="4"/>
      <c r="P176" s="4"/>
      <c r="Q176" s="4"/>
    </row>
    <row r="177" spans="1:17" ht="28.9">
      <c r="A177" s="4" t="s">
        <v>916</v>
      </c>
      <c r="B177" s="62" t="s">
        <v>917</v>
      </c>
      <c r="C177" s="62" t="s">
        <v>918</v>
      </c>
      <c r="D177" s="4" t="s">
        <v>919</v>
      </c>
      <c r="E177" s="4" t="s">
        <v>387</v>
      </c>
      <c r="F177" s="9">
        <v>2</v>
      </c>
      <c r="G177" s="9">
        <v>1</v>
      </c>
      <c r="H177" s="9">
        <f t="shared" si="9"/>
        <v>2</v>
      </c>
      <c r="I177" s="9" t="s">
        <v>58</v>
      </c>
      <c r="J177" s="4" t="s">
        <v>827</v>
      </c>
      <c r="K177" s="4" t="s">
        <v>827</v>
      </c>
      <c r="L177" s="8" t="s">
        <v>73</v>
      </c>
      <c r="M177" s="9" t="s">
        <v>920</v>
      </c>
      <c r="N177" s="4" t="s">
        <v>921</v>
      </c>
      <c r="O177" s="4"/>
      <c r="P177" s="4"/>
      <c r="Q177" s="4"/>
    </row>
    <row r="178" spans="1:17" ht="28.9">
      <c r="A178" s="4" t="s">
        <v>922</v>
      </c>
      <c r="B178" s="62" t="s">
        <v>923</v>
      </c>
      <c r="C178" s="62" t="s">
        <v>924</v>
      </c>
      <c r="D178" s="4" t="s">
        <v>925</v>
      </c>
      <c r="E178" s="4" t="s">
        <v>387</v>
      </c>
      <c r="F178" s="9">
        <v>2</v>
      </c>
      <c r="G178" s="9">
        <v>1</v>
      </c>
      <c r="H178" s="9">
        <f t="shared" si="9"/>
        <v>2</v>
      </c>
      <c r="I178" s="9" t="s">
        <v>58</v>
      </c>
      <c r="J178" s="4" t="s">
        <v>827</v>
      </c>
      <c r="K178" s="4" t="s">
        <v>827</v>
      </c>
      <c r="L178" s="8" t="s">
        <v>73</v>
      </c>
      <c r="M178" s="9" t="s">
        <v>920</v>
      </c>
      <c r="N178" s="4" t="s">
        <v>926</v>
      </c>
      <c r="O178" s="4"/>
      <c r="P178" s="4"/>
      <c r="Q178" s="4"/>
    </row>
    <row r="179" spans="1:17" ht="28.9">
      <c r="A179" s="4" t="s">
        <v>927</v>
      </c>
      <c r="B179" s="62" t="s">
        <v>928</v>
      </c>
      <c r="C179" s="62" t="s">
        <v>929</v>
      </c>
      <c r="D179" s="4" t="s">
        <v>930</v>
      </c>
      <c r="E179" s="4" t="s">
        <v>387</v>
      </c>
      <c r="F179" s="9">
        <v>2</v>
      </c>
      <c r="G179" s="9">
        <v>1</v>
      </c>
      <c r="H179" s="9">
        <f t="shared" si="9"/>
        <v>2</v>
      </c>
      <c r="I179" s="9" t="s">
        <v>58</v>
      </c>
      <c r="J179" s="4" t="s">
        <v>827</v>
      </c>
      <c r="K179" s="4" t="s">
        <v>827</v>
      </c>
      <c r="L179" s="8" t="s">
        <v>73</v>
      </c>
      <c r="M179" s="9" t="s">
        <v>198</v>
      </c>
      <c r="N179" s="4" t="s">
        <v>931</v>
      </c>
      <c r="O179" s="4"/>
      <c r="P179" s="4"/>
      <c r="Q179" s="4"/>
    </row>
    <row r="180" spans="1:17" ht="15.6">
      <c r="A180" s="161" t="s">
        <v>932</v>
      </c>
      <c r="B180" s="161"/>
      <c r="C180" s="161"/>
      <c r="D180" s="161"/>
      <c r="E180" s="161"/>
      <c r="F180" s="161"/>
      <c r="G180" s="161"/>
      <c r="H180" s="161"/>
      <c r="I180" s="161"/>
      <c r="J180" s="161"/>
      <c r="K180" s="161"/>
      <c r="L180" s="161"/>
      <c r="M180" s="161"/>
      <c r="N180" s="161"/>
      <c r="O180" s="161"/>
      <c r="P180" s="161"/>
      <c r="Q180" s="161"/>
    </row>
    <row r="181" spans="1:17" ht="57.6">
      <c r="A181" s="4" t="s">
        <v>933</v>
      </c>
      <c r="B181" s="4" t="s">
        <v>934</v>
      </c>
      <c r="C181" s="4" t="s">
        <v>935</v>
      </c>
      <c r="D181" s="4" t="s">
        <v>936</v>
      </c>
      <c r="E181" s="4" t="s">
        <v>502</v>
      </c>
      <c r="F181" s="9">
        <v>5</v>
      </c>
      <c r="G181" s="9">
        <v>2</v>
      </c>
      <c r="H181" s="9">
        <f>F181*G181</f>
        <v>10</v>
      </c>
      <c r="I181" s="9" t="s">
        <v>58</v>
      </c>
      <c r="J181" s="4"/>
      <c r="K181" s="4"/>
      <c r="L181" s="55" t="s">
        <v>86</v>
      </c>
      <c r="M181" s="9" t="s">
        <v>60</v>
      </c>
      <c r="N181" s="4" t="s">
        <v>937</v>
      </c>
      <c r="O181" s="4"/>
      <c r="P181" s="4"/>
      <c r="Q181" s="4"/>
    </row>
    <row r="182" spans="1:17" ht="43.15">
      <c r="A182" s="4" t="s">
        <v>938</v>
      </c>
      <c r="B182" s="4" t="s">
        <v>939</v>
      </c>
      <c r="C182" s="4" t="s">
        <v>940</v>
      </c>
      <c r="D182" s="4" t="s">
        <v>941</v>
      </c>
      <c r="E182" s="4" t="s">
        <v>522</v>
      </c>
      <c r="F182" s="9">
        <v>3</v>
      </c>
      <c r="G182" s="9">
        <v>2</v>
      </c>
      <c r="H182" s="9">
        <f>F182*G182</f>
        <v>6</v>
      </c>
      <c r="I182" s="9" t="s">
        <v>58</v>
      </c>
      <c r="J182" s="4"/>
      <c r="K182" s="4"/>
      <c r="L182" s="55" t="s">
        <v>86</v>
      </c>
      <c r="M182" s="9" t="s">
        <v>60</v>
      </c>
      <c r="N182" s="4" t="s">
        <v>942</v>
      </c>
      <c r="O182" s="4"/>
      <c r="P182" s="4"/>
      <c r="Q182" s="4"/>
    </row>
    <row r="183" spans="1:17" ht="57.6">
      <c r="A183" s="4" t="s">
        <v>943</v>
      </c>
      <c r="B183" s="4" t="s">
        <v>944</v>
      </c>
      <c r="C183" s="4" t="s">
        <v>945</v>
      </c>
      <c r="D183" s="4" t="s">
        <v>946</v>
      </c>
      <c r="E183" s="4" t="s">
        <v>522</v>
      </c>
      <c r="F183" s="9">
        <v>5</v>
      </c>
      <c r="G183" s="9">
        <v>3</v>
      </c>
      <c r="H183" s="9">
        <f t="shared" ref="H183:H201" si="10">F183*G183</f>
        <v>15</v>
      </c>
      <c r="I183" s="9" t="s">
        <v>72</v>
      </c>
      <c r="J183" s="4"/>
      <c r="K183" s="4"/>
      <c r="L183" s="55" t="s">
        <v>86</v>
      </c>
      <c r="M183" s="9" t="s">
        <v>60</v>
      </c>
      <c r="N183" s="4" t="s">
        <v>947</v>
      </c>
      <c r="O183" s="4"/>
      <c r="P183" s="4"/>
      <c r="Q183" s="4"/>
    </row>
    <row r="184" spans="1:17" ht="72">
      <c r="A184" s="4" t="s">
        <v>948</v>
      </c>
      <c r="B184" s="4" t="s">
        <v>949</v>
      </c>
      <c r="C184" s="4" t="s">
        <v>950</v>
      </c>
      <c r="D184" s="4" t="s">
        <v>951</v>
      </c>
      <c r="E184" s="4" t="s">
        <v>564</v>
      </c>
      <c r="F184" s="9">
        <v>4</v>
      </c>
      <c r="G184" s="9">
        <v>2</v>
      </c>
      <c r="H184" s="9">
        <f t="shared" si="10"/>
        <v>8</v>
      </c>
      <c r="I184" s="9" t="s">
        <v>72</v>
      </c>
      <c r="J184" s="4"/>
      <c r="K184" s="4"/>
      <c r="L184" s="55" t="s">
        <v>86</v>
      </c>
      <c r="M184" s="9" t="s">
        <v>60</v>
      </c>
      <c r="N184" s="4" t="s">
        <v>952</v>
      </c>
      <c r="O184" s="4"/>
      <c r="P184" s="4"/>
      <c r="Q184" s="4"/>
    </row>
    <row r="185" spans="1:17" ht="28.9">
      <c r="A185" s="4" t="s">
        <v>953</v>
      </c>
      <c r="B185" s="4" t="s">
        <v>954</v>
      </c>
      <c r="C185" s="4" t="s">
        <v>955</v>
      </c>
      <c r="D185" s="4" t="s">
        <v>956</v>
      </c>
      <c r="E185" s="4" t="s">
        <v>522</v>
      </c>
      <c r="F185" s="9">
        <v>3</v>
      </c>
      <c r="G185" s="9">
        <v>2</v>
      </c>
      <c r="H185" s="9">
        <f t="shared" si="10"/>
        <v>6</v>
      </c>
      <c r="I185" s="9" t="s">
        <v>58</v>
      </c>
      <c r="J185" s="4"/>
      <c r="K185" s="4"/>
      <c r="L185" s="55" t="s">
        <v>86</v>
      </c>
      <c r="M185" s="9" t="s">
        <v>60</v>
      </c>
      <c r="N185" s="4" t="s">
        <v>957</v>
      </c>
      <c r="O185" s="4"/>
      <c r="P185" s="4"/>
      <c r="Q185" s="4"/>
    </row>
    <row r="186" spans="1:17" ht="28.9">
      <c r="A186" s="4" t="s">
        <v>958</v>
      </c>
      <c r="B186" s="4" t="s">
        <v>959</v>
      </c>
      <c r="C186" s="4" t="s">
        <v>960</v>
      </c>
      <c r="D186" s="4" t="s">
        <v>961</v>
      </c>
      <c r="E186" s="4" t="s">
        <v>156</v>
      </c>
      <c r="F186" s="9">
        <v>3</v>
      </c>
      <c r="G186" s="9">
        <v>1</v>
      </c>
      <c r="H186" s="9">
        <f t="shared" si="10"/>
        <v>3</v>
      </c>
      <c r="I186" s="9" t="s">
        <v>58</v>
      </c>
      <c r="J186" s="4"/>
      <c r="K186" s="4"/>
      <c r="L186" s="8" t="s">
        <v>86</v>
      </c>
      <c r="M186" s="9" t="s">
        <v>60</v>
      </c>
      <c r="N186" s="4" t="s">
        <v>962</v>
      </c>
      <c r="O186" s="4"/>
      <c r="P186" s="4"/>
      <c r="Q186" s="4"/>
    </row>
    <row r="187" spans="1:17" ht="43.15">
      <c r="A187" s="4" t="s">
        <v>963</v>
      </c>
      <c r="B187" s="4" t="s">
        <v>964</v>
      </c>
      <c r="C187" s="4" t="s">
        <v>965</v>
      </c>
      <c r="D187" s="4" t="s">
        <v>966</v>
      </c>
      <c r="E187" s="4" t="s">
        <v>124</v>
      </c>
      <c r="F187" s="9">
        <v>3</v>
      </c>
      <c r="G187" s="9">
        <v>2</v>
      </c>
      <c r="H187" s="9">
        <f t="shared" si="10"/>
        <v>6</v>
      </c>
      <c r="I187" s="9" t="s">
        <v>58</v>
      </c>
      <c r="J187" s="4"/>
      <c r="K187" s="4"/>
      <c r="L187" s="55" t="s">
        <v>86</v>
      </c>
      <c r="M187" s="9" t="s">
        <v>60</v>
      </c>
      <c r="N187" s="4" t="s">
        <v>967</v>
      </c>
      <c r="O187" s="4"/>
      <c r="P187" s="4"/>
      <c r="Q187" s="4"/>
    </row>
    <row r="188" spans="1:17" ht="57.6">
      <c r="A188" s="4" t="s">
        <v>968</v>
      </c>
      <c r="B188" s="4" t="s">
        <v>167</v>
      </c>
      <c r="C188" s="4" t="s">
        <v>969</v>
      </c>
      <c r="D188" s="4" t="s">
        <v>970</v>
      </c>
      <c r="E188" s="63" t="s">
        <v>166</v>
      </c>
      <c r="F188" s="9">
        <v>4</v>
      </c>
      <c r="G188" s="9">
        <v>3</v>
      </c>
      <c r="H188" s="9">
        <f t="shared" si="10"/>
        <v>12</v>
      </c>
      <c r="I188" s="9" t="s">
        <v>72</v>
      </c>
      <c r="J188" s="4"/>
      <c r="K188" s="4"/>
      <c r="L188" s="55" t="s">
        <v>86</v>
      </c>
      <c r="M188" s="9" t="s">
        <v>60</v>
      </c>
      <c r="N188" s="4" t="s">
        <v>971</v>
      </c>
      <c r="O188" s="4"/>
      <c r="P188" s="4"/>
      <c r="Q188" s="4"/>
    </row>
    <row r="189" spans="1:17" ht="86.45">
      <c r="A189" s="4" t="s">
        <v>972</v>
      </c>
      <c r="B189" s="4" t="s">
        <v>973</v>
      </c>
      <c r="C189" s="4" t="s">
        <v>974</v>
      </c>
      <c r="D189" s="4" t="s">
        <v>975</v>
      </c>
      <c r="E189" s="4" t="s">
        <v>522</v>
      </c>
      <c r="F189" s="9">
        <v>3</v>
      </c>
      <c r="G189" s="9">
        <v>3</v>
      </c>
      <c r="H189" s="9">
        <f t="shared" si="10"/>
        <v>9</v>
      </c>
      <c r="I189" s="9" t="s">
        <v>72</v>
      </c>
      <c r="J189" s="4"/>
      <c r="K189" s="4"/>
      <c r="L189" s="55" t="s">
        <v>86</v>
      </c>
      <c r="M189" s="9" t="s">
        <v>60</v>
      </c>
      <c r="N189" s="4" t="s">
        <v>976</v>
      </c>
      <c r="O189" s="4"/>
      <c r="P189" s="4"/>
      <c r="Q189" s="4"/>
    </row>
    <row r="190" spans="1:17" ht="15.6">
      <c r="A190" s="161" t="s">
        <v>977</v>
      </c>
      <c r="B190" s="161"/>
      <c r="C190" s="161"/>
      <c r="D190" s="161"/>
      <c r="E190" s="161"/>
      <c r="F190" s="161"/>
      <c r="G190" s="161"/>
      <c r="H190" s="161"/>
      <c r="I190" s="161"/>
      <c r="J190" s="161"/>
      <c r="K190" s="161"/>
      <c r="L190" s="161"/>
      <c r="M190" s="161"/>
      <c r="N190" s="161"/>
      <c r="O190" s="161"/>
      <c r="P190" s="161"/>
      <c r="Q190" s="161"/>
    </row>
    <row r="191" spans="1:17" ht="43.15">
      <c r="A191" s="4" t="s">
        <v>978</v>
      </c>
      <c r="B191" s="4" t="s">
        <v>979</v>
      </c>
      <c r="C191" s="4" t="s">
        <v>980</v>
      </c>
      <c r="D191" s="4" t="s">
        <v>981</v>
      </c>
      <c r="E191" s="4" t="s">
        <v>151</v>
      </c>
      <c r="F191" s="9">
        <v>4</v>
      </c>
      <c r="G191" s="9">
        <v>1</v>
      </c>
      <c r="H191" s="9">
        <f t="shared" si="10"/>
        <v>4</v>
      </c>
      <c r="I191" s="9" t="s">
        <v>58</v>
      </c>
      <c r="J191" s="4" t="s">
        <v>982</v>
      </c>
      <c r="K191" s="4" t="s">
        <v>24</v>
      </c>
      <c r="L191" s="8" t="s">
        <v>86</v>
      </c>
      <c r="M191" s="9" t="s">
        <v>87</v>
      </c>
      <c r="N191" s="4" t="s">
        <v>983</v>
      </c>
      <c r="O191" s="4"/>
      <c r="P191" s="4"/>
      <c r="Q191" s="4"/>
    </row>
    <row r="192" spans="1:17" ht="43.15">
      <c r="A192" s="4" t="s">
        <v>984</v>
      </c>
      <c r="B192" s="63" t="s">
        <v>985</v>
      </c>
      <c r="C192" s="4" t="s">
        <v>986</v>
      </c>
      <c r="D192" s="4" t="s">
        <v>987</v>
      </c>
      <c r="E192" s="4" t="s">
        <v>191</v>
      </c>
      <c r="F192" s="9">
        <v>4</v>
      </c>
      <c r="G192" s="9">
        <v>2</v>
      </c>
      <c r="H192" s="9">
        <f t="shared" si="10"/>
        <v>8</v>
      </c>
      <c r="I192" s="9" t="s">
        <v>72</v>
      </c>
      <c r="J192" s="4" t="s">
        <v>988</v>
      </c>
      <c r="K192" s="4"/>
      <c r="L192" s="8" t="s">
        <v>80</v>
      </c>
      <c r="M192" s="9" t="s">
        <v>748</v>
      </c>
      <c r="N192" s="4" t="s">
        <v>989</v>
      </c>
      <c r="O192" s="4"/>
      <c r="P192" s="4"/>
      <c r="Q192" s="4"/>
    </row>
    <row r="193" spans="1:17" ht="28.9">
      <c r="A193" s="4" t="s">
        <v>990</v>
      </c>
      <c r="B193" s="4" t="s">
        <v>991</v>
      </c>
      <c r="C193" s="4" t="s">
        <v>992</v>
      </c>
      <c r="D193" s="4" t="s">
        <v>993</v>
      </c>
      <c r="E193" s="4" t="s">
        <v>387</v>
      </c>
      <c r="F193" s="9">
        <v>5</v>
      </c>
      <c r="G193" s="9">
        <v>1</v>
      </c>
      <c r="H193" s="9">
        <f t="shared" si="10"/>
        <v>5</v>
      </c>
      <c r="I193" s="9" t="s">
        <v>58</v>
      </c>
      <c r="J193" s="4"/>
      <c r="K193" s="4"/>
      <c r="L193" s="8" t="s">
        <v>80</v>
      </c>
      <c r="M193" s="9" t="s">
        <v>60</v>
      </c>
      <c r="N193" s="4" t="s">
        <v>994</v>
      </c>
      <c r="O193" s="4"/>
      <c r="P193" s="4"/>
      <c r="Q193" s="4"/>
    </row>
    <row r="194" spans="1:17" ht="28.9">
      <c r="A194" s="4" t="s">
        <v>995</v>
      </c>
      <c r="B194" s="4" t="s">
        <v>996</v>
      </c>
      <c r="C194" s="4" t="s">
        <v>997</v>
      </c>
      <c r="D194" s="63" t="s">
        <v>998</v>
      </c>
      <c r="E194" s="4" t="s">
        <v>999</v>
      </c>
      <c r="F194" s="9">
        <v>4</v>
      </c>
      <c r="G194" s="9">
        <v>2</v>
      </c>
      <c r="H194" s="9">
        <f t="shared" si="10"/>
        <v>8</v>
      </c>
      <c r="I194" s="9" t="s">
        <v>72</v>
      </c>
      <c r="J194" s="4" t="s">
        <v>1000</v>
      </c>
      <c r="K194" s="4" t="s">
        <v>1001</v>
      </c>
      <c r="L194" s="8" t="s">
        <v>86</v>
      </c>
      <c r="M194" s="9" t="s">
        <v>198</v>
      </c>
      <c r="N194" s="4" t="s">
        <v>1002</v>
      </c>
      <c r="O194" s="4"/>
      <c r="P194" s="4"/>
      <c r="Q194" s="4"/>
    </row>
    <row r="195" spans="1:17" ht="28.9">
      <c r="A195" s="4" t="s">
        <v>1003</v>
      </c>
      <c r="B195" s="4" t="s">
        <v>1004</v>
      </c>
      <c r="C195" s="4" t="s">
        <v>1005</v>
      </c>
      <c r="D195" s="4" t="s">
        <v>1006</v>
      </c>
      <c r="E195" s="4" t="s">
        <v>89</v>
      </c>
      <c r="F195" s="9">
        <v>4</v>
      </c>
      <c r="G195" s="9">
        <v>2</v>
      </c>
      <c r="H195" s="9">
        <f t="shared" si="10"/>
        <v>8</v>
      </c>
      <c r="I195" s="9" t="s">
        <v>72</v>
      </c>
      <c r="J195" s="4" t="s">
        <v>1007</v>
      </c>
      <c r="K195" s="4"/>
      <c r="L195" s="55" t="s">
        <v>86</v>
      </c>
      <c r="M195" s="9" t="s">
        <v>198</v>
      </c>
      <c r="N195" s="4" t="s">
        <v>1008</v>
      </c>
      <c r="O195" s="4"/>
      <c r="P195" s="4"/>
      <c r="Q195" s="4"/>
    </row>
    <row r="196" spans="1:17" ht="43.15">
      <c r="A196" s="4" t="s">
        <v>1009</v>
      </c>
      <c r="B196" s="4" t="s">
        <v>1010</v>
      </c>
      <c r="C196" s="4" t="s">
        <v>1011</v>
      </c>
      <c r="D196" s="4" t="s">
        <v>1012</v>
      </c>
      <c r="E196" s="4" t="s">
        <v>89</v>
      </c>
      <c r="F196" s="9">
        <v>3</v>
      </c>
      <c r="G196" s="9">
        <v>1</v>
      </c>
      <c r="H196" s="9">
        <f t="shared" si="10"/>
        <v>3</v>
      </c>
      <c r="I196" s="9" t="s">
        <v>58</v>
      </c>
      <c r="J196" s="4" t="s">
        <v>1013</v>
      </c>
      <c r="K196" s="4"/>
      <c r="L196" s="8" t="s">
        <v>86</v>
      </c>
      <c r="M196" s="9" t="s">
        <v>198</v>
      </c>
      <c r="N196" s="4" t="s">
        <v>1014</v>
      </c>
      <c r="O196" s="4"/>
      <c r="P196" s="4"/>
      <c r="Q196" s="4"/>
    </row>
    <row r="197" spans="1:17" ht="28.9">
      <c r="A197" s="4" t="s">
        <v>1015</v>
      </c>
      <c r="B197" s="4" t="s">
        <v>1016</v>
      </c>
      <c r="C197" s="4" t="s">
        <v>1017</v>
      </c>
      <c r="D197" s="4" t="s">
        <v>1018</v>
      </c>
      <c r="E197" s="4" t="s">
        <v>89</v>
      </c>
      <c r="F197" s="9">
        <v>3</v>
      </c>
      <c r="G197" s="9">
        <v>2</v>
      </c>
      <c r="H197" s="9">
        <f t="shared" si="10"/>
        <v>6</v>
      </c>
      <c r="I197" s="9" t="s">
        <v>72</v>
      </c>
      <c r="J197" s="4" t="s">
        <v>1019</v>
      </c>
      <c r="K197" s="4"/>
      <c r="L197" s="8" t="s">
        <v>86</v>
      </c>
      <c r="M197" s="9" t="s">
        <v>198</v>
      </c>
      <c r="N197" s="4" t="s">
        <v>1020</v>
      </c>
      <c r="O197" s="4"/>
      <c r="P197" s="4"/>
      <c r="Q197" s="4"/>
    </row>
    <row r="198" spans="1:17" ht="28.9">
      <c r="A198" s="4" t="s">
        <v>1021</v>
      </c>
      <c r="B198" s="4" t="s">
        <v>1022</v>
      </c>
      <c r="C198" s="4" t="s">
        <v>1023</v>
      </c>
      <c r="D198" s="4" t="s">
        <v>1012</v>
      </c>
      <c r="E198" s="4" t="s">
        <v>89</v>
      </c>
      <c r="F198" s="9">
        <v>3</v>
      </c>
      <c r="G198" s="9">
        <v>2</v>
      </c>
      <c r="H198" s="9">
        <f t="shared" si="10"/>
        <v>6</v>
      </c>
      <c r="I198" s="9" t="s">
        <v>72</v>
      </c>
      <c r="J198" s="4" t="s">
        <v>1024</v>
      </c>
      <c r="K198" s="4"/>
      <c r="L198" s="8" t="s">
        <v>86</v>
      </c>
      <c r="M198" s="9" t="s">
        <v>198</v>
      </c>
      <c r="N198" s="4" t="s">
        <v>1025</v>
      </c>
      <c r="O198" s="4"/>
      <c r="P198" s="4"/>
      <c r="Q198" s="4"/>
    </row>
    <row r="199" spans="1:17" ht="28.9">
      <c r="A199" s="4" t="s">
        <v>1026</v>
      </c>
      <c r="B199" s="4" t="s">
        <v>1027</v>
      </c>
      <c r="C199" s="4" t="s">
        <v>1028</v>
      </c>
      <c r="D199" s="4" t="s">
        <v>1012</v>
      </c>
      <c r="E199" s="4" t="s">
        <v>1029</v>
      </c>
      <c r="F199" s="9">
        <v>3</v>
      </c>
      <c r="G199" s="9">
        <v>2</v>
      </c>
      <c r="H199" s="9">
        <f t="shared" si="10"/>
        <v>6</v>
      </c>
      <c r="I199" s="9" t="s">
        <v>58</v>
      </c>
      <c r="J199" s="4" t="s">
        <v>1837</v>
      </c>
      <c r="K199" s="4"/>
      <c r="L199" s="8" t="s">
        <v>86</v>
      </c>
      <c r="M199" s="9" t="s">
        <v>198</v>
      </c>
      <c r="N199" s="4" t="s">
        <v>1031</v>
      </c>
      <c r="O199" s="4"/>
      <c r="P199" s="4"/>
      <c r="Q199" s="4"/>
    </row>
    <row r="200" spans="1:17" ht="28.9">
      <c r="A200" s="4" t="s">
        <v>1032</v>
      </c>
      <c r="B200" s="4" t="s">
        <v>1033</v>
      </c>
      <c r="C200" s="4" t="s">
        <v>1034</v>
      </c>
      <c r="D200" s="4" t="s">
        <v>1012</v>
      </c>
      <c r="E200" s="4" t="s">
        <v>89</v>
      </c>
      <c r="F200" s="9">
        <v>3</v>
      </c>
      <c r="G200" s="9">
        <v>1</v>
      </c>
      <c r="H200" s="9">
        <f t="shared" si="10"/>
        <v>3</v>
      </c>
      <c r="I200" s="9" t="s">
        <v>58</v>
      </c>
      <c r="J200" s="4" t="s">
        <v>1838</v>
      </c>
      <c r="K200" s="4"/>
      <c r="L200" s="8" t="s">
        <v>86</v>
      </c>
      <c r="M200" s="9" t="s">
        <v>198</v>
      </c>
      <c r="N200" s="4" t="s">
        <v>1036</v>
      </c>
      <c r="O200" s="4"/>
      <c r="P200" s="4"/>
      <c r="Q200" s="4"/>
    </row>
    <row r="201" spans="1:17" ht="28.9">
      <c r="A201" s="4" t="s">
        <v>1037</v>
      </c>
      <c r="B201" s="4" t="s">
        <v>1038</v>
      </c>
      <c r="C201" s="4" t="s">
        <v>1039</v>
      </c>
      <c r="D201" s="4" t="s">
        <v>1040</v>
      </c>
      <c r="E201" s="4" t="s">
        <v>316</v>
      </c>
      <c r="F201" s="9">
        <v>5</v>
      </c>
      <c r="G201" s="9">
        <v>2</v>
      </c>
      <c r="H201" s="9">
        <f t="shared" si="10"/>
        <v>10</v>
      </c>
      <c r="I201" s="9" t="s">
        <v>72</v>
      </c>
      <c r="J201" s="4"/>
      <c r="K201" s="4"/>
      <c r="L201" s="8" t="s">
        <v>80</v>
      </c>
      <c r="M201" s="9" t="s">
        <v>198</v>
      </c>
      <c r="N201" s="4" t="s">
        <v>1041</v>
      </c>
      <c r="O201" s="4"/>
      <c r="P201" s="4"/>
      <c r="Q201" s="4"/>
    </row>
    <row r="202" spans="1:17" ht="15.6">
      <c r="A202" s="161" t="s">
        <v>1042</v>
      </c>
      <c r="B202" s="161"/>
      <c r="C202" s="161"/>
      <c r="D202" s="161"/>
      <c r="E202" s="161"/>
      <c r="F202" s="161"/>
      <c r="G202" s="161"/>
      <c r="H202" s="161"/>
      <c r="I202" s="161"/>
      <c r="J202" s="161"/>
      <c r="K202" s="161"/>
      <c r="L202" s="161"/>
      <c r="M202" s="161"/>
      <c r="N202" s="161"/>
      <c r="O202" s="161"/>
      <c r="P202" s="161"/>
      <c r="Q202" s="161"/>
    </row>
    <row r="203" spans="1:17" ht="28.9">
      <c r="A203" s="4" t="s">
        <v>1043</v>
      </c>
      <c r="B203" s="4" t="s">
        <v>1044</v>
      </c>
      <c r="C203" s="4" t="s">
        <v>1839</v>
      </c>
      <c r="D203" s="4" t="s">
        <v>1046</v>
      </c>
      <c r="E203" s="4" t="s">
        <v>354</v>
      </c>
      <c r="F203" s="9">
        <v>2</v>
      </c>
      <c r="G203" s="9">
        <v>1</v>
      </c>
      <c r="H203" s="9">
        <f t="shared" ref="H203:H210" si="11">F203*G203</f>
        <v>2</v>
      </c>
      <c r="I203" s="9"/>
      <c r="J203" s="65">
        <v>0.105</v>
      </c>
      <c r="K203" s="65" t="s">
        <v>1047</v>
      </c>
      <c r="L203" s="8" t="s">
        <v>86</v>
      </c>
      <c r="M203" s="9" t="s">
        <v>1048</v>
      </c>
      <c r="N203" s="4" t="s">
        <v>1049</v>
      </c>
      <c r="O203" s="4"/>
      <c r="P203" s="4"/>
      <c r="Q203" s="4"/>
    </row>
    <row r="204" spans="1:17" ht="28.9">
      <c r="A204" s="4" t="s">
        <v>1050</v>
      </c>
      <c r="B204" s="4" t="s">
        <v>1051</v>
      </c>
      <c r="C204" s="4" t="s">
        <v>1052</v>
      </c>
      <c r="D204" s="4" t="s">
        <v>1053</v>
      </c>
      <c r="E204" s="4" t="s">
        <v>354</v>
      </c>
      <c r="F204" s="9">
        <v>3</v>
      </c>
      <c r="G204" s="9">
        <v>1</v>
      </c>
      <c r="H204" s="9">
        <f t="shared" si="11"/>
        <v>3</v>
      </c>
      <c r="I204" s="9"/>
      <c r="J204" s="4" t="s">
        <v>1054</v>
      </c>
      <c r="K204" s="4" t="s">
        <v>1055</v>
      </c>
      <c r="L204" s="8" t="s">
        <v>86</v>
      </c>
      <c r="M204" s="9" t="s">
        <v>198</v>
      </c>
      <c r="N204" s="4" t="s">
        <v>1056</v>
      </c>
      <c r="O204" s="4"/>
      <c r="P204" s="4"/>
      <c r="Q204" s="4"/>
    </row>
    <row r="205" spans="1:17" ht="28.9">
      <c r="A205" s="4" t="s">
        <v>1057</v>
      </c>
      <c r="B205" s="4" t="s">
        <v>1058</v>
      </c>
      <c r="C205" s="4" t="s">
        <v>1059</v>
      </c>
      <c r="D205" s="4" t="s">
        <v>1060</v>
      </c>
      <c r="E205" s="4" t="s">
        <v>360</v>
      </c>
      <c r="F205" s="9">
        <v>4</v>
      </c>
      <c r="G205" s="9">
        <v>3</v>
      </c>
      <c r="H205" s="9">
        <f t="shared" si="11"/>
        <v>12</v>
      </c>
      <c r="I205" s="9"/>
      <c r="J205" s="4" t="s">
        <v>1061</v>
      </c>
      <c r="K205" s="4" t="s">
        <v>790</v>
      </c>
      <c r="L205" s="8" t="s">
        <v>80</v>
      </c>
      <c r="M205" s="9" t="s">
        <v>238</v>
      </c>
      <c r="N205" s="4" t="s">
        <v>1062</v>
      </c>
      <c r="O205" s="4"/>
      <c r="P205" s="4"/>
      <c r="Q205" s="4"/>
    </row>
    <row r="206" spans="1:17" ht="28.9">
      <c r="A206" s="4" t="s">
        <v>1063</v>
      </c>
      <c r="B206" s="4" t="s">
        <v>1064</v>
      </c>
      <c r="C206" s="4" t="s">
        <v>1065</v>
      </c>
      <c r="D206" s="4" t="s">
        <v>1066</v>
      </c>
      <c r="E206" s="4" t="s">
        <v>365</v>
      </c>
      <c r="F206" s="9">
        <v>5</v>
      </c>
      <c r="G206" s="9">
        <v>2</v>
      </c>
      <c r="H206" s="9">
        <f t="shared" si="11"/>
        <v>10</v>
      </c>
      <c r="I206" s="9"/>
      <c r="J206" s="4" t="s">
        <v>1068</v>
      </c>
      <c r="K206" s="4" t="s">
        <v>790</v>
      </c>
      <c r="L206" s="8" t="s">
        <v>80</v>
      </c>
      <c r="M206" s="9" t="s">
        <v>87</v>
      </c>
      <c r="N206" s="4" t="s">
        <v>1069</v>
      </c>
      <c r="O206" s="4"/>
      <c r="P206" s="4"/>
      <c r="Q206" s="4"/>
    </row>
    <row r="207" spans="1:17" ht="28.9">
      <c r="A207" s="4" t="s">
        <v>1070</v>
      </c>
      <c r="B207" s="4" t="s">
        <v>1071</v>
      </c>
      <c r="C207" s="4" t="s">
        <v>1072</v>
      </c>
      <c r="D207" s="4" t="s">
        <v>1073</v>
      </c>
      <c r="E207" s="4" t="s">
        <v>360</v>
      </c>
      <c r="F207" s="9">
        <v>5</v>
      </c>
      <c r="G207" s="9">
        <v>2</v>
      </c>
      <c r="H207" s="9">
        <f t="shared" si="11"/>
        <v>10</v>
      </c>
      <c r="I207" s="9"/>
      <c r="J207" s="4" t="s">
        <v>1074</v>
      </c>
      <c r="K207" s="4" t="s">
        <v>790</v>
      </c>
      <c r="L207" s="8" t="s">
        <v>80</v>
      </c>
      <c r="M207" s="9" t="s">
        <v>87</v>
      </c>
      <c r="N207" s="4" t="s">
        <v>1075</v>
      </c>
      <c r="O207" s="4"/>
      <c r="P207" s="4"/>
      <c r="Q207" s="4"/>
    </row>
    <row r="208" spans="1:17" ht="28.9">
      <c r="A208" s="4" t="s">
        <v>1076</v>
      </c>
      <c r="B208" s="4" t="s">
        <v>1077</v>
      </c>
      <c r="C208" s="4" t="s">
        <v>1078</v>
      </c>
      <c r="D208" s="4" t="s">
        <v>1079</v>
      </c>
      <c r="E208" s="4" t="s">
        <v>365</v>
      </c>
      <c r="F208" s="9">
        <v>5</v>
      </c>
      <c r="G208" s="9">
        <v>2</v>
      </c>
      <c r="H208" s="9">
        <f t="shared" si="11"/>
        <v>10</v>
      </c>
      <c r="I208" s="9"/>
      <c r="J208" s="4" t="s">
        <v>1080</v>
      </c>
      <c r="K208" s="4" t="s">
        <v>790</v>
      </c>
      <c r="L208" s="8" t="s">
        <v>80</v>
      </c>
      <c r="M208" s="9" t="s">
        <v>87</v>
      </c>
      <c r="N208" s="4" t="s">
        <v>1081</v>
      </c>
      <c r="O208" s="4"/>
      <c r="P208" s="4"/>
      <c r="Q208" s="4"/>
    </row>
    <row r="209" spans="1:17" ht="43.15">
      <c r="A209" s="4" t="s">
        <v>1082</v>
      </c>
      <c r="B209" s="4" t="s">
        <v>1083</v>
      </c>
      <c r="C209" s="4" t="s">
        <v>1084</v>
      </c>
      <c r="D209" s="4" t="s">
        <v>1085</v>
      </c>
      <c r="E209" s="4" t="s">
        <v>360</v>
      </c>
      <c r="F209" s="9">
        <v>4</v>
      </c>
      <c r="G209" s="9">
        <v>1</v>
      </c>
      <c r="H209" s="9">
        <f t="shared" si="11"/>
        <v>4</v>
      </c>
      <c r="I209" s="9"/>
      <c r="J209" s="4" t="s">
        <v>1086</v>
      </c>
      <c r="K209" s="4" t="s">
        <v>790</v>
      </c>
      <c r="L209" s="8" t="s">
        <v>86</v>
      </c>
      <c r="M209" s="9" t="s">
        <v>60</v>
      </c>
      <c r="N209" s="4" t="s">
        <v>1087</v>
      </c>
      <c r="O209" s="4"/>
      <c r="P209" s="4"/>
      <c r="Q209" s="4"/>
    </row>
    <row r="210" spans="1:17" ht="43.15">
      <c r="A210" s="4" t="s">
        <v>1088</v>
      </c>
      <c r="B210" s="4" t="s">
        <v>1089</v>
      </c>
      <c r="C210" s="4" t="s">
        <v>1090</v>
      </c>
      <c r="D210" s="4" t="s">
        <v>1091</v>
      </c>
      <c r="E210" s="4" t="s">
        <v>360</v>
      </c>
      <c r="F210" s="9">
        <v>3</v>
      </c>
      <c r="G210" s="9">
        <v>3</v>
      </c>
      <c r="H210" s="9">
        <f t="shared" si="11"/>
        <v>9</v>
      </c>
      <c r="I210" s="9"/>
      <c r="J210" s="4" t="s">
        <v>790</v>
      </c>
      <c r="K210" s="4" t="s">
        <v>790</v>
      </c>
      <c r="L210" s="8" t="s">
        <v>80</v>
      </c>
      <c r="M210" s="9" t="s">
        <v>87</v>
      </c>
      <c r="N210" s="4" t="s">
        <v>1092</v>
      </c>
      <c r="O210" s="4"/>
      <c r="P210" s="4"/>
      <c r="Q210" s="4"/>
    </row>
    <row r="211" spans="1:17" ht="15.6">
      <c r="A211" s="161" t="s">
        <v>1093</v>
      </c>
      <c r="B211" s="161"/>
      <c r="C211" s="161"/>
      <c r="D211" s="161"/>
      <c r="E211" s="161"/>
      <c r="F211" s="161"/>
      <c r="G211" s="161"/>
      <c r="H211" s="161"/>
      <c r="I211" s="161"/>
      <c r="J211" s="161"/>
      <c r="K211" s="161"/>
      <c r="L211" s="161"/>
      <c r="M211" s="161"/>
      <c r="N211" s="161"/>
      <c r="O211" s="161"/>
      <c r="P211" s="161"/>
      <c r="Q211" s="161"/>
    </row>
    <row r="212" spans="1:17" ht="43.15">
      <c r="A212" s="4" t="s">
        <v>1094</v>
      </c>
      <c r="B212" s="4" t="s">
        <v>1095</v>
      </c>
      <c r="C212" s="4" t="s">
        <v>1096</v>
      </c>
      <c r="D212" s="4" t="s">
        <v>1097</v>
      </c>
      <c r="E212" s="4" t="s">
        <v>465</v>
      </c>
      <c r="F212" s="9">
        <v>5</v>
      </c>
      <c r="G212" s="9">
        <v>2</v>
      </c>
      <c r="H212" s="9">
        <f t="shared" ref="H212:H218" si="12">F212*G212</f>
        <v>10</v>
      </c>
      <c r="I212" s="9" t="s">
        <v>72</v>
      </c>
      <c r="J212" s="4"/>
      <c r="K212" s="4"/>
      <c r="L212" s="8" t="s">
        <v>80</v>
      </c>
      <c r="M212" s="9" t="s">
        <v>25</v>
      </c>
      <c r="N212" s="4" t="s">
        <v>1098</v>
      </c>
      <c r="O212" s="4"/>
      <c r="P212" s="4"/>
      <c r="Q212" s="4"/>
    </row>
    <row r="213" spans="1:17" ht="28.9">
      <c r="A213" s="4" t="s">
        <v>1099</v>
      </c>
      <c r="B213" s="4" t="s">
        <v>1100</v>
      </c>
      <c r="C213" s="4" t="s">
        <v>1101</v>
      </c>
      <c r="D213" s="4" t="s">
        <v>1102</v>
      </c>
      <c r="E213" s="4" t="s">
        <v>472</v>
      </c>
      <c r="F213" s="9">
        <v>5</v>
      </c>
      <c r="G213" s="9">
        <v>2</v>
      </c>
      <c r="H213" s="9">
        <f t="shared" si="12"/>
        <v>10</v>
      </c>
      <c r="I213" s="9" t="s">
        <v>72</v>
      </c>
      <c r="J213" s="4" t="s">
        <v>790</v>
      </c>
      <c r="K213" s="4"/>
      <c r="L213" s="8" t="s">
        <v>80</v>
      </c>
      <c r="M213" s="9" t="s">
        <v>25</v>
      </c>
      <c r="N213" s="4" t="s">
        <v>1103</v>
      </c>
      <c r="O213" s="4"/>
      <c r="P213" s="4"/>
      <c r="Q213" s="4"/>
    </row>
    <row r="214" spans="1:17" ht="43.15">
      <c r="A214" s="4" t="s">
        <v>1104</v>
      </c>
      <c r="B214" s="4" t="s">
        <v>1105</v>
      </c>
      <c r="C214" s="4" t="s">
        <v>1106</v>
      </c>
      <c r="D214" s="4" t="s">
        <v>1107</v>
      </c>
      <c r="E214" s="4" t="s">
        <v>1108</v>
      </c>
      <c r="F214" s="9">
        <v>2</v>
      </c>
      <c r="G214" s="9">
        <v>2</v>
      </c>
      <c r="H214" s="9">
        <f t="shared" si="12"/>
        <v>4</v>
      </c>
      <c r="I214" s="9" t="s">
        <v>72</v>
      </c>
      <c r="J214" s="4"/>
      <c r="K214" s="4"/>
      <c r="L214" s="8" t="s">
        <v>86</v>
      </c>
      <c r="M214" s="9" t="s">
        <v>25</v>
      </c>
      <c r="N214" s="4" t="s">
        <v>1109</v>
      </c>
      <c r="O214" s="4"/>
      <c r="P214" s="4"/>
      <c r="Q214" s="4"/>
    </row>
    <row r="215" spans="1:17" ht="28.9">
      <c r="A215" s="4" t="s">
        <v>1110</v>
      </c>
      <c r="B215" s="4" t="s">
        <v>758</v>
      </c>
      <c r="C215" s="4" t="s">
        <v>1111</v>
      </c>
      <c r="D215" s="4" t="s">
        <v>1112</v>
      </c>
      <c r="E215" s="4"/>
      <c r="F215" s="9">
        <v>3</v>
      </c>
      <c r="G215" s="9">
        <v>3</v>
      </c>
      <c r="H215" s="9">
        <f t="shared" si="12"/>
        <v>9</v>
      </c>
      <c r="I215" s="9" t="s">
        <v>72</v>
      </c>
      <c r="J215" s="4" t="s">
        <v>790</v>
      </c>
      <c r="K215" s="4"/>
      <c r="L215" s="8" t="s">
        <v>80</v>
      </c>
      <c r="M215" s="9" t="s">
        <v>1113</v>
      </c>
      <c r="N215" s="4" t="s">
        <v>1114</v>
      </c>
      <c r="O215" s="4"/>
      <c r="P215" s="4"/>
      <c r="Q215" s="4"/>
    </row>
    <row r="216" spans="1:17" ht="28.9">
      <c r="A216" s="4" t="s">
        <v>1115</v>
      </c>
      <c r="B216" s="4" t="s">
        <v>1116</v>
      </c>
      <c r="C216" s="4" t="s">
        <v>1117</v>
      </c>
      <c r="D216" s="4" t="s">
        <v>1118</v>
      </c>
      <c r="E216" s="4" t="s">
        <v>1119</v>
      </c>
      <c r="F216" s="9">
        <v>5</v>
      </c>
      <c r="G216" s="9">
        <v>2</v>
      </c>
      <c r="H216" s="9">
        <f t="shared" si="12"/>
        <v>10</v>
      </c>
      <c r="I216" s="9" t="s">
        <v>72</v>
      </c>
      <c r="J216" s="4"/>
      <c r="K216" s="4"/>
      <c r="L216" s="8" t="s">
        <v>1840</v>
      </c>
      <c r="M216" s="9" t="s">
        <v>25</v>
      </c>
      <c r="N216" s="4" t="s">
        <v>1120</v>
      </c>
      <c r="O216" s="4"/>
      <c r="P216" s="4"/>
      <c r="Q216" s="4"/>
    </row>
    <row r="217" spans="1:17" ht="28.9">
      <c r="A217" s="4" t="s">
        <v>1108</v>
      </c>
      <c r="B217" s="4" t="s">
        <v>1121</v>
      </c>
      <c r="C217" s="4" t="s">
        <v>1122</v>
      </c>
      <c r="D217" s="4" t="s">
        <v>1123</v>
      </c>
      <c r="E217" s="4"/>
      <c r="F217" s="9">
        <v>2</v>
      </c>
      <c r="G217" s="9">
        <v>1</v>
      </c>
      <c r="H217" s="9">
        <f t="shared" si="12"/>
        <v>2</v>
      </c>
      <c r="I217" s="9" t="s">
        <v>72</v>
      </c>
      <c r="J217" s="4"/>
      <c r="K217" s="4"/>
      <c r="L217" s="8" t="s">
        <v>1840</v>
      </c>
      <c r="M217" s="9" t="s">
        <v>25</v>
      </c>
      <c r="N217" s="4" t="s">
        <v>1124</v>
      </c>
      <c r="O217" s="4"/>
      <c r="P217" s="4"/>
      <c r="Q217" s="4"/>
    </row>
    <row r="218" spans="1:17" ht="28.9">
      <c r="A218" s="4" t="s">
        <v>1125</v>
      </c>
      <c r="B218" s="4" t="s">
        <v>1126</v>
      </c>
      <c r="C218" s="4" t="s">
        <v>1127</v>
      </c>
      <c r="D218" s="4" t="s">
        <v>1128</v>
      </c>
      <c r="E218" s="4" t="s">
        <v>1129</v>
      </c>
      <c r="F218" s="9">
        <v>3</v>
      </c>
      <c r="G218" s="9">
        <v>4</v>
      </c>
      <c r="H218" s="9">
        <f t="shared" si="12"/>
        <v>12</v>
      </c>
      <c r="I218" s="9" t="s">
        <v>72</v>
      </c>
      <c r="J218" s="4" t="s">
        <v>1130</v>
      </c>
      <c r="K218" s="4"/>
      <c r="L218" s="8" t="s">
        <v>80</v>
      </c>
      <c r="M218" s="9" t="s">
        <v>87</v>
      </c>
      <c r="N218" s="4" t="s">
        <v>1131</v>
      </c>
      <c r="O218" s="4"/>
      <c r="P218" s="4"/>
      <c r="Q218" s="4"/>
    </row>
    <row r="219" spans="1:17" ht="15.6">
      <c r="A219" s="161" t="s">
        <v>1132</v>
      </c>
      <c r="B219" s="161"/>
      <c r="C219" s="161"/>
      <c r="D219" s="161"/>
      <c r="E219" s="161"/>
      <c r="F219" s="161"/>
      <c r="G219" s="161"/>
      <c r="H219" s="161"/>
      <c r="I219" s="161"/>
      <c r="J219" s="161"/>
      <c r="K219" s="161"/>
      <c r="L219" s="161"/>
      <c r="M219" s="161"/>
      <c r="N219" s="161"/>
      <c r="O219" s="161"/>
      <c r="P219" s="161"/>
      <c r="Q219" s="161"/>
    </row>
    <row r="220" spans="1:17" ht="28.9">
      <c r="A220" s="4" t="s">
        <v>1133</v>
      </c>
      <c r="B220" s="4" t="s">
        <v>1134</v>
      </c>
      <c r="C220" s="4" t="s">
        <v>1135</v>
      </c>
      <c r="D220" s="4" t="s">
        <v>1136</v>
      </c>
      <c r="E220" s="4" t="s">
        <v>465</v>
      </c>
      <c r="F220" s="9">
        <v>5</v>
      </c>
      <c r="G220" s="9">
        <v>3</v>
      </c>
      <c r="H220" s="9">
        <f t="shared" ref="H220:H226" si="13">F220*G220</f>
        <v>15</v>
      </c>
      <c r="I220" s="9"/>
      <c r="J220" s="4" t="s">
        <v>1841</v>
      </c>
      <c r="K220" s="4" t="s">
        <v>605</v>
      </c>
      <c r="L220" s="8" t="s">
        <v>80</v>
      </c>
      <c r="M220" s="9" t="s">
        <v>1137</v>
      </c>
      <c r="N220" s="4" t="s">
        <v>1138</v>
      </c>
      <c r="O220" s="4"/>
      <c r="P220" s="4"/>
      <c r="Q220" s="4"/>
    </row>
    <row r="221" spans="1:17" ht="28.9">
      <c r="A221" s="4" t="s">
        <v>1139</v>
      </c>
      <c r="B221" s="4" t="s">
        <v>1140</v>
      </c>
      <c r="C221" s="4" t="s">
        <v>1141</v>
      </c>
      <c r="D221" s="4" t="s">
        <v>1142</v>
      </c>
      <c r="E221" s="4" t="s">
        <v>465</v>
      </c>
      <c r="F221" s="9">
        <v>5</v>
      </c>
      <c r="G221" s="9">
        <v>3</v>
      </c>
      <c r="H221" s="9">
        <f t="shared" si="13"/>
        <v>15</v>
      </c>
      <c r="I221" s="9"/>
      <c r="J221" s="4" t="s">
        <v>1841</v>
      </c>
      <c r="K221" s="4" t="s">
        <v>605</v>
      </c>
      <c r="L221" s="8" t="s">
        <v>80</v>
      </c>
      <c r="M221" s="9" t="s">
        <v>25</v>
      </c>
      <c r="N221" s="4" t="s">
        <v>1143</v>
      </c>
      <c r="O221" s="4"/>
      <c r="P221" s="4"/>
      <c r="Q221" s="4"/>
    </row>
    <row r="222" spans="1:17" ht="57.6">
      <c r="A222" s="37" t="s">
        <v>1144</v>
      </c>
      <c r="B222" s="37" t="s">
        <v>824</v>
      </c>
      <c r="C222" s="37" t="s">
        <v>1145</v>
      </c>
      <c r="D222" s="37" t="s">
        <v>1146</v>
      </c>
      <c r="E222" s="37" t="s">
        <v>465</v>
      </c>
      <c r="F222" s="9">
        <v>2</v>
      </c>
      <c r="G222" s="9">
        <v>2</v>
      </c>
      <c r="H222" s="9">
        <f t="shared" si="13"/>
        <v>4</v>
      </c>
      <c r="I222" s="9"/>
      <c r="J222" s="4" t="s">
        <v>1841</v>
      </c>
      <c r="K222" s="4" t="s">
        <v>605</v>
      </c>
      <c r="L222" s="8" t="s">
        <v>86</v>
      </c>
      <c r="M222" s="9" t="s">
        <v>1113</v>
      </c>
      <c r="N222" s="4" t="s">
        <v>1147</v>
      </c>
      <c r="O222" s="4"/>
      <c r="P222" s="66"/>
      <c r="Q222" s="4"/>
    </row>
    <row r="223" spans="1:17" ht="28.9">
      <c r="A223" s="4" t="s">
        <v>1148</v>
      </c>
      <c r="B223" s="4" t="s">
        <v>1149</v>
      </c>
      <c r="C223" s="4" t="s">
        <v>1150</v>
      </c>
      <c r="D223" s="4" t="s">
        <v>1151</v>
      </c>
      <c r="E223" s="4" t="s">
        <v>1152</v>
      </c>
      <c r="F223" s="9">
        <v>3</v>
      </c>
      <c r="G223" s="9">
        <v>3</v>
      </c>
      <c r="H223" s="9">
        <f t="shared" si="13"/>
        <v>9</v>
      </c>
      <c r="I223" s="9"/>
      <c r="J223" s="4" t="s">
        <v>1841</v>
      </c>
      <c r="K223" s="4" t="s">
        <v>605</v>
      </c>
      <c r="L223" s="8" t="s">
        <v>86</v>
      </c>
      <c r="M223" s="9" t="s">
        <v>25</v>
      </c>
      <c r="N223" s="4" t="s">
        <v>1153</v>
      </c>
      <c r="O223" s="4"/>
      <c r="P223" s="4"/>
      <c r="Q223" s="4"/>
    </row>
    <row r="224" spans="1:17" ht="72">
      <c r="A224" s="4" t="s">
        <v>1154</v>
      </c>
      <c r="B224" s="4" t="s">
        <v>1155</v>
      </c>
      <c r="C224" s="4" t="s">
        <v>1156</v>
      </c>
      <c r="D224" s="4" t="s">
        <v>1157</v>
      </c>
      <c r="E224" s="4" t="s">
        <v>477</v>
      </c>
      <c r="F224" s="9">
        <v>3</v>
      </c>
      <c r="G224" s="9">
        <v>2</v>
      </c>
      <c r="H224" s="9">
        <f t="shared" si="13"/>
        <v>6</v>
      </c>
      <c r="I224" s="9"/>
      <c r="J224" s="4" t="s">
        <v>1841</v>
      </c>
      <c r="K224" s="4" t="s">
        <v>605</v>
      </c>
      <c r="L224" s="8" t="s">
        <v>86</v>
      </c>
      <c r="M224" s="9" t="s">
        <v>25</v>
      </c>
      <c r="N224" s="4" t="s">
        <v>1158</v>
      </c>
      <c r="O224" s="4"/>
      <c r="P224" s="4"/>
      <c r="Q224" s="4"/>
    </row>
    <row r="225" spans="1:17" ht="28.9">
      <c r="A225" s="4" t="s">
        <v>1159</v>
      </c>
      <c r="B225" s="4" t="s">
        <v>1160</v>
      </c>
      <c r="C225" s="4" t="s">
        <v>1161</v>
      </c>
      <c r="D225" s="4"/>
      <c r="E225" s="4" t="s">
        <v>477</v>
      </c>
      <c r="F225" s="9">
        <v>5</v>
      </c>
      <c r="G225" s="9">
        <v>3</v>
      </c>
      <c r="H225" s="9">
        <f t="shared" si="13"/>
        <v>15</v>
      </c>
      <c r="I225" s="9"/>
      <c r="J225" s="4" t="s">
        <v>1841</v>
      </c>
      <c r="K225" s="4" t="s">
        <v>605</v>
      </c>
      <c r="L225" s="8" t="s">
        <v>86</v>
      </c>
      <c r="M225" s="9" t="s">
        <v>25</v>
      </c>
      <c r="N225" s="4" t="s">
        <v>1162</v>
      </c>
      <c r="O225" s="4"/>
      <c r="P225" s="4"/>
      <c r="Q225" s="4"/>
    </row>
    <row r="226" spans="1:17" ht="43.15">
      <c r="A226" s="4" t="s">
        <v>1163</v>
      </c>
      <c r="B226" s="4" t="s">
        <v>1164</v>
      </c>
      <c r="C226" s="4" t="s">
        <v>1165</v>
      </c>
      <c r="D226" s="4" t="s">
        <v>1166</v>
      </c>
      <c r="E226" s="4" t="s">
        <v>185</v>
      </c>
      <c r="F226" s="9">
        <v>2</v>
      </c>
      <c r="G226" s="9">
        <v>2</v>
      </c>
      <c r="H226" s="9">
        <f t="shared" si="13"/>
        <v>4</v>
      </c>
      <c r="I226" s="9"/>
      <c r="J226" s="4" t="s">
        <v>1841</v>
      </c>
      <c r="K226" s="4" t="s">
        <v>605</v>
      </c>
      <c r="L226" s="8" t="s">
        <v>86</v>
      </c>
      <c r="M226" s="9" t="s">
        <v>1137</v>
      </c>
      <c r="N226" s="4" t="s">
        <v>1167</v>
      </c>
      <c r="O226" s="4"/>
      <c r="P226" s="4"/>
      <c r="Q226" s="4"/>
    </row>
    <row r="227" spans="1:17" ht="15.6">
      <c r="A227" s="161" t="s">
        <v>1168</v>
      </c>
      <c r="B227" s="161"/>
      <c r="C227" s="161"/>
      <c r="D227" s="161"/>
      <c r="E227" s="161"/>
      <c r="F227" s="161"/>
      <c r="G227" s="161"/>
      <c r="H227" s="161"/>
      <c r="I227" s="161"/>
      <c r="J227" s="161"/>
      <c r="K227" s="161"/>
      <c r="L227" s="161"/>
      <c r="M227" s="161"/>
      <c r="N227" s="161"/>
      <c r="O227" s="161"/>
      <c r="P227" s="161"/>
      <c r="Q227" s="161"/>
    </row>
    <row r="228" spans="1:17">
      <c r="A228" s="4" t="s">
        <v>1169</v>
      </c>
      <c r="B228" s="4"/>
      <c r="C228" s="4"/>
      <c r="D228" s="4"/>
      <c r="E228" s="4"/>
      <c r="F228" s="4"/>
      <c r="G228" s="4"/>
      <c r="H228" s="4"/>
      <c r="I228" s="9"/>
      <c r="J228" s="4"/>
      <c r="K228" s="4"/>
      <c r="L228" s="8" t="s">
        <v>24</v>
      </c>
      <c r="M228" s="4"/>
      <c r="N228" s="4"/>
      <c r="O228" s="4"/>
      <c r="P228" s="4"/>
      <c r="Q228" s="4"/>
    </row>
    <row r="229" spans="1:17">
      <c r="A229" s="4" t="s">
        <v>1170</v>
      </c>
      <c r="B229" s="4"/>
      <c r="C229" s="4"/>
      <c r="D229" s="4"/>
      <c r="E229" s="4"/>
      <c r="F229" s="9"/>
      <c r="G229" s="9"/>
      <c r="H229" s="9"/>
      <c r="I229" s="9"/>
      <c r="J229" s="4"/>
      <c r="K229" s="4"/>
      <c r="L229" s="8" t="s">
        <v>24</v>
      </c>
      <c r="M229" s="4"/>
      <c r="N229" s="4"/>
      <c r="O229" s="4"/>
      <c r="P229" s="4"/>
      <c r="Q229" s="4"/>
    </row>
    <row r="230" spans="1:17">
      <c r="A230" s="4" t="s">
        <v>1171</v>
      </c>
      <c r="B230" s="4"/>
      <c r="C230" s="4"/>
      <c r="D230" s="4"/>
      <c r="E230" s="4"/>
      <c r="F230" s="9"/>
      <c r="G230" s="9"/>
      <c r="H230" s="9"/>
      <c r="I230" s="9"/>
      <c r="J230" s="4"/>
      <c r="K230" s="4"/>
      <c r="L230" s="8" t="s">
        <v>24</v>
      </c>
      <c r="M230" s="4"/>
      <c r="N230" s="4"/>
      <c r="O230" s="4"/>
      <c r="P230" s="4"/>
      <c r="Q230" s="4"/>
    </row>
    <row r="231" spans="1:17">
      <c r="A231" s="4" t="s">
        <v>1172</v>
      </c>
      <c r="B231" s="4"/>
      <c r="C231" s="4"/>
      <c r="D231" s="4"/>
      <c r="E231" s="4"/>
      <c r="F231" s="9"/>
      <c r="G231" s="9"/>
      <c r="H231" s="9"/>
      <c r="I231" s="9"/>
      <c r="J231" s="4"/>
      <c r="K231" s="4"/>
      <c r="L231" s="8" t="s">
        <v>24</v>
      </c>
      <c r="M231" s="4"/>
      <c r="N231" s="4"/>
      <c r="O231" s="4"/>
      <c r="P231" s="4"/>
      <c r="Q231" s="4"/>
    </row>
    <row r="232" spans="1:17">
      <c r="A232" s="4" t="s">
        <v>1173</v>
      </c>
      <c r="B232" s="4"/>
      <c r="C232" s="4"/>
      <c r="D232" s="4"/>
      <c r="E232" s="4"/>
      <c r="F232" s="9"/>
      <c r="G232" s="9"/>
      <c r="H232" s="9"/>
      <c r="I232" s="9"/>
      <c r="J232" s="4"/>
      <c r="K232" s="4"/>
      <c r="L232" s="8" t="s">
        <v>24</v>
      </c>
      <c r="M232" s="4"/>
      <c r="N232" s="4"/>
      <c r="O232" s="4"/>
      <c r="P232" s="4"/>
      <c r="Q232" s="4"/>
    </row>
    <row r="233" spans="1:17" ht="15.6">
      <c r="A233" s="161" t="s">
        <v>1174</v>
      </c>
      <c r="B233" s="161"/>
      <c r="C233" s="161"/>
      <c r="D233" s="161"/>
      <c r="E233" s="161"/>
      <c r="F233" s="161"/>
      <c r="G233" s="161"/>
      <c r="H233" s="161"/>
      <c r="I233" s="161"/>
      <c r="J233" s="161"/>
      <c r="K233" s="161"/>
      <c r="L233" s="161"/>
      <c r="M233" s="161"/>
      <c r="N233" s="161"/>
      <c r="O233" s="161"/>
      <c r="P233" s="161"/>
      <c r="Q233" s="161"/>
    </row>
    <row r="234" spans="1:17" ht="28.9">
      <c r="A234" s="4" t="s">
        <v>1175</v>
      </c>
      <c r="B234" s="4" t="s">
        <v>1176</v>
      </c>
      <c r="C234" s="4" t="s">
        <v>1177</v>
      </c>
      <c r="D234" s="4" t="s">
        <v>1178</v>
      </c>
      <c r="E234" s="4" t="s">
        <v>999</v>
      </c>
      <c r="F234" s="9">
        <v>4</v>
      </c>
      <c r="G234" s="9">
        <v>1</v>
      </c>
      <c r="H234" s="9">
        <f t="shared" ref="H234:H238" si="14">F234*G234</f>
        <v>4</v>
      </c>
      <c r="I234" s="9" t="s">
        <v>72</v>
      </c>
      <c r="J234" s="4" t="s">
        <v>735</v>
      </c>
      <c r="K234" s="4" t="s">
        <v>1179</v>
      </c>
      <c r="L234" s="55" t="s">
        <v>73</v>
      </c>
      <c r="M234" s="9" t="s">
        <v>87</v>
      </c>
      <c r="N234" s="4" t="s">
        <v>1180</v>
      </c>
      <c r="O234" s="4"/>
      <c r="P234" s="4"/>
      <c r="Q234" s="4"/>
    </row>
    <row r="235" spans="1:17" ht="28.9">
      <c r="A235" s="4" t="s">
        <v>1181</v>
      </c>
      <c r="B235" s="4" t="s">
        <v>1182</v>
      </c>
      <c r="C235" s="4" t="s">
        <v>1183</v>
      </c>
      <c r="D235" s="4" t="s">
        <v>1184</v>
      </c>
      <c r="E235" s="4" t="s">
        <v>999</v>
      </c>
      <c r="F235" s="9">
        <v>5</v>
      </c>
      <c r="G235" s="9">
        <v>1</v>
      </c>
      <c r="H235" s="9">
        <f t="shared" si="14"/>
        <v>5</v>
      </c>
      <c r="I235" s="9" t="s">
        <v>72</v>
      </c>
      <c r="J235" s="58" t="s">
        <v>1185</v>
      </c>
      <c r="K235" s="58" t="s">
        <v>1185</v>
      </c>
      <c r="L235" s="8" t="s">
        <v>86</v>
      </c>
      <c r="M235" s="9" t="s">
        <v>1113</v>
      </c>
      <c r="N235" s="4" t="s">
        <v>1186</v>
      </c>
      <c r="O235" s="4"/>
      <c r="P235" s="4"/>
      <c r="Q235" s="4"/>
    </row>
    <row r="236" spans="1:17" ht="28.9">
      <c r="A236" s="4" t="s">
        <v>1187</v>
      </c>
      <c r="B236" s="4" t="s">
        <v>1188</v>
      </c>
      <c r="C236" s="4" t="s">
        <v>1189</v>
      </c>
      <c r="D236" s="4" t="s">
        <v>1190</v>
      </c>
      <c r="E236" s="4" t="s">
        <v>999</v>
      </c>
      <c r="F236" s="9">
        <v>5</v>
      </c>
      <c r="G236" s="9">
        <v>1</v>
      </c>
      <c r="H236" s="9">
        <f t="shared" si="14"/>
        <v>5</v>
      </c>
      <c r="I236" s="9" t="s">
        <v>72</v>
      </c>
      <c r="J236" s="4" t="s">
        <v>1191</v>
      </c>
      <c r="K236" s="4" t="s">
        <v>1192</v>
      </c>
      <c r="L236" s="8" t="s">
        <v>86</v>
      </c>
      <c r="M236" s="9" t="s">
        <v>25</v>
      </c>
      <c r="N236" s="4" t="s">
        <v>1193</v>
      </c>
      <c r="O236" s="4"/>
      <c r="P236" s="4"/>
      <c r="Q236" s="4"/>
    </row>
    <row r="237" spans="1:17" ht="28.9">
      <c r="A237" s="4" t="s">
        <v>1194</v>
      </c>
      <c r="B237" s="4" t="s">
        <v>1195</v>
      </c>
      <c r="C237" s="4" t="s">
        <v>1196</v>
      </c>
      <c r="D237" s="4" t="s">
        <v>1197</v>
      </c>
      <c r="E237" s="4" t="s">
        <v>999</v>
      </c>
      <c r="F237" s="9">
        <v>5</v>
      </c>
      <c r="G237" s="9">
        <v>1</v>
      </c>
      <c r="H237" s="9">
        <f t="shared" si="14"/>
        <v>5</v>
      </c>
      <c r="I237" s="9" t="s">
        <v>72</v>
      </c>
      <c r="J237" s="4" t="s">
        <v>59</v>
      </c>
      <c r="K237" s="4" t="s">
        <v>59</v>
      </c>
      <c r="L237" s="55" t="s">
        <v>73</v>
      </c>
      <c r="M237" s="9" t="s">
        <v>25</v>
      </c>
      <c r="N237" s="4" t="s">
        <v>1198</v>
      </c>
      <c r="O237" s="4"/>
      <c r="P237" s="4"/>
      <c r="Q237" s="4"/>
    </row>
    <row r="238" spans="1:17" ht="28.9">
      <c r="A238" s="4" t="s">
        <v>1199</v>
      </c>
      <c r="B238" s="4" t="s">
        <v>765</v>
      </c>
      <c r="C238" s="4" t="s">
        <v>1200</v>
      </c>
      <c r="D238" s="4" t="s">
        <v>1201</v>
      </c>
      <c r="E238" s="4" t="s">
        <v>999</v>
      </c>
      <c r="F238" s="9">
        <v>3</v>
      </c>
      <c r="G238" s="9">
        <v>1</v>
      </c>
      <c r="H238" s="9">
        <f t="shared" si="14"/>
        <v>3</v>
      </c>
      <c r="I238" s="9" t="s">
        <v>72</v>
      </c>
      <c r="J238" s="4" t="s">
        <v>1202</v>
      </c>
      <c r="K238" s="4" t="s">
        <v>1202</v>
      </c>
      <c r="L238" s="8" t="s">
        <v>24</v>
      </c>
      <c r="M238" s="9" t="s">
        <v>25</v>
      </c>
      <c r="N238" s="4" t="s">
        <v>1203</v>
      </c>
      <c r="O238" s="4"/>
      <c r="P238" s="4"/>
      <c r="Q238" s="4"/>
    </row>
    <row r="239" spans="1:17" ht="15.6">
      <c r="A239" s="161" t="s">
        <v>1204</v>
      </c>
      <c r="B239" s="161"/>
      <c r="C239" s="161"/>
      <c r="D239" s="161"/>
      <c r="E239" s="161"/>
      <c r="F239" s="161"/>
      <c r="G239" s="161"/>
      <c r="H239" s="161"/>
      <c r="I239" s="161"/>
      <c r="J239" s="161"/>
      <c r="K239" s="161"/>
      <c r="L239" s="161"/>
      <c r="M239" s="161"/>
      <c r="N239" s="161"/>
      <c r="O239" s="161"/>
      <c r="P239" s="161"/>
      <c r="Q239" s="161"/>
    </row>
    <row r="240" spans="1:17" ht="28.9">
      <c r="A240" s="4" t="s">
        <v>1205</v>
      </c>
      <c r="B240" s="4" t="s">
        <v>1095</v>
      </c>
      <c r="C240" s="4" t="s">
        <v>1206</v>
      </c>
      <c r="D240" s="4" t="s">
        <v>1207</v>
      </c>
      <c r="E240" s="4" t="s">
        <v>67</v>
      </c>
      <c r="F240" s="4">
        <v>1</v>
      </c>
      <c r="G240" s="4">
        <v>1</v>
      </c>
      <c r="H240" s="4">
        <f>F240*G240</f>
        <v>1</v>
      </c>
      <c r="I240" s="9"/>
      <c r="J240" s="4"/>
      <c r="K240" s="4"/>
      <c r="L240" s="8" t="s">
        <v>86</v>
      </c>
      <c r="M240" s="9" t="s">
        <v>1208</v>
      </c>
      <c r="N240" s="4" t="s">
        <v>1209</v>
      </c>
      <c r="O240" s="4"/>
      <c r="P240" s="4"/>
      <c r="Q240" s="4"/>
    </row>
    <row r="241" spans="1:17" ht="28.9">
      <c r="A241" s="4" t="s">
        <v>1210</v>
      </c>
      <c r="B241" s="4" t="s">
        <v>1105</v>
      </c>
      <c r="C241" s="4" t="s">
        <v>1211</v>
      </c>
      <c r="D241" s="4" t="s">
        <v>1212</v>
      </c>
      <c r="E241" s="4" t="s">
        <v>67</v>
      </c>
      <c r="F241" s="9">
        <v>1</v>
      </c>
      <c r="G241" s="9">
        <v>1</v>
      </c>
      <c r="H241" s="9">
        <f t="shared" ref="H241:H243" si="15">F241*G241</f>
        <v>1</v>
      </c>
      <c r="I241" s="9"/>
      <c r="J241" s="4"/>
      <c r="K241" s="4"/>
      <c r="L241" s="8" t="s">
        <v>86</v>
      </c>
      <c r="M241" s="9" t="s">
        <v>25</v>
      </c>
      <c r="N241" s="4" t="s">
        <v>1213</v>
      </c>
      <c r="O241" s="4"/>
      <c r="P241" s="4"/>
      <c r="Q241" s="4"/>
    </row>
    <row r="242" spans="1:17" ht="28.9">
      <c r="A242" s="4" t="s">
        <v>1214</v>
      </c>
      <c r="B242" s="4" t="s">
        <v>1215</v>
      </c>
      <c r="C242" s="4" t="s">
        <v>1216</v>
      </c>
      <c r="D242" s="4" t="s">
        <v>1217</v>
      </c>
      <c r="E242" s="4" t="s">
        <v>483</v>
      </c>
      <c r="F242" s="9">
        <v>1</v>
      </c>
      <c r="G242" s="9">
        <v>1</v>
      </c>
      <c r="H242" s="9">
        <f t="shared" si="15"/>
        <v>1</v>
      </c>
      <c r="I242" s="9"/>
      <c r="J242" s="4"/>
      <c r="K242" s="4"/>
      <c r="L242" s="8" t="s">
        <v>86</v>
      </c>
      <c r="M242" s="9" t="s">
        <v>1113</v>
      </c>
      <c r="N242" s="4" t="s">
        <v>1218</v>
      </c>
      <c r="O242" s="4"/>
      <c r="P242" s="4"/>
      <c r="Q242" s="4"/>
    </row>
    <row r="243" spans="1:17" ht="28.9">
      <c r="A243" s="4" t="s">
        <v>1219</v>
      </c>
      <c r="B243" s="4" t="s">
        <v>1220</v>
      </c>
      <c r="C243" s="4" t="s">
        <v>1221</v>
      </c>
      <c r="D243" s="4" t="s">
        <v>1222</v>
      </c>
      <c r="E243" s="4" t="s">
        <v>483</v>
      </c>
      <c r="F243" s="9">
        <v>1</v>
      </c>
      <c r="G243" s="9">
        <v>1</v>
      </c>
      <c r="H243" s="9">
        <f t="shared" si="15"/>
        <v>1</v>
      </c>
      <c r="I243" s="9"/>
      <c r="J243" s="4"/>
      <c r="K243" s="4"/>
      <c r="L243" s="8" t="s">
        <v>86</v>
      </c>
      <c r="M243" s="9" t="s">
        <v>1208</v>
      </c>
      <c r="N243" s="4" t="s">
        <v>1223</v>
      </c>
      <c r="O243" s="4"/>
      <c r="P243" s="4"/>
      <c r="Q243" s="4"/>
    </row>
    <row r="244" spans="1:17">
      <c r="A244" s="4" t="s">
        <v>1224</v>
      </c>
      <c r="B244" s="4" t="s">
        <v>1225</v>
      </c>
      <c r="C244" s="4" t="s">
        <v>1226</v>
      </c>
      <c r="D244" s="4"/>
      <c r="E244" s="4"/>
      <c r="F244" s="9"/>
      <c r="G244" s="9"/>
      <c r="H244" s="9"/>
      <c r="I244" s="9"/>
      <c r="J244" s="4"/>
      <c r="K244" s="4"/>
      <c r="L244" s="8" t="s">
        <v>86</v>
      </c>
      <c r="M244" s="9"/>
      <c r="N244" s="4"/>
      <c r="O244" s="4"/>
      <c r="P244" s="4"/>
      <c r="Q244" s="4"/>
    </row>
    <row r="245" spans="1:17" ht="15.6">
      <c r="A245" s="161" t="s">
        <v>1229</v>
      </c>
      <c r="B245" s="161"/>
      <c r="C245" s="161"/>
      <c r="D245" s="161"/>
      <c r="E245" s="161"/>
      <c r="F245" s="161"/>
      <c r="G245" s="161"/>
      <c r="H245" s="161"/>
      <c r="I245" s="161"/>
      <c r="J245" s="161"/>
      <c r="K245" s="161"/>
      <c r="L245" s="161"/>
      <c r="M245" s="161"/>
      <c r="N245" s="161"/>
      <c r="O245" s="161"/>
      <c r="P245" s="161"/>
      <c r="Q245" s="161"/>
    </row>
    <row r="246" spans="1:17" ht="43.15">
      <c r="A246" s="4" t="s">
        <v>1230</v>
      </c>
      <c r="B246" s="4" t="s">
        <v>1231</v>
      </c>
      <c r="C246" s="4" t="s">
        <v>1232</v>
      </c>
      <c r="D246" s="4" t="s">
        <v>1233</v>
      </c>
      <c r="E246" s="50" t="s">
        <v>387</v>
      </c>
      <c r="F246" s="9"/>
      <c r="G246" s="9"/>
      <c r="H246" s="9">
        <f>F246*G246</f>
        <v>0</v>
      </c>
      <c r="I246" s="9"/>
      <c r="J246" s="4"/>
      <c r="K246" s="4"/>
      <c r="L246" s="8"/>
      <c r="M246" s="9" t="s">
        <v>1234</v>
      </c>
      <c r="N246" s="4" t="s">
        <v>1235</v>
      </c>
      <c r="O246" s="4"/>
      <c r="P246" s="4"/>
      <c r="Q246" s="4"/>
    </row>
    <row r="247" spans="1:17" ht="28.9">
      <c r="A247" s="4" t="s">
        <v>1236</v>
      </c>
      <c r="B247" s="4" t="s">
        <v>1237</v>
      </c>
      <c r="C247" s="4" t="s">
        <v>1238</v>
      </c>
      <c r="D247" s="4" t="s">
        <v>1239</v>
      </c>
      <c r="E247" s="4" t="s">
        <v>1230</v>
      </c>
      <c r="F247" s="4"/>
      <c r="G247" s="4"/>
      <c r="H247" s="4">
        <v>0</v>
      </c>
      <c r="I247" s="9"/>
      <c r="J247" s="4"/>
      <c r="K247" s="4"/>
      <c r="L247" s="8"/>
      <c r="M247" s="9" t="s">
        <v>1234</v>
      </c>
      <c r="N247" s="4" t="s">
        <v>1240</v>
      </c>
      <c r="O247" s="4"/>
      <c r="P247" s="4"/>
      <c r="Q247" s="4"/>
    </row>
    <row r="248" spans="1:17" ht="28.9">
      <c r="A248" s="4" t="s">
        <v>1241</v>
      </c>
      <c r="B248" s="4" t="s">
        <v>1242</v>
      </c>
      <c r="C248" s="4" t="s">
        <v>1243</v>
      </c>
      <c r="D248" s="4" t="s">
        <v>1244</v>
      </c>
      <c r="E248" s="4" t="s">
        <v>1245</v>
      </c>
      <c r="F248" s="9"/>
      <c r="G248" s="9"/>
      <c r="H248" s="9">
        <v>0</v>
      </c>
      <c r="I248" s="9"/>
      <c r="J248" s="4"/>
      <c r="K248" s="4"/>
      <c r="L248" s="8"/>
      <c r="M248" s="9" t="s">
        <v>25</v>
      </c>
      <c r="N248" s="4" t="s">
        <v>1246</v>
      </c>
      <c r="O248" s="4"/>
      <c r="P248" s="4"/>
      <c r="Q248" s="4"/>
    </row>
    <row r="249" spans="1:17">
      <c r="A249" s="4" t="s">
        <v>1247</v>
      </c>
      <c r="B249" s="4" t="s">
        <v>1248</v>
      </c>
      <c r="C249" s="4" t="s">
        <v>1249</v>
      </c>
      <c r="D249" s="4" t="s">
        <v>1250</v>
      </c>
      <c r="E249" s="4" t="s">
        <v>1245</v>
      </c>
      <c r="F249" s="9"/>
      <c r="G249" s="9"/>
      <c r="H249" s="9">
        <v>0</v>
      </c>
      <c r="I249" s="9"/>
      <c r="J249" s="4"/>
      <c r="K249" s="4"/>
      <c r="L249" s="8"/>
      <c r="M249" s="9" t="s">
        <v>60</v>
      </c>
      <c r="N249" s="4" t="s">
        <v>1251</v>
      </c>
      <c r="O249" s="4"/>
      <c r="P249" s="4"/>
      <c r="Q249" s="4"/>
    </row>
    <row r="250" spans="1:17">
      <c r="A250" s="4" t="s">
        <v>1252</v>
      </c>
      <c r="B250" s="4" t="s">
        <v>1253</v>
      </c>
      <c r="C250" s="4" t="s">
        <v>1254</v>
      </c>
      <c r="D250" s="4" t="s">
        <v>1255</v>
      </c>
      <c r="E250" s="4" t="s">
        <v>1245</v>
      </c>
      <c r="F250" s="4"/>
      <c r="G250" s="4"/>
      <c r="H250" s="4">
        <v>0</v>
      </c>
      <c r="I250" s="9"/>
      <c r="J250" s="4"/>
      <c r="K250" s="4"/>
      <c r="L250" s="8"/>
      <c r="M250" s="9" t="s">
        <v>1234</v>
      </c>
      <c r="N250" s="4" t="s">
        <v>1256</v>
      </c>
      <c r="O250" s="4"/>
      <c r="P250" s="4"/>
      <c r="Q250" s="4"/>
    </row>
    <row r="251" spans="1:17">
      <c r="A251" s="4" t="s">
        <v>1257</v>
      </c>
      <c r="B251" s="4"/>
      <c r="C251" s="4"/>
      <c r="D251" s="4"/>
      <c r="E251" s="4"/>
      <c r="F251" s="4"/>
      <c r="G251" s="4"/>
      <c r="H251" s="4"/>
      <c r="I251" s="9"/>
      <c r="J251" s="4"/>
      <c r="K251" s="4"/>
      <c r="L251" s="8"/>
      <c r="M251" s="4"/>
      <c r="N251" s="4"/>
      <c r="O251" s="4"/>
      <c r="P251" s="4"/>
      <c r="Q251" s="4"/>
    </row>
    <row r="252" spans="1:17">
      <c r="A252" s="4"/>
      <c r="B252" s="4"/>
      <c r="C252" s="4"/>
      <c r="D252" s="4"/>
      <c r="E252" s="4"/>
      <c r="F252" s="9"/>
      <c r="G252" s="9"/>
      <c r="H252" s="9"/>
      <c r="I252" s="9"/>
      <c r="J252" s="4"/>
      <c r="K252" s="4"/>
      <c r="L252" s="8"/>
      <c r="M252" s="4"/>
      <c r="N252" s="4"/>
      <c r="O252" s="4"/>
      <c r="P252" s="4"/>
      <c r="Q252" s="4"/>
    </row>
    <row r="253" spans="1:17" ht="17.45">
      <c r="A253" s="163" t="s">
        <v>1258</v>
      </c>
      <c r="B253" s="163"/>
      <c r="C253" s="163"/>
      <c r="D253" s="163"/>
      <c r="E253" s="163"/>
      <c r="F253" s="163"/>
      <c r="G253" s="163"/>
      <c r="H253" s="163"/>
      <c r="I253" s="163"/>
      <c r="J253" s="163"/>
      <c r="K253" s="163"/>
      <c r="L253" s="163"/>
      <c r="M253" s="163"/>
      <c r="N253" s="163"/>
      <c r="O253" s="163"/>
      <c r="P253" s="163"/>
      <c r="Q253" s="163"/>
    </row>
    <row r="254" spans="1:17" ht="15.6">
      <c r="A254" s="161" t="s">
        <v>1259</v>
      </c>
      <c r="B254" s="161"/>
      <c r="C254" s="161"/>
      <c r="D254" s="161"/>
      <c r="E254" s="161"/>
      <c r="F254" s="161"/>
      <c r="G254" s="161"/>
      <c r="H254" s="161"/>
      <c r="I254" s="161"/>
      <c r="J254" s="161"/>
      <c r="K254" s="161"/>
      <c r="L254" s="161"/>
      <c r="M254" s="161"/>
      <c r="N254" s="161"/>
      <c r="O254" s="161"/>
      <c r="P254" s="161"/>
      <c r="Q254" s="161"/>
    </row>
    <row r="255" spans="1:17">
      <c r="A255" s="4" t="s">
        <v>1260</v>
      </c>
      <c r="B255" s="4"/>
      <c r="C255" s="4"/>
      <c r="D255" s="4"/>
      <c r="E255" s="4"/>
      <c r="F255" s="9"/>
      <c r="G255" s="9"/>
      <c r="H255" s="9"/>
      <c r="I255" s="9"/>
      <c r="J255" s="4"/>
      <c r="K255" s="4"/>
      <c r="L255" s="8"/>
      <c r="M255" s="9"/>
      <c r="N255" s="4"/>
      <c r="O255" s="4"/>
      <c r="P255" s="4"/>
      <c r="Q255" s="4"/>
    </row>
    <row r="256" spans="1:17">
      <c r="A256" s="4"/>
      <c r="B256" s="4"/>
      <c r="C256" s="4"/>
      <c r="D256" s="4"/>
      <c r="E256" s="4"/>
      <c r="F256" s="9"/>
      <c r="G256" s="9"/>
      <c r="H256" s="9"/>
      <c r="I256" s="9"/>
      <c r="J256" s="4"/>
      <c r="K256" s="4"/>
      <c r="L256" s="8"/>
      <c r="M256" s="9"/>
      <c r="N256" s="4"/>
      <c r="O256" s="4"/>
      <c r="P256" s="4"/>
      <c r="Q256" s="4"/>
    </row>
    <row r="257" spans="1:17">
      <c r="A257" s="4"/>
      <c r="B257" s="4"/>
      <c r="C257" s="4"/>
      <c r="D257" s="4"/>
      <c r="E257" s="4"/>
      <c r="F257" s="9"/>
      <c r="G257" s="9"/>
      <c r="H257" s="9"/>
      <c r="I257" s="9"/>
      <c r="J257" s="4"/>
      <c r="K257" s="4"/>
      <c r="L257" s="8"/>
      <c r="M257" s="9"/>
      <c r="N257" s="4"/>
      <c r="O257" s="4"/>
      <c r="P257" s="4"/>
      <c r="Q257" s="4"/>
    </row>
    <row r="258" spans="1:17" ht="15.6">
      <c r="A258" s="161" t="s">
        <v>1261</v>
      </c>
      <c r="B258" s="161"/>
      <c r="C258" s="161"/>
      <c r="D258" s="161"/>
      <c r="E258" s="161"/>
      <c r="F258" s="161"/>
      <c r="G258" s="161"/>
      <c r="H258" s="161"/>
      <c r="I258" s="161"/>
      <c r="J258" s="161"/>
      <c r="K258" s="161"/>
      <c r="L258" s="161"/>
      <c r="M258" s="161"/>
      <c r="N258" s="161"/>
      <c r="O258" s="161"/>
      <c r="P258" s="161"/>
      <c r="Q258" s="161"/>
    </row>
    <row r="259" spans="1:17" ht="57.6">
      <c r="A259" s="4" t="s">
        <v>1262</v>
      </c>
      <c r="B259" s="4" t="s">
        <v>1263</v>
      </c>
      <c r="C259" s="4" t="s">
        <v>1264</v>
      </c>
      <c r="D259" s="4" t="s">
        <v>1265</v>
      </c>
      <c r="E259" s="4" t="s">
        <v>628</v>
      </c>
      <c r="F259" s="9">
        <v>4</v>
      </c>
      <c r="G259" s="9">
        <v>2</v>
      </c>
      <c r="H259" s="9">
        <f>F259*G259</f>
        <v>8</v>
      </c>
      <c r="I259" s="9"/>
      <c r="J259" s="4"/>
      <c r="K259" s="4"/>
      <c r="L259" s="8"/>
      <c r="M259" s="9" t="s">
        <v>25</v>
      </c>
      <c r="N259" s="4" t="s">
        <v>1266</v>
      </c>
      <c r="O259" s="4"/>
      <c r="P259" s="4"/>
      <c r="Q259" s="4"/>
    </row>
    <row r="260" spans="1:17" ht="43.15">
      <c r="A260" s="4" t="s">
        <v>1267</v>
      </c>
      <c r="B260" s="4" t="s">
        <v>1268</v>
      </c>
      <c r="C260" s="4" t="s">
        <v>1269</v>
      </c>
      <c r="D260" s="4" t="s">
        <v>1270</v>
      </c>
      <c r="E260" s="4" t="s">
        <v>656</v>
      </c>
      <c r="F260" s="9">
        <v>4</v>
      </c>
      <c r="G260" s="9">
        <v>2</v>
      </c>
      <c r="H260" s="9">
        <f t="shared" ref="H260:H267" si="16">F260*G260</f>
        <v>8</v>
      </c>
      <c r="I260" s="9"/>
      <c r="J260" s="4"/>
      <c r="K260" s="4"/>
      <c r="L260" s="8"/>
      <c r="M260" s="9" t="s">
        <v>25</v>
      </c>
      <c r="N260" s="4" t="s">
        <v>1271</v>
      </c>
      <c r="O260" s="4"/>
      <c r="P260" s="4"/>
      <c r="Q260" s="4"/>
    </row>
    <row r="261" spans="1:17" ht="28.9">
      <c r="A261" s="4" t="s">
        <v>1272</v>
      </c>
      <c r="B261" s="4" t="s">
        <v>1273</v>
      </c>
      <c r="C261" s="4" t="s">
        <v>1842</v>
      </c>
      <c r="D261" s="4" t="s">
        <v>1275</v>
      </c>
      <c r="E261" s="4" t="s">
        <v>641</v>
      </c>
      <c r="F261" s="9">
        <v>3</v>
      </c>
      <c r="G261" s="9">
        <v>3</v>
      </c>
      <c r="H261" s="9">
        <f t="shared" si="16"/>
        <v>9</v>
      </c>
      <c r="I261" s="9"/>
      <c r="J261" s="4"/>
      <c r="K261" s="4"/>
      <c r="L261" s="8"/>
      <c r="M261" s="9" t="s">
        <v>25</v>
      </c>
      <c r="N261" s="4" t="s">
        <v>1276</v>
      </c>
      <c r="O261" s="4"/>
      <c r="P261" s="4"/>
      <c r="Q261" s="4"/>
    </row>
    <row r="262" spans="1:17" ht="28.9">
      <c r="A262" s="4" t="s">
        <v>1277</v>
      </c>
      <c r="B262" s="4" t="s">
        <v>1278</v>
      </c>
      <c r="C262" s="4" t="s">
        <v>1843</v>
      </c>
      <c r="D262" s="4" t="s">
        <v>1280</v>
      </c>
      <c r="E262" s="4" t="s">
        <v>613</v>
      </c>
      <c r="F262" s="9">
        <v>3</v>
      </c>
      <c r="G262" s="9">
        <v>3</v>
      </c>
      <c r="H262" s="9">
        <f t="shared" si="16"/>
        <v>9</v>
      </c>
      <c r="I262" s="9"/>
      <c r="J262" s="4"/>
      <c r="K262" s="4"/>
      <c r="L262" s="8"/>
      <c r="M262" s="9" t="s">
        <v>25</v>
      </c>
      <c r="N262" s="4" t="s">
        <v>1281</v>
      </c>
      <c r="O262" s="4"/>
      <c r="P262" s="4"/>
      <c r="Q262" s="4"/>
    </row>
    <row r="263" spans="1:17" ht="72">
      <c r="A263" s="4" t="s">
        <v>1282</v>
      </c>
      <c r="B263" s="4" t="s">
        <v>1283</v>
      </c>
      <c r="C263" s="4" t="s">
        <v>1284</v>
      </c>
      <c r="D263" s="4" t="s">
        <v>1285</v>
      </c>
      <c r="E263" s="4" t="s">
        <v>1286</v>
      </c>
      <c r="F263" s="9">
        <v>4</v>
      </c>
      <c r="G263" s="9">
        <v>4</v>
      </c>
      <c r="H263" s="9">
        <f t="shared" si="16"/>
        <v>16</v>
      </c>
      <c r="I263" s="9"/>
      <c r="J263" s="4"/>
      <c r="K263" s="4"/>
      <c r="L263" s="8"/>
      <c r="M263" s="9" t="s">
        <v>25</v>
      </c>
      <c r="N263" s="4" t="s">
        <v>1287</v>
      </c>
      <c r="O263" s="4"/>
      <c r="P263" s="4"/>
      <c r="Q263" s="4"/>
    </row>
    <row r="264" spans="1:17" ht="57.6">
      <c r="A264" s="4" t="s">
        <v>1288</v>
      </c>
      <c r="B264" s="4" t="s">
        <v>1289</v>
      </c>
      <c r="C264" s="4" t="s">
        <v>1290</v>
      </c>
      <c r="D264" s="4" t="s">
        <v>1291</v>
      </c>
      <c r="E264" s="4" t="s">
        <v>613</v>
      </c>
      <c r="F264" s="9">
        <v>4</v>
      </c>
      <c r="G264" s="9">
        <v>4</v>
      </c>
      <c r="H264" s="9">
        <f t="shared" si="16"/>
        <v>16</v>
      </c>
      <c r="I264" s="9"/>
      <c r="J264" s="4"/>
      <c r="K264" s="4"/>
      <c r="L264" s="8"/>
      <c r="M264" s="9" t="s">
        <v>25</v>
      </c>
      <c r="N264" s="4" t="s">
        <v>1292</v>
      </c>
      <c r="O264" s="4"/>
      <c r="P264" s="4"/>
      <c r="Q264" s="4"/>
    </row>
    <row r="265" spans="1:17" ht="57.6">
      <c r="A265" s="4" t="s">
        <v>1293</v>
      </c>
      <c r="B265" s="4" t="s">
        <v>1294</v>
      </c>
      <c r="C265" s="4" t="s">
        <v>1295</v>
      </c>
      <c r="D265" s="4" t="s">
        <v>1296</v>
      </c>
      <c r="E265" s="4" t="s">
        <v>1297</v>
      </c>
      <c r="F265" s="9">
        <v>3</v>
      </c>
      <c r="G265" s="9">
        <v>1</v>
      </c>
      <c r="H265" s="9">
        <f t="shared" si="16"/>
        <v>3</v>
      </c>
      <c r="I265" s="9"/>
      <c r="J265" s="4"/>
      <c r="K265" s="4"/>
      <c r="L265" s="8"/>
      <c r="M265" s="9" t="s">
        <v>60</v>
      </c>
      <c r="N265" s="4" t="s">
        <v>1298</v>
      </c>
      <c r="O265" s="4"/>
      <c r="P265" s="4"/>
      <c r="Q265" s="4"/>
    </row>
    <row r="266" spans="1:17" ht="57.6">
      <c r="A266" s="4" t="s">
        <v>1299</v>
      </c>
      <c r="B266" s="4" t="s">
        <v>1300</v>
      </c>
      <c r="C266" s="4" t="s">
        <v>1844</v>
      </c>
      <c r="D266" s="4" t="s">
        <v>1302</v>
      </c>
      <c r="E266" s="4" t="s">
        <v>1303</v>
      </c>
      <c r="F266" s="9">
        <v>3</v>
      </c>
      <c r="G266" s="9">
        <v>2</v>
      </c>
      <c r="H266" s="9">
        <f t="shared" si="16"/>
        <v>6</v>
      </c>
      <c r="I266" s="9"/>
      <c r="J266" s="4"/>
      <c r="K266" s="4"/>
      <c r="L266" s="8"/>
      <c r="M266" s="9" t="s">
        <v>1304</v>
      </c>
      <c r="N266" s="4" t="s">
        <v>1305</v>
      </c>
      <c r="O266" s="4"/>
      <c r="P266" s="4"/>
      <c r="Q266" s="4"/>
    </row>
    <row r="267" spans="1:17" ht="28.9">
      <c r="A267" s="4" t="s">
        <v>1306</v>
      </c>
      <c r="B267" s="4" t="s">
        <v>1307</v>
      </c>
      <c r="C267" s="4" t="s">
        <v>1308</v>
      </c>
      <c r="D267" s="4" t="s">
        <v>1845</v>
      </c>
      <c r="E267" s="4" t="s">
        <v>634</v>
      </c>
      <c r="F267" s="9">
        <v>5</v>
      </c>
      <c r="G267" s="9">
        <v>4</v>
      </c>
      <c r="H267" s="9">
        <f t="shared" si="16"/>
        <v>20</v>
      </c>
      <c r="I267" s="9"/>
      <c r="J267" s="4"/>
      <c r="K267" s="4"/>
      <c r="L267" s="8"/>
      <c r="M267" s="9" t="s">
        <v>25</v>
      </c>
      <c r="N267" s="4" t="s">
        <v>1310</v>
      </c>
      <c r="O267" s="4"/>
      <c r="P267" s="4"/>
      <c r="Q267" s="4"/>
    </row>
    <row r="268" spans="1:17">
      <c r="A268" s="4"/>
      <c r="B268" s="4" t="s">
        <v>1311</v>
      </c>
      <c r="C268" s="4"/>
      <c r="D268" s="4"/>
      <c r="E268" s="4"/>
      <c r="F268" s="9"/>
      <c r="G268" s="9"/>
      <c r="H268" s="9"/>
      <c r="I268" s="9"/>
      <c r="J268" s="4"/>
      <c r="K268" s="4"/>
      <c r="L268" s="8"/>
      <c r="M268" s="9"/>
      <c r="N268" s="4"/>
      <c r="O268" s="4"/>
      <c r="P268" s="4"/>
      <c r="Q268" s="4"/>
    </row>
    <row r="269" spans="1:17">
      <c r="A269" s="4"/>
      <c r="B269" s="4"/>
      <c r="C269" s="4"/>
      <c r="D269" s="4"/>
      <c r="E269" s="4"/>
      <c r="F269" s="9"/>
      <c r="G269" s="9"/>
      <c r="H269" s="9"/>
      <c r="I269" s="9"/>
      <c r="J269" s="4"/>
      <c r="K269" s="4"/>
      <c r="L269" s="8"/>
      <c r="M269" s="9"/>
      <c r="N269" s="4"/>
      <c r="O269" s="4"/>
      <c r="P269" s="4"/>
      <c r="Q269" s="4"/>
    </row>
    <row r="270" spans="1:17">
      <c r="A270" s="4"/>
      <c r="B270" s="4"/>
      <c r="C270" s="4"/>
      <c r="D270" s="4"/>
      <c r="E270" s="4"/>
      <c r="F270" s="9"/>
      <c r="G270" s="9"/>
      <c r="H270" s="9"/>
      <c r="I270" s="9"/>
      <c r="J270" s="4"/>
      <c r="K270" s="4"/>
      <c r="L270" s="8"/>
      <c r="M270" s="9"/>
      <c r="N270" s="4"/>
      <c r="O270" s="4"/>
      <c r="P270" s="4"/>
      <c r="Q270" s="4"/>
    </row>
    <row r="271" spans="1:17">
      <c r="A271" s="4"/>
      <c r="B271" s="4"/>
      <c r="C271" s="4"/>
      <c r="D271" s="4"/>
      <c r="E271" s="4"/>
      <c r="F271" s="9"/>
      <c r="G271" s="9"/>
      <c r="H271" s="9"/>
      <c r="I271" s="9"/>
      <c r="J271" s="4"/>
      <c r="K271" s="4"/>
      <c r="L271" s="8"/>
      <c r="M271" s="9"/>
      <c r="N271" s="4"/>
      <c r="O271" s="4"/>
      <c r="P271" s="4"/>
      <c r="Q271" s="4"/>
    </row>
    <row r="272" spans="1:17" ht="15.6">
      <c r="A272" s="161" t="s">
        <v>1312</v>
      </c>
      <c r="B272" s="161"/>
      <c r="C272" s="161"/>
      <c r="D272" s="161"/>
      <c r="E272" s="161"/>
      <c r="F272" s="161"/>
      <c r="G272" s="161"/>
      <c r="H272" s="161"/>
      <c r="I272" s="161"/>
      <c r="J272" s="161"/>
      <c r="K272" s="161"/>
      <c r="L272" s="161"/>
      <c r="M272" s="161"/>
      <c r="N272" s="161"/>
      <c r="O272" s="161"/>
      <c r="P272" s="161"/>
      <c r="Q272" s="161"/>
    </row>
    <row r="273" spans="1:17" ht="28.9">
      <c r="A273" s="4" t="s">
        <v>1313</v>
      </c>
      <c r="B273" s="4" t="s">
        <v>1314</v>
      </c>
      <c r="C273" s="4" t="s">
        <v>1315</v>
      </c>
      <c r="D273" s="4" t="s">
        <v>1316</v>
      </c>
      <c r="E273" s="52" t="s">
        <v>664</v>
      </c>
      <c r="F273" s="9">
        <v>5</v>
      </c>
      <c r="G273" s="9">
        <v>1</v>
      </c>
      <c r="H273" s="9">
        <f>F273*G273</f>
        <v>5</v>
      </c>
      <c r="I273" s="9" t="s">
        <v>72</v>
      </c>
      <c r="J273" s="4" t="s">
        <v>59</v>
      </c>
      <c r="K273" s="4" t="s">
        <v>59</v>
      </c>
      <c r="L273" s="8" t="s">
        <v>24</v>
      </c>
      <c r="M273" s="9" t="s">
        <v>60</v>
      </c>
      <c r="N273" s="4" t="s">
        <v>1317</v>
      </c>
      <c r="O273" s="4"/>
      <c r="P273" s="4"/>
      <c r="Q273" s="4"/>
    </row>
    <row r="274" spans="1:17" ht="28.9">
      <c r="A274" s="4" t="s">
        <v>1318</v>
      </c>
      <c r="B274" s="4" t="s">
        <v>1319</v>
      </c>
      <c r="C274" s="4" t="s">
        <v>1320</v>
      </c>
      <c r="D274" s="4" t="s">
        <v>1321</v>
      </c>
      <c r="E274" s="4" t="s">
        <v>1322</v>
      </c>
      <c r="F274" s="9">
        <v>3</v>
      </c>
      <c r="G274" s="9">
        <v>1</v>
      </c>
      <c r="H274" s="9">
        <f t="shared" ref="H274:H287" si="17">F274*G274</f>
        <v>3</v>
      </c>
      <c r="I274" s="9" t="s">
        <v>72</v>
      </c>
      <c r="J274" s="4" t="s">
        <v>718</v>
      </c>
      <c r="K274" s="4" t="s">
        <v>718</v>
      </c>
      <c r="L274" s="8" t="s">
        <v>86</v>
      </c>
      <c r="M274" s="9" t="s">
        <v>60</v>
      </c>
      <c r="N274" s="4" t="s">
        <v>1323</v>
      </c>
      <c r="O274" s="4"/>
      <c r="P274" s="4"/>
      <c r="Q274" s="4"/>
    </row>
    <row r="275" spans="1:17" ht="28.9">
      <c r="A275" s="4" t="s">
        <v>1324</v>
      </c>
      <c r="B275" s="4" t="s">
        <v>1325</v>
      </c>
      <c r="C275" s="4" t="s">
        <v>1326</v>
      </c>
      <c r="D275" s="4" t="s">
        <v>1327</v>
      </c>
      <c r="E275" s="4" t="s">
        <v>1322</v>
      </c>
      <c r="F275" s="9">
        <v>3</v>
      </c>
      <c r="G275" s="9">
        <v>1</v>
      </c>
      <c r="H275" s="9">
        <f t="shared" si="17"/>
        <v>3</v>
      </c>
      <c r="I275" s="9" t="s">
        <v>72</v>
      </c>
      <c r="J275" s="4" t="s">
        <v>1328</v>
      </c>
      <c r="K275" s="4" t="s">
        <v>1329</v>
      </c>
      <c r="L275" s="8" t="s">
        <v>86</v>
      </c>
      <c r="M275" s="9" t="s">
        <v>60</v>
      </c>
      <c r="N275" s="4" t="s">
        <v>1330</v>
      </c>
      <c r="O275" s="4"/>
      <c r="P275" s="4"/>
      <c r="Q275" s="4"/>
    </row>
    <row r="276" spans="1:17" ht="28.9">
      <c r="A276" s="4" t="s">
        <v>1331</v>
      </c>
      <c r="B276" s="4" t="s">
        <v>1332</v>
      </c>
      <c r="C276" s="4" t="s">
        <v>1333</v>
      </c>
      <c r="D276" s="4" t="s">
        <v>1334</v>
      </c>
      <c r="E276" s="4" t="s">
        <v>1335</v>
      </c>
      <c r="F276" s="9">
        <v>3</v>
      </c>
      <c r="G276" s="9">
        <v>1</v>
      </c>
      <c r="H276" s="9">
        <f t="shared" si="17"/>
        <v>3</v>
      </c>
      <c r="I276" s="9" t="s">
        <v>72</v>
      </c>
      <c r="J276" s="4" t="s">
        <v>718</v>
      </c>
      <c r="K276" s="4" t="s">
        <v>718</v>
      </c>
      <c r="L276" s="8" t="s">
        <v>86</v>
      </c>
      <c r="M276" s="9" t="s">
        <v>60</v>
      </c>
      <c r="N276" s="4" t="s">
        <v>1323</v>
      </c>
      <c r="O276" s="4"/>
      <c r="P276" s="4"/>
      <c r="Q276" s="4"/>
    </row>
    <row r="277" spans="1:17">
      <c r="A277" s="4" t="s">
        <v>1336</v>
      </c>
      <c r="B277" s="4" t="s">
        <v>1337</v>
      </c>
      <c r="C277" s="4" t="s">
        <v>1338</v>
      </c>
      <c r="D277" s="4"/>
      <c r="E277" s="4"/>
      <c r="F277" s="9"/>
      <c r="G277" s="9"/>
      <c r="H277" s="9"/>
      <c r="I277" s="9"/>
      <c r="J277" s="4" t="s">
        <v>1328</v>
      </c>
      <c r="K277" s="4" t="s">
        <v>1329</v>
      </c>
      <c r="L277" s="8" t="s">
        <v>86</v>
      </c>
      <c r="M277" s="9"/>
      <c r="N277" s="4"/>
      <c r="O277" s="4"/>
      <c r="P277" s="4"/>
      <c r="Q277" s="4"/>
    </row>
    <row r="278" spans="1:17" ht="28.9">
      <c r="A278" s="4" t="s">
        <v>1340</v>
      </c>
      <c r="B278" s="4" t="s">
        <v>1341</v>
      </c>
      <c r="C278" s="37" t="s">
        <v>1342</v>
      </c>
      <c r="D278" s="4" t="s">
        <v>1339</v>
      </c>
      <c r="E278" s="4" t="s">
        <v>1335</v>
      </c>
      <c r="F278" s="9">
        <v>3</v>
      </c>
      <c r="G278" s="9">
        <v>1</v>
      </c>
      <c r="H278" s="9">
        <f t="shared" si="17"/>
        <v>3</v>
      </c>
      <c r="I278" s="9" t="s">
        <v>72</v>
      </c>
      <c r="J278" s="4" t="s">
        <v>1345</v>
      </c>
      <c r="K278" s="4" t="s">
        <v>1345</v>
      </c>
      <c r="L278" s="8" t="s">
        <v>86</v>
      </c>
      <c r="M278" s="9" t="s">
        <v>60</v>
      </c>
      <c r="N278" s="4" t="s">
        <v>1330</v>
      </c>
      <c r="O278" s="4"/>
      <c r="P278" s="4"/>
      <c r="Q278" s="4"/>
    </row>
    <row r="279" spans="1:17" ht="28.9">
      <c r="A279" s="4" t="s">
        <v>1346</v>
      </c>
      <c r="B279" s="4" t="s">
        <v>1347</v>
      </c>
      <c r="C279" s="37" t="s">
        <v>1348</v>
      </c>
      <c r="D279" s="4" t="s">
        <v>1343</v>
      </c>
      <c r="E279" s="4" t="s">
        <v>1344</v>
      </c>
      <c r="F279" s="9">
        <v>4</v>
      </c>
      <c r="G279" s="9">
        <v>1</v>
      </c>
      <c r="H279" s="9">
        <f t="shared" si="17"/>
        <v>4</v>
      </c>
      <c r="I279" s="9" t="s">
        <v>72</v>
      </c>
      <c r="J279" s="4" t="s">
        <v>1345</v>
      </c>
      <c r="K279" s="4" t="s">
        <v>1345</v>
      </c>
      <c r="L279" s="8" t="s">
        <v>80</v>
      </c>
      <c r="M279" s="9" t="s">
        <v>60</v>
      </c>
      <c r="N279" s="4" t="s">
        <v>1323</v>
      </c>
      <c r="O279" s="4"/>
      <c r="P279" s="4"/>
      <c r="Q279" s="4"/>
    </row>
    <row r="280" spans="1:17" ht="28.9">
      <c r="A280" s="4" t="s">
        <v>1351</v>
      </c>
      <c r="B280" s="4" t="s">
        <v>1352</v>
      </c>
      <c r="C280" s="76" t="s">
        <v>1353</v>
      </c>
      <c r="J280" s="4" t="s">
        <v>59</v>
      </c>
      <c r="K280" s="4" t="s">
        <v>59</v>
      </c>
      <c r="L280" s="8" t="s">
        <v>24</v>
      </c>
      <c r="M280" s="9"/>
      <c r="N280" s="4"/>
      <c r="O280" s="4"/>
      <c r="P280" s="4"/>
      <c r="Q280" s="4"/>
    </row>
    <row r="281" spans="1:17" ht="28.9">
      <c r="A281" s="4" t="s">
        <v>1356</v>
      </c>
      <c r="B281" s="4" t="s">
        <v>1357</v>
      </c>
      <c r="C281" s="4" t="s">
        <v>1358</v>
      </c>
      <c r="D281" s="4" t="s">
        <v>1349</v>
      </c>
      <c r="E281" s="4" t="s">
        <v>1350</v>
      </c>
      <c r="F281" s="9">
        <v>4</v>
      </c>
      <c r="G281" s="9">
        <v>1</v>
      </c>
      <c r="H281" s="9">
        <f t="shared" si="17"/>
        <v>4</v>
      </c>
      <c r="I281" s="9" t="s">
        <v>72</v>
      </c>
      <c r="J281" s="4" t="s">
        <v>59</v>
      </c>
      <c r="K281" s="4" t="s">
        <v>59</v>
      </c>
      <c r="L281" s="8" t="s">
        <v>24</v>
      </c>
      <c r="M281" s="9" t="s">
        <v>60</v>
      </c>
      <c r="N281" s="4" t="s">
        <v>1330</v>
      </c>
      <c r="O281" s="4"/>
      <c r="P281" s="4"/>
      <c r="Q281" s="4"/>
    </row>
    <row r="282" spans="1:17">
      <c r="A282" s="4" t="s">
        <v>1360</v>
      </c>
      <c r="B282" s="4" t="s">
        <v>1361</v>
      </c>
      <c r="C282" s="4" t="s">
        <v>1362</v>
      </c>
      <c r="D282" s="4"/>
      <c r="E282" s="4"/>
      <c r="F282" s="9"/>
      <c r="G282" s="9"/>
      <c r="H282" s="9"/>
      <c r="I282" s="9"/>
      <c r="J282" s="4" t="s">
        <v>59</v>
      </c>
      <c r="K282" s="4" t="s">
        <v>59</v>
      </c>
      <c r="L282" s="8" t="s">
        <v>24</v>
      </c>
      <c r="M282" s="9"/>
      <c r="N282" s="4"/>
      <c r="O282" s="4"/>
      <c r="P282" s="4"/>
      <c r="Q282" s="4"/>
    </row>
    <row r="283" spans="1:17">
      <c r="A283" s="4" t="s">
        <v>1365</v>
      </c>
      <c r="B283" s="4" t="s">
        <v>1366</v>
      </c>
      <c r="C283" s="4" t="s">
        <v>1367</v>
      </c>
      <c r="D283" s="4"/>
      <c r="E283" s="4"/>
      <c r="F283" s="9"/>
      <c r="G283" s="9"/>
      <c r="H283" s="9"/>
      <c r="I283" s="9"/>
      <c r="J283" s="4" t="s">
        <v>59</v>
      </c>
      <c r="K283" s="4" t="s">
        <v>59</v>
      </c>
      <c r="L283" s="8" t="s">
        <v>24</v>
      </c>
      <c r="M283" s="9"/>
      <c r="N283" s="4"/>
      <c r="O283" s="4"/>
      <c r="P283" s="4"/>
      <c r="Q283" s="4"/>
    </row>
    <row r="284" spans="1:17" ht="28.9">
      <c r="A284" s="85" t="s">
        <v>1371</v>
      </c>
      <c r="B284" s="85" t="s">
        <v>1372</v>
      </c>
      <c r="C284" s="95" t="s">
        <v>1373</v>
      </c>
      <c r="D284" s="4" t="s">
        <v>1368</v>
      </c>
      <c r="E284" s="4" t="s">
        <v>1369</v>
      </c>
      <c r="F284" s="9">
        <v>4</v>
      </c>
      <c r="G284" s="9">
        <v>1</v>
      </c>
      <c r="H284" s="9">
        <f t="shared" si="17"/>
        <v>4</v>
      </c>
      <c r="I284" s="9" t="s">
        <v>72</v>
      </c>
      <c r="J284" s="122" t="s">
        <v>1375</v>
      </c>
      <c r="K284" s="58" t="s">
        <v>1376</v>
      </c>
      <c r="L284" s="55" t="s">
        <v>24</v>
      </c>
      <c r="M284" s="9" t="s">
        <v>25</v>
      </c>
      <c r="N284" s="4" t="s">
        <v>1370</v>
      </c>
      <c r="O284" s="4"/>
      <c r="P284" s="4"/>
      <c r="Q284" s="4"/>
    </row>
    <row r="285" spans="1:17" ht="28.9">
      <c r="A285" s="76" t="s">
        <v>1378</v>
      </c>
      <c r="B285" s="76" t="s">
        <v>1379</v>
      </c>
      <c r="C285" s="88" t="s">
        <v>1380</v>
      </c>
      <c r="D285" s="4" t="s">
        <v>1354</v>
      </c>
      <c r="E285" s="4" t="s">
        <v>1846</v>
      </c>
      <c r="F285" s="9">
        <v>5</v>
      </c>
      <c r="G285" s="9">
        <v>1</v>
      </c>
      <c r="H285" s="9">
        <f t="shared" si="17"/>
        <v>5</v>
      </c>
      <c r="I285" s="9" t="s">
        <v>72</v>
      </c>
      <c r="J285" s="88" t="s">
        <v>1382</v>
      </c>
      <c r="K285" s="88" t="s">
        <v>1382</v>
      </c>
      <c r="L285" s="91" t="s">
        <v>24</v>
      </c>
      <c r="M285" s="9" t="s">
        <v>60</v>
      </c>
      <c r="N285" s="4" t="s">
        <v>1847</v>
      </c>
      <c r="O285" s="4"/>
      <c r="P285" s="4"/>
      <c r="Q285" s="4"/>
    </row>
    <row r="286" spans="1:17">
      <c r="A286" s="92" t="s">
        <v>1384</v>
      </c>
      <c r="B286" s="92" t="s">
        <v>1385</v>
      </c>
      <c r="C286" s="92" t="s">
        <v>1386</v>
      </c>
      <c r="D286" s="4"/>
      <c r="E286" s="4"/>
      <c r="F286" s="9"/>
      <c r="G286" s="9"/>
      <c r="H286" s="9"/>
      <c r="I286" s="9"/>
      <c r="J286" s="92" t="s">
        <v>1388</v>
      </c>
      <c r="K286" s="92" t="s">
        <v>1389</v>
      </c>
      <c r="L286" s="55" t="s">
        <v>24</v>
      </c>
      <c r="M286" s="9"/>
      <c r="N286" s="4"/>
      <c r="O286" s="4"/>
      <c r="P286" s="4"/>
      <c r="Q286" s="4"/>
    </row>
    <row r="287" spans="1:17" ht="28.9">
      <c r="A287" s="4" t="s">
        <v>1391</v>
      </c>
      <c r="B287" s="4" t="s">
        <v>1126</v>
      </c>
      <c r="C287" s="37" t="s">
        <v>1392</v>
      </c>
      <c r="D287" s="4" t="s">
        <v>1363</v>
      </c>
      <c r="E287" s="4" t="s">
        <v>497</v>
      </c>
      <c r="F287" s="9">
        <v>5</v>
      </c>
      <c r="G287" s="9">
        <v>1</v>
      </c>
      <c r="H287" s="9">
        <f t="shared" si="17"/>
        <v>5</v>
      </c>
      <c r="I287" s="9" t="s">
        <v>72</v>
      </c>
      <c r="J287" s="37" t="s">
        <v>1394</v>
      </c>
      <c r="K287" s="37" t="s">
        <v>1395</v>
      </c>
      <c r="L287" s="55" t="s">
        <v>24</v>
      </c>
      <c r="M287" s="9" t="s">
        <v>60</v>
      </c>
      <c r="N287" s="4" t="s">
        <v>1364</v>
      </c>
      <c r="O287" s="4"/>
      <c r="P287" s="4"/>
      <c r="Q287" s="4"/>
    </row>
    <row r="288" spans="1:17" ht="15.6">
      <c r="A288" s="161" t="s">
        <v>1397</v>
      </c>
      <c r="B288" s="161"/>
      <c r="C288" s="161"/>
      <c r="D288" s="161"/>
      <c r="E288" s="161"/>
      <c r="F288" s="161"/>
      <c r="G288" s="161"/>
      <c r="H288" s="161"/>
      <c r="I288" s="161"/>
      <c r="J288" s="161"/>
      <c r="K288" s="161"/>
      <c r="L288" s="161"/>
      <c r="M288" s="161"/>
      <c r="N288" s="161"/>
      <c r="O288" s="161"/>
      <c r="P288" s="161"/>
      <c r="Q288" s="161"/>
    </row>
    <row r="289" spans="1:17" ht="33.950000000000003" customHeight="1">
      <c r="A289" s="4" t="s">
        <v>1398</v>
      </c>
      <c r="B289" s="4" t="s">
        <v>1399</v>
      </c>
      <c r="C289" s="50" t="s">
        <v>1848</v>
      </c>
      <c r="D289" s="50" t="s">
        <v>1401</v>
      </c>
      <c r="E289" s="50"/>
      <c r="F289" s="153"/>
      <c r="G289" s="153"/>
      <c r="H289" s="153">
        <v>0</v>
      </c>
      <c r="I289" s="153"/>
      <c r="J289" s="159" t="s">
        <v>790</v>
      </c>
      <c r="K289" s="159" t="s">
        <v>790</v>
      </c>
      <c r="L289" s="8" t="s">
        <v>73</v>
      </c>
      <c r="M289" s="9" t="s">
        <v>25</v>
      </c>
      <c r="N289" s="4" t="s">
        <v>1402</v>
      </c>
      <c r="O289" s="4"/>
      <c r="P289" s="4"/>
      <c r="Q289" s="4"/>
    </row>
    <row r="290" spans="1:17" ht="35.1" customHeight="1">
      <c r="A290" s="4" t="s">
        <v>1403</v>
      </c>
      <c r="B290" s="4" t="s">
        <v>1404</v>
      </c>
      <c r="C290" s="50" t="s">
        <v>1849</v>
      </c>
      <c r="D290" s="50" t="s">
        <v>1406</v>
      </c>
      <c r="E290" s="50"/>
      <c r="F290" s="153"/>
      <c r="G290" s="153"/>
      <c r="H290" s="153">
        <v>0</v>
      </c>
      <c r="I290" s="153"/>
      <c r="J290" s="159" t="s">
        <v>790</v>
      </c>
      <c r="K290" s="159" t="s">
        <v>790</v>
      </c>
      <c r="L290" s="8" t="s">
        <v>73</v>
      </c>
      <c r="M290" s="9" t="s">
        <v>25</v>
      </c>
      <c r="N290" s="4" t="s">
        <v>1407</v>
      </c>
      <c r="O290" s="4"/>
      <c r="P290" s="4"/>
      <c r="Q290" s="4"/>
    </row>
    <row r="291" spans="1:17" ht="33.950000000000003" customHeight="1">
      <c r="A291" s="4" t="s">
        <v>1408</v>
      </c>
      <c r="B291" s="4" t="s">
        <v>1409</v>
      </c>
      <c r="C291" s="50" t="s">
        <v>1410</v>
      </c>
      <c r="D291" s="50"/>
      <c r="E291" s="50"/>
      <c r="F291" s="153"/>
      <c r="G291" s="153"/>
      <c r="H291" s="153"/>
      <c r="I291" s="153"/>
      <c r="J291" s="50" t="s">
        <v>1833</v>
      </c>
      <c r="K291" s="159" t="s">
        <v>790</v>
      </c>
      <c r="L291" s="8" t="s">
        <v>73</v>
      </c>
      <c r="M291" s="9" t="s">
        <v>50</v>
      </c>
      <c r="N291" s="4" t="s">
        <v>1411</v>
      </c>
      <c r="O291" s="4"/>
      <c r="P291" s="4"/>
      <c r="Q291" s="4"/>
    </row>
    <row r="292" spans="1:17" ht="35.1" customHeight="1">
      <c r="A292" s="4" t="s">
        <v>1412</v>
      </c>
      <c r="B292" s="4" t="s">
        <v>1413</v>
      </c>
      <c r="C292" s="50" t="s">
        <v>1850</v>
      </c>
      <c r="D292" s="50" t="s">
        <v>1415</v>
      </c>
      <c r="E292" s="50"/>
      <c r="F292" s="153"/>
      <c r="G292" s="153"/>
      <c r="H292" s="153">
        <f t="shared" ref="H292" si="18">F292*G292</f>
        <v>0</v>
      </c>
      <c r="I292" s="153"/>
      <c r="J292" s="159" t="s">
        <v>790</v>
      </c>
      <c r="K292" s="159" t="s">
        <v>790</v>
      </c>
      <c r="L292" s="8" t="s">
        <v>73</v>
      </c>
      <c r="M292" s="9" t="s">
        <v>25</v>
      </c>
      <c r="N292" s="4" t="s">
        <v>1416</v>
      </c>
      <c r="O292" s="4"/>
      <c r="P292" s="4"/>
      <c r="Q292" s="4"/>
    </row>
    <row r="293" spans="1:17" ht="35.1" customHeight="1">
      <c r="A293" s="4" t="s">
        <v>1417</v>
      </c>
      <c r="B293" s="4" t="s">
        <v>1418</v>
      </c>
      <c r="C293" s="50" t="s">
        <v>1851</v>
      </c>
      <c r="D293" s="50"/>
      <c r="E293" s="50"/>
      <c r="F293" s="153"/>
      <c r="G293" s="153"/>
      <c r="H293" s="153"/>
      <c r="I293" s="153"/>
      <c r="J293" s="159" t="s">
        <v>790</v>
      </c>
      <c r="K293" s="159" t="s">
        <v>790</v>
      </c>
      <c r="L293" s="8" t="s">
        <v>73</v>
      </c>
      <c r="M293" s="9" t="s">
        <v>25</v>
      </c>
      <c r="N293" s="4" t="s">
        <v>1420</v>
      </c>
      <c r="O293" s="4"/>
      <c r="P293" s="4"/>
      <c r="Q293" s="4"/>
    </row>
    <row r="294" spans="1:17" ht="35.1" customHeight="1">
      <c r="A294" s="4" t="s">
        <v>1421</v>
      </c>
      <c r="B294" s="4" t="s">
        <v>1422</v>
      </c>
      <c r="C294" s="50" t="s">
        <v>1852</v>
      </c>
      <c r="D294" s="50" t="s">
        <v>1424</v>
      </c>
      <c r="E294" s="50"/>
      <c r="F294" s="153"/>
      <c r="G294" s="153"/>
      <c r="H294" s="153"/>
      <c r="I294" s="153"/>
      <c r="J294" s="159" t="s">
        <v>790</v>
      </c>
      <c r="K294" s="159" t="s">
        <v>790</v>
      </c>
      <c r="L294" s="8" t="s">
        <v>73</v>
      </c>
      <c r="M294" s="9" t="s">
        <v>25</v>
      </c>
      <c r="N294" s="4" t="s">
        <v>1425</v>
      </c>
      <c r="O294" s="4"/>
      <c r="P294" s="4"/>
      <c r="Q294" s="4"/>
    </row>
    <row r="295" spans="1:17">
      <c r="A295" s="4"/>
      <c r="B295" s="4"/>
      <c r="C295" s="4"/>
      <c r="D295" s="4"/>
      <c r="E295" s="4"/>
      <c r="F295" s="9"/>
      <c r="G295" s="9"/>
      <c r="H295" s="9"/>
      <c r="I295" s="9"/>
      <c r="J295" s="4"/>
      <c r="K295" s="4"/>
      <c r="L295" s="9"/>
      <c r="M295" s="9"/>
      <c r="N295" s="4"/>
      <c r="O295" s="4"/>
      <c r="P295" s="4"/>
      <c r="Q295" s="4"/>
    </row>
    <row r="296" spans="1:17" ht="15.6">
      <c r="A296" s="161" t="s">
        <v>1426</v>
      </c>
      <c r="B296" s="161"/>
      <c r="C296" s="161"/>
      <c r="D296" s="161"/>
      <c r="E296" s="161"/>
      <c r="F296" s="161"/>
      <c r="G296" s="161"/>
      <c r="H296" s="161"/>
      <c r="I296" s="161"/>
      <c r="J296" s="161"/>
      <c r="K296" s="161"/>
      <c r="L296" s="161"/>
      <c r="M296" s="161"/>
      <c r="N296" s="161"/>
      <c r="O296" s="161"/>
      <c r="P296" s="161"/>
      <c r="Q296" s="161"/>
    </row>
    <row r="297" spans="1:17" ht="43.15">
      <c r="A297" s="4" t="s">
        <v>1427</v>
      </c>
      <c r="B297" s="4" t="s">
        <v>1428</v>
      </c>
      <c r="C297" s="4" t="s">
        <v>1429</v>
      </c>
      <c r="D297" s="4" t="s">
        <v>1430</v>
      </c>
      <c r="E297" s="4" t="s">
        <v>867</v>
      </c>
      <c r="F297" s="9">
        <v>3</v>
      </c>
      <c r="G297" s="9">
        <v>2</v>
      </c>
      <c r="H297" s="9">
        <f>F297*G297</f>
        <v>6</v>
      </c>
      <c r="I297" s="9" t="s">
        <v>72</v>
      </c>
      <c r="J297" s="51">
        <v>2.6</v>
      </c>
      <c r="K297" s="51" t="s">
        <v>790</v>
      </c>
      <c r="L297" s="8" t="s">
        <v>80</v>
      </c>
      <c r="M297" s="9" t="s">
        <v>50</v>
      </c>
      <c r="N297" s="4" t="s">
        <v>1431</v>
      </c>
      <c r="O297" s="4"/>
      <c r="P297" s="4"/>
      <c r="Q297" s="4"/>
    </row>
    <row r="298" spans="1:17" ht="43.15">
      <c r="A298" s="4" t="s">
        <v>1432</v>
      </c>
      <c r="B298" s="62" t="s">
        <v>1433</v>
      </c>
      <c r="C298" s="63" t="s">
        <v>1434</v>
      </c>
      <c r="D298" s="4" t="s">
        <v>1435</v>
      </c>
      <c r="E298" s="4" t="s">
        <v>867</v>
      </c>
      <c r="F298" s="9">
        <v>5</v>
      </c>
      <c r="G298" s="9">
        <v>2</v>
      </c>
      <c r="H298" s="9">
        <f>F298*G298</f>
        <v>10</v>
      </c>
      <c r="I298" s="9" t="s">
        <v>72</v>
      </c>
      <c r="J298" s="51" t="s">
        <v>790</v>
      </c>
      <c r="K298" s="51" t="s">
        <v>1436</v>
      </c>
      <c r="L298" s="8" t="s">
        <v>86</v>
      </c>
      <c r="M298" s="9" t="s">
        <v>87</v>
      </c>
      <c r="N298" s="4" t="s">
        <v>1437</v>
      </c>
      <c r="O298" s="4"/>
      <c r="P298" s="4"/>
      <c r="Q298" s="4"/>
    </row>
    <row r="299" spans="1:17" ht="28.9">
      <c r="A299" s="4" t="s">
        <v>1438</v>
      </c>
      <c r="B299" s="62" t="s">
        <v>1439</v>
      </c>
      <c r="C299" s="63" t="s">
        <v>1853</v>
      </c>
      <c r="D299" s="4" t="s">
        <v>1441</v>
      </c>
      <c r="E299" s="4" t="s">
        <v>867</v>
      </c>
      <c r="F299" s="9">
        <v>1</v>
      </c>
      <c r="G299" s="9">
        <v>1</v>
      </c>
      <c r="H299" s="9">
        <f>F299*G299</f>
        <v>1</v>
      </c>
      <c r="I299" s="9" t="s">
        <v>72</v>
      </c>
      <c r="J299" s="51">
        <v>2</v>
      </c>
      <c r="K299" s="51">
        <v>2</v>
      </c>
      <c r="L299" s="8" t="s">
        <v>86</v>
      </c>
      <c r="M299" s="9" t="s">
        <v>198</v>
      </c>
      <c r="N299" s="4" t="s">
        <v>1442</v>
      </c>
      <c r="O299" s="4"/>
      <c r="P299" s="4"/>
      <c r="Q299" s="4"/>
    </row>
    <row r="300" spans="1:17" ht="43.15">
      <c r="A300" s="4" t="s">
        <v>1443</v>
      </c>
      <c r="B300" s="62" t="s">
        <v>1444</v>
      </c>
      <c r="C300" s="63" t="s">
        <v>1445</v>
      </c>
      <c r="D300" s="4" t="s">
        <v>1446</v>
      </c>
      <c r="E300" s="4" t="s">
        <v>867</v>
      </c>
      <c r="F300" s="9">
        <v>1</v>
      </c>
      <c r="G300" s="9">
        <v>1</v>
      </c>
      <c r="H300" s="9">
        <f>F300*G300</f>
        <v>1</v>
      </c>
      <c r="I300" s="9" t="s">
        <v>72</v>
      </c>
      <c r="J300" s="51">
        <v>10</v>
      </c>
      <c r="K300" s="51">
        <v>24</v>
      </c>
      <c r="L300" s="8" t="s">
        <v>86</v>
      </c>
      <c r="M300" s="9" t="s">
        <v>238</v>
      </c>
      <c r="N300" s="4" t="s">
        <v>1431</v>
      </c>
      <c r="O300" s="4"/>
      <c r="P300" s="4"/>
      <c r="Q300" s="4"/>
    </row>
    <row r="301" spans="1:17" ht="28.9">
      <c r="A301" s="4" t="s">
        <v>1447</v>
      </c>
      <c r="B301" s="4" t="s">
        <v>1448</v>
      </c>
      <c r="C301" s="4" t="s">
        <v>1449</v>
      </c>
      <c r="D301" s="4" t="s">
        <v>1450</v>
      </c>
      <c r="E301" s="4" t="s">
        <v>322</v>
      </c>
      <c r="F301" s="9">
        <v>5</v>
      </c>
      <c r="G301" s="9">
        <v>1</v>
      </c>
      <c r="H301" s="9">
        <f>G301*F301</f>
        <v>5</v>
      </c>
      <c r="I301" s="9" t="s">
        <v>58</v>
      </c>
      <c r="J301" s="51">
        <v>12</v>
      </c>
      <c r="K301" s="51" t="s">
        <v>790</v>
      </c>
      <c r="L301" s="55" t="s">
        <v>73</v>
      </c>
      <c r="M301" s="9" t="s">
        <v>87</v>
      </c>
      <c r="N301" s="4" t="s">
        <v>1451</v>
      </c>
      <c r="O301" s="4"/>
      <c r="P301" s="4"/>
      <c r="Q301" s="4"/>
    </row>
    <row r="302" spans="1:17" ht="28.9">
      <c r="A302" s="4" t="s">
        <v>1452</v>
      </c>
      <c r="B302" s="4" t="s">
        <v>1453</v>
      </c>
      <c r="C302" s="4" t="s">
        <v>1454</v>
      </c>
      <c r="D302" s="4" t="s">
        <v>1455</v>
      </c>
      <c r="E302" s="4" t="s">
        <v>894</v>
      </c>
      <c r="F302" s="9">
        <v>4</v>
      </c>
      <c r="G302" s="9">
        <v>1</v>
      </c>
      <c r="H302" s="9">
        <f>G302*F302</f>
        <v>4</v>
      </c>
      <c r="I302" s="9" t="s">
        <v>72</v>
      </c>
      <c r="J302" s="4" t="s">
        <v>1456</v>
      </c>
      <c r="K302" s="4" t="s">
        <v>1456</v>
      </c>
      <c r="L302" s="8" t="s">
        <v>86</v>
      </c>
      <c r="M302" s="9"/>
      <c r="N302" s="4"/>
      <c r="O302" s="4"/>
      <c r="P302" s="4"/>
      <c r="Q302" s="4"/>
    </row>
    <row r="303" spans="1:17" ht="15.6">
      <c r="A303" s="161" t="s">
        <v>1458</v>
      </c>
      <c r="B303" s="161"/>
      <c r="C303" s="161"/>
      <c r="D303" s="161"/>
      <c r="E303" s="161"/>
      <c r="F303" s="161"/>
      <c r="G303" s="161"/>
      <c r="H303" s="161"/>
      <c r="I303" s="161"/>
      <c r="J303" s="161"/>
      <c r="K303" s="161"/>
      <c r="L303" s="161"/>
      <c r="M303" s="161"/>
      <c r="N303" s="161"/>
      <c r="O303" s="161"/>
      <c r="P303" s="161"/>
      <c r="Q303" s="161"/>
    </row>
    <row r="304" spans="1:17" ht="28.9">
      <c r="A304" s="4" t="s">
        <v>1459</v>
      </c>
      <c r="B304" s="4" t="s">
        <v>1460</v>
      </c>
      <c r="C304" s="4" t="s">
        <v>1461</v>
      </c>
      <c r="D304" s="4" t="s">
        <v>1462</v>
      </c>
      <c r="E304" s="4" t="s">
        <v>1463</v>
      </c>
      <c r="F304" s="9">
        <v>4</v>
      </c>
      <c r="G304" s="9">
        <v>2</v>
      </c>
      <c r="H304" s="9">
        <f t="shared" ref="H304:H306" si="19">F304*G304</f>
        <v>8</v>
      </c>
      <c r="I304" s="9" t="s">
        <v>72</v>
      </c>
      <c r="J304" s="4"/>
      <c r="K304" s="4"/>
      <c r="L304" s="55" t="s">
        <v>86</v>
      </c>
      <c r="M304" s="9"/>
      <c r="N304" s="4"/>
      <c r="O304" s="4"/>
      <c r="P304" s="4"/>
      <c r="Q304" s="4"/>
    </row>
    <row r="305" spans="1:17" ht="28.9">
      <c r="A305" s="4" t="s">
        <v>1465</v>
      </c>
      <c r="B305" s="4" t="s">
        <v>1466</v>
      </c>
      <c r="C305" s="4" t="s">
        <v>1467</v>
      </c>
      <c r="D305" s="4" t="s">
        <v>1468</v>
      </c>
      <c r="E305" s="4" t="s">
        <v>1463</v>
      </c>
      <c r="F305" s="9">
        <v>1</v>
      </c>
      <c r="G305" s="9">
        <v>3</v>
      </c>
      <c r="H305" s="9">
        <f t="shared" si="19"/>
        <v>3</v>
      </c>
      <c r="I305" s="9" t="s">
        <v>58</v>
      </c>
      <c r="J305" s="4"/>
      <c r="K305" s="4"/>
      <c r="L305" s="55" t="s">
        <v>86</v>
      </c>
      <c r="M305" s="9"/>
      <c r="N305" s="4"/>
      <c r="O305" s="4"/>
      <c r="P305" s="4"/>
      <c r="Q305" s="4"/>
    </row>
    <row r="306" spans="1:17" ht="28.9">
      <c r="A306" s="4" t="s">
        <v>1470</v>
      </c>
      <c r="B306" s="4" t="s">
        <v>1471</v>
      </c>
      <c r="C306" s="4" t="s">
        <v>1472</v>
      </c>
      <c r="D306" s="4" t="s">
        <v>1473</v>
      </c>
      <c r="E306" s="4" t="s">
        <v>943</v>
      </c>
      <c r="F306" s="9">
        <v>3</v>
      </c>
      <c r="G306" s="9">
        <v>1</v>
      </c>
      <c r="H306" s="9">
        <f t="shared" si="19"/>
        <v>3</v>
      </c>
      <c r="I306" s="9" t="s">
        <v>72</v>
      </c>
      <c r="J306" s="4"/>
      <c r="K306" s="4"/>
      <c r="L306" s="55" t="s">
        <v>86</v>
      </c>
      <c r="M306" s="9"/>
      <c r="N306" s="4"/>
      <c r="O306" s="4"/>
      <c r="P306" s="4"/>
      <c r="Q306" s="4"/>
    </row>
    <row r="307" spans="1:17" ht="28.9">
      <c r="A307" s="4" t="s">
        <v>1475</v>
      </c>
      <c r="B307" s="4" t="s">
        <v>1476</v>
      </c>
      <c r="C307" s="4" t="s">
        <v>1477</v>
      </c>
      <c r="D307" s="4" t="s">
        <v>1478</v>
      </c>
      <c r="E307" s="4" t="s">
        <v>1463</v>
      </c>
      <c r="F307" s="9">
        <v>1</v>
      </c>
      <c r="G307" s="9">
        <v>1</v>
      </c>
      <c r="H307" s="9">
        <v>1</v>
      </c>
      <c r="I307" s="9" t="s">
        <v>58</v>
      </c>
      <c r="J307" s="4"/>
      <c r="K307" s="4"/>
      <c r="L307" s="55" t="s">
        <v>86</v>
      </c>
      <c r="M307" s="9"/>
      <c r="N307" s="4"/>
      <c r="O307" s="4"/>
      <c r="P307" s="4"/>
      <c r="Q307" s="4"/>
    </row>
    <row r="308" spans="1:17" ht="28.9">
      <c r="A308" s="4" t="s">
        <v>1480</v>
      </c>
      <c r="B308" s="4" t="s">
        <v>1481</v>
      </c>
      <c r="C308" s="4" t="s">
        <v>1482</v>
      </c>
      <c r="D308" s="4" t="s">
        <v>1483</v>
      </c>
      <c r="E308" s="4" t="s">
        <v>1463</v>
      </c>
      <c r="F308" s="9">
        <v>2</v>
      </c>
      <c r="G308" s="9">
        <v>2</v>
      </c>
      <c r="H308" s="9">
        <f>F308*G308</f>
        <v>4</v>
      </c>
      <c r="I308" s="9" t="s">
        <v>72</v>
      </c>
      <c r="J308" s="4"/>
      <c r="K308" s="4"/>
      <c r="L308" s="55" t="s">
        <v>86</v>
      </c>
      <c r="M308" s="9"/>
      <c r="N308" s="4"/>
      <c r="O308" s="4"/>
      <c r="P308" s="4"/>
      <c r="Q308" s="4"/>
    </row>
    <row r="309" spans="1:17" ht="15.6">
      <c r="A309" s="161" t="s">
        <v>1485</v>
      </c>
      <c r="B309" s="161"/>
      <c r="C309" s="161"/>
      <c r="D309" s="161"/>
      <c r="E309" s="161"/>
      <c r="F309" s="161"/>
      <c r="G309" s="161"/>
      <c r="H309" s="161"/>
      <c r="I309" s="161"/>
      <c r="J309" s="161"/>
      <c r="K309" s="161"/>
      <c r="L309" s="161"/>
      <c r="M309" s="161"/>
      <c r="N309" s="161"/>
      <c r="O309" s="161"/>
      <c r="P309" s="161"/>
      <c r="Q309" s="161"/>
    </row>
    <row r="310" spans="1:17" ht="28.9">
      <c r="A310" s="4" t="s">
        <v>1486</v>
      </c>
      <c r="B310" s="4" t="s">
        <v>1487</v>
      </c>
      <c r="C310" s="4" t="s">
        <v>1488</v>
      </c>
      <c r="D310" s="4" t="s">
        <v>1489</v>
      </c>
      <c r="E310" s="4" t="s">
        <v>984</v>
      </c>
      <c r="F310" s="9">
        <v>5</v>
      </c>
      <c r="G310" s="9">
        <v>1</v>
      </c>
      <c r="H310" s="9">
        <f t="shared" ref="H310:H314" si="20">F310*G310</f>
        <v>5</v>
      </c>
      <c r="I310" s="9"/>
      <c r="J310" s="4" t="s">
        <v>1490</v>
      </c>
      <c r="K310" s="4"/>
      <c r="L310" s="55" t="s">
        <v>86</v>
      </c>
      <c r="M310" s="9"/>
      <c r="N310" s="4"/>
      <c r="O310" s="4"/>
      <c r="P310" s="4"/>
      <c r="Q310" s="4"/>
    </row>
    <row r="311" spans="1:17" ht="28.9">
      <c r="A311" s="4" t="s">
        <v>1492</v>
      </c>
      <c r="B311" s="4" t="s">
        <v>1493</v>
      </c>
      <c r="C311" s="4" t="s">
        <v>1494</v>
      </c>
      <c r="D311" s="4" t="s">
        <v>1495</v>
      </c>
      <c r="E311" s="4" t="s">
        <v>1003</v>
      </c>
      <c r="F311" s="9">
        <v>4</v>
      </c>
      <c r="G311" s="9">
        <v>1</v>
      </c>
      <c r="H311" s="9">
        <f t="shared" si="20"/>
        <v>4</v>
      </c>
      <c r="I311" s="9"/>
      <c r="J311" s="4" t="s">
        <v>1496</v>
      </c>
      <c r="K311" s="4"/>
      <c r="L311" s="55" t="s">
        <v>86</v>
      </c>
      <c r="M311" s="9"/>
      <c r="N311" s="4"/>
      <c r="O311" s="4"/>
      <c r="P311" s="4"/>
      <c r="Q311" s="4"/>
    </row>
    <row r="312" spans="1:17" ht="28.9">
      <c r="A312" s="4" t="s">
        <v>1498</v>
      </c>
      <c r="B312" s="4" t="s">
        <v>1499</v>
      </c>
      <c r="C312" s="4" t="s">
        <v>1500</v>
      </c>
      <c r="D312" s="4" t="s">
        <v>1501</v>
      </c>
      <c r="E312" s="4" t="s">
        <v>1003</v>
      </c>
      <c r="F312" s="9">
        <v>5</v>
      </c>
      <c r="G312" s="9">
        <v>1</v>
      </c>
      <c r="H312" s="9">
        <f t="shared" si="20"/>
        <v>5</v>
      </c>
      <c r="I312" s="9"/>
      <c r="J312" s="4" t="s">
        <v>1007</v>
      </c>
      <c r="K312" s="4"/>
      <c r="L312" s="55" t="s">
        <v>86</v>
      </c>
      <c r="M312" s="9"/>
      <c r="N312" s="4"/>
      <c r="O312" s="4"/>
      <c r="P312" s="4"/>
      <c r="Q312" s="4"/>
    </row>
    <row r="313" spans="1:17" ht="28.9">
      <c r="A313" s="4" t="s">
        <v>1503</v>
      </c>
      <c r="B313" s="4" t="s">
        <v>1022</v>
      </c>
      <c r="C313" s="4" t="s">
        <v>1504</v>
      </c>
      <c r="D313" s="4" t="s">
        <v>1505</v>
      </c>
      <c r="E313" s="4" t="s">
        <v>1021</v>
      </c>
      <c r="F313" s="9">
        <v>4</v>
      </c>
      <c r="G313" s="9">
        <v>2</v>
      </c>
      <c r="H313" s="9">
        <f t="shared" si="20"/>
        <v>8</v>
      </c>
      <c r="I313" s="9"/>
      <c r="J313" s="4" t="s">
        <v>1506</v>
      </c>
      <c r="K313" s="4"/>
      <c r="L313" s="55" t="s">
        <v>86</v>
      </c>
      <c r="M313" s="9"/>
      <c r="N313" s="4"/>
      <c r="O313" s="4"/>
      <c r="P313" s="4"/>
      <c r="Q313" s="4"/>
    </row>
    <row r="314" spans="1:17">
      <c r="A314" s="4" t="s">
        <v>1508</v>
      </c>
      <c r="B314" s="4" t="s">
        <v>1509</v>
      </c>
      <c r="C314" s="4" t="s">
        <v>1510</v>
      </c>
      <c r="D314" s="4" t="s">
        <v>1511</v>
      </c>
      <c r="E314" s="4" t="s">
        <v>990</v>
      </c>
      <c r="F314" s="9">
        <v>5</v>
      </c>
      <c r="G314" s="9">
        <v>1</v>
      </c>
      <c r="H314" s="9">
        <f t="shared" si="20"/>
        <v>5</v>
      </c>
      <c r="I314" s="9"/>
      <c r="J314" s="4" t="s">
        <v>59</v>
      </c>
      <c r="K314" s="4"/>
      <c r="L314" s="55" t="s">
        <v>80</v>
      </c>
      <c r="M314" s="9"/>
      <c r="N314" s="4"/>
      <c r="O314" s="4"/>
      <c r="P314" s="4"/>
      <c r="Q314" s="4"/>
    </row>
    <row r="315" spans="1:17" ht="28.9">
      <c r="A315" s="4" t="s">
        <v>1513</v>
      </c>
      <c r="B315" s="4" t="s">
        <v>1514</v>
      </c>
      <c r="C315" s="4" t="s">
        <v>1515</v>
      </c>
      <c r="D315" s="4" t="s">
        <v>1516</v>
      </c>
      <c r="E315" s="4" t="s">
        <v>1037</v>
      </c>
      <c r="F315" s="9">
        <v>3</v>
      </c>
      <c r="G315" s="9">
        <v>1</v>
      </c>
      <c r="H315" s="9">
        <f>F315*G315</f>
        <v>3</v>
      </c>
      <c r="I315" s="9"/>
      <c r="J315" s="4"/>
      <c r="K315" s="4"/>
      <c r="L315" s="55" t="s">
        <v>80</v>
      </c>
      <c r="M315" s="9"/>
      <c r="N315" s="4"/>
      <c r="O315" s="4"/>
      <c r="P315" s="4"/>
      <c r="Q315" s="4"/>
    </row>
    <row r="316" spans="1:17">
      <c r="A316" s="4" t="s">
        <v>1518</v>
      </c>
      <c r="B316" s="4" t="s">
        <v>1519</v>
      </c>
      <c r="C316" s="76" t="s">
        <v>1520</v>
      </c>
      <c r="D316" s="76" t="s">
        <v>1521</v>
      </c>
      <c r="E316" s="4" t="s">
        <v>1037</v>
      </c>
      <c r="F316" s="9">
        <v>2</v>
      </c>
      <c r="G316" s="9">
        <v>1</v>
      </c>
      <c r="H316" s="9">
        <f t="shared" ref="H316:H317" si="21">F316*G316</f>
        <v>2</v>
      </c>
      <c r="I316" s="4"/>
      <c r="J316" s="4" t="s">
        <v>1854</v>
      </c>
      <c r="K316" s="4"/>
      <c r="L316" s="55" t="s">
        <v>86</v>
      </c>
      <c r="M316" s="4"/>
      <c r="N316" s="4"/>
      <c r="O316" s="4"/>
      <c r="P316" s="4"/>
      <c r="Q316" s="4"/>
    </row>
    <row r="317" spans="1:17" ht="28.9">
      <c r="A317" s="4" t="s">
        <v>1524</v>
      </c>
      <c r="B317" s="4" t="s">
        <v>1525</v>
      </c>
      <c r="C317" s="4" t="s">
        <v>1526</v>
      </c>
      <c r="D317" s="4" t="s">
        <v>1527</v>
      </c>
      <c r="E317" s="4" t="s">
        <v>1037</v>
      </c>
      <c r="F317" s="9">
        <v>2</v>
      </c>
      <c r="G317" s="9">
        <v>1</v>
      </c>
      <c r="H317" s="9">
        <f t="shared" si="21"/>
        <v>2</v>
      </c>
      <c r="I317" s="4"/>
      <c r="J317" s="4" t="s">
        <v>1528</v>
      </c>
      <c r="K317" s="4"/>
      <c r="L317" s="55" t="s">
        <v>86</v>
      </c>
      <c r="M317" s="4"/>
      <c r="N317" s="4"/>
      <c r="O317" s="4"/>
      <c r="P317" s="4"/>
      <c r="Q317" s="4"/>
    </row>
    <row r="318" spans="1:17" ht="28.9">
      <c r="A318" s="4" t="s">
        <v>1530</v>
      </c>
      <c r="B318" s="4" t="s">
        <v>1531</v>
      </c>
      <c r="C318" s="4" t="s">
        <v>1532</v>
      </c>
      <c r="D318" s="4" t="s">
        <v>1533</v>
      </c>
      <c r="E318" s="4" t="s">
        <v>233</v>
      </c>
      <c r="F318" s="9">
        <v>3</v>
      </c>
      <c r="G318" s="9">
        <v>1</v>
      </c>
      <c r="H318" s="9">
        <f>F318*G318</f>
        <v>3</v>
      </c>
      <c r="I318" s="4"/>
      <c r="J318" s="4" t="s">
        <v>1534</v>
      </c>
      <c r="K318" s="4"/>
      <c r="L318" s="55" t="s">
        <v>86</v>
      </c>
      <c r="M318" s="4"/>
      <c r="N318" s="4"/>
      <c r="O318" s="4"/>
      <c r="P318" s="4"/>
      <c r="Q318" s="4"/>
    </row>
    <row r="319" spans="1:17" ht="15.6">
      <c r="A319" s="161" t="s">
        <v>1536</v>
      </c>
      <c r="B319" s="161"/>
      <c r="C319" s="161"/>
      <c r="D319" s="161"/>
      <c r="E319" s="161"/>
      <c r="F319" s="161"/>
      <c r="G319" s="161"/>
      <c r="H319" s="161"/>
      <c r="I319" s="161"/>
      <c r="J319" s="161"/>
      <c r="K319" s="161"/>
      <c r="L319" s="161"/>
      <c r="M319" s="161"/>
      <c r="N319" s="161"/>
      <c r="O319" s="161"/>
      <c r="P319" s="161"/>
      <c r="Q319" s="161"/>
    </row>
    <row r="320" spans="1:17">
      <c r="A320" s="4" t="s">
        <v>1537</v>
      </c>
      <c r="B320" s="4" t="s">
        <v>1538</v>
      </c>
      <c r="C320" s="4" t="s">
        <v>1539</v>
      </c>
      <c r="D320" s="4" t="s">
        <v>1540</v>
      </c>
      <c r="E320" s="4" t="s">
        <v>1082</v>
      </c>
      <c r="F320" s="9">
        <v>5</v>
      </c>
      <c r="G320" s="9">
        <v>2</v>
      </c>
      <c r="H320" s="9">
        <f t="shared" ref="H320:H331" si="22">F320*G320</f>
        <v>10</v>
      </c>
      <c r="I320" s="9"/>
      <c r="J320" s="4" t="s">
        <v>1080</v>
      </c>
      <c r="K320" s="4" t="s">
        <v>790</v>
      </c>
      <c r="L320" s="8" t="s">
        <v>80</v>
      </c>
      <c r="M320" s="9"/>
      <c r="N320" s="4"/>
      <c r="O320" s="4"/>
      <c r="P320" s="4"/>
      <c r="Q320" s="4"/>
    </row>
    <row r="321" spans="1:17">
      <c r="A321" s="4" t="s">
        <v>1543</v>
      </c>
      <c r="B321" s="4" t="s">
        <v>1544</v>
      </c>
      <c r="C321" s="4" t="s">
        <v>1545</v>
      </c>
      <c r="D321" s="4" t="s">
        <v>1546</v>
      </c>
      <c r="E321" s="4" t="s">
        <v>1057</v>
      </c>
      <c r="F321" s="9">
        <v>4</v>
      </c>
      <c r="G321" s="9">
        <v>3</v>
      </c>
      <c r="H321" s="9">
        <f t="shared" si="22"/>
        <v>12</v>
      </c>
      <c r="I321" s="9"/>
      <c r="J321" s="4" t="s">
        <v>1547</v>
      </c>
      <c r="K321" s="4" t="s">
        <v>790</v>
      </c>
      <c r="L321" s="8" t="s">
        <v>80</v>
      </c>
      <c r="M321" s="9"/>
      <c r="N321" s="4"/>
      <c r="O321" s="4"/>
      <c r="P321" s="4"/>
      <c r="Q321" s="4"/>
    </row>
    <row r="322" spans="1:17">
      <c r="A322" s="4" t="s">
        <v>1549</v>
      </c>
      <c r="B322" s="4" t="s">
        <v>1550</v>
      </c>
      <c r="C322" s="4" t="s">
        <v>1551</v>
      </c>
      <c r="D322" s="4" t="s">
        <v>1552</v>
      </c>
      <c r="E322" s="4" t="s">
        <v>1082</v>
      </c>
      <c r="F322" s="9">
        <v>3</v>
      </c>
      <c r="G322" s="9">
        <v>1</v>
      </c>
      <c r="H322" s="9">
        <f t="shared" si="22"/>
        <v>3</v>
      </c>
      <c r="I322" s="9"/>
      <c r="J322" s="4">
        <v>60</v>
      </c>
      <c r="K322" s="4" t="s">
        <v>790</v>
      </c>
      <c r="L322" s="8" t="s">
        <v>80</v>
      </c>
      <c r="M322" s="9"/>
      <c r="N322" s="4"/>
      <c r="O322" s="4"/>
      <c r="P322" s="4"/>
      <c r="Q322" s="4"/>
    </row>
    <row r="323" spans="1:17" ht="28.9">
      <c r="A323" s="4" t="s">
        <v>1554</v>
      </c>
      <c r="B323" s="4" t="s">
        <v>1555</v>
      </c>
      <c r="C323" s="4" t="s">
        <v>1556</v>
      </c>
      <c r="D323" s="4" t="s">
        <v>1557</v>
      </c>
      <c r="E323" s="4" t="s">
        <v>1082</v>
      </c>
      <c r="F323" s="9">
        <v>4</v>
      </c>
      <c r="G323" s="9">
        <v>2</v>
      </c>
      <c r="H323" s="9">
        <f t="shared" si="22"/>
        <v>8</v>
      </c>
      <c r="I323" s="9"/>
      <c r="J323" s="139">
        <v>0.02</v>
      </c>
      <c r="K323" s="4" t="s">
        <v>790</v>
      </c>
      <c r="L323" s="8" t="s">
        <v>80</v>
      </c>
      <c r="M323" s="9"/>
      <c r="N323" s="4"/>
      <c r="O323" s="4"/>
      <c r="P323" s="4"/>
      <c r="Q323" s="4"/>
    </row>
    <row r="324" spans="1:17">
      <c r="A324" s="4" t="s">
        <v>1559</v>
      </c>
      <c r="B324" s="4" t="s">
        <v>1560</v>
      </c>
      <c r="C324" s="4" t="s">
        <v>1561</v>
      </c>
      <c r="D324" s="4" t="s">
        <v>1540</v>
      </c>
      <c r="E324" s="4" t="s">
        <v>1082</v>
      </c>
      <c r="F324" s="9">
        <v>5</v>
      </c>
      <c r="G324" s="9">
        <v>2</v>
      </c>
      <c r="H324" s="9">
        <f t="shared" si="22"/>
        <v>10</v>
      </c>
      <c r="I324" s="9"/>
      <c r="J324" s="4" t="s">
        <v>1562</v>
      </c>
      <c r="K324" s="4" t="s">
        <v>1562</v>
      </c>
      <c r="L324" s="8" t="s">
        <v>86</v>
      </c>
      <c r="M324" s="9"/>
      <c r="N324" s="4"/>
      <c r="O324" s="4"/>
      <c r="P324" s="4"/>
      <c r="Q324" s="4"/>
    </row>
    <row r="325" spans="1:17" ht="28.9">
      <c r="A325" s="4" t="s">
        <v>1564</v>
      </c>
      <c r="B325" s="4" t="s">
        <v>1565</v>
      </c>
      <c r="C325" s="4" t="s">
        <v>1566</v>
      </c>
      <c r="D325" s="4" t="s">
        <v>1567</v>
      </c>
      <c r="E325" s="4" t="s">
        <v>1568</v>
      </c>
      <c r="F325" s="9">
        <v>4</v>
      </c>
      <c r="G325" s="9">
        <v>2</v>
      </c>
      <c r="H325" s="9">
        <f t="shared" si="22"/>
        <v>8</v>
      </c>
      <c r="I325" s="9"/>
      <c r="J325" s="4" t="s">
        <v>790</v>
      </c>
      <c r="K325" s="4" t="s">
        <v>790</v>
      </c>
      <c r="L325" s="8" t="s">
        <v>73</v>
      </c>
      <c r="M325" s="9"/>
      <c r="N325" s="4"/>
      <c r="O325" s="4"/>
      <c r="P325" s="4"/>
      <c r="Q325" s="4"/>
    </row>
    <row r="326" spans="1:17">
      <c r="A326" s="4" t="s">
        <v>1570</v>
      </c>
      <c r="B326" s="4" t="s">
        <v>1571</v>
      </c>
      <c r="C326" s="4" t="s">
        <v>1572</v>
      </c>
      <c r="D326" s="4" t="s">
        <v>1573</v>
      </c>
      <c r="E326" s="4" t="s">
        <v>1082</v>
      </c>
      <c r="F326" s="9">
        <v>5</v>
      </c>
      <c r="G326" s="9">
        <v>1</v>
      </c>
      <c r="H326" s="9">
        <f t="shared" si="22"/>
        <v>5</v>
      </c>
      <c r="I326" s="9"/>
      <c r="J326" s="4" t="s">
        <v>1562</v>
      </c>
      <c r="K326" s="4" t="s">
        <v>1562</v>
      </c>
      <c r="L326" s="8" t="s">
        <v>86</v>
      </c>
      <c r="M326" s="9"/>
      <c r="N326" s="4"/>
      <c r="O326" s="4"/>
      <c r="P326" s="4"/>
      <c r="Q326" s="4"/>
    </row>
    <row r="327" spans="1:17">
      <c r="A327" s="4" t="s">
        <v>1575</v>
      </c>
      <c r="B327" s="4" t="s">
        <v>1576</v>
      </c>
      <c r="C327" s="4" t="s">
        <v>1577</v>
      </c>
      <c r="D327" s="4" t="s">
        <v>1540</v>
      </c>
      <c r="E327" s="4" t="s">
        <v>1076</v>
      </c>
      <c r="F327" s="9">
        <v>5</v>
      </c>
      <c r="G327" s="9">
        <v>2</v>
      </c>
      <c r="H327" s="9">
        <f t="shared" si="22"/>
        <v>10</v>
      </c>
      <c r="I327" s="9"/>
      <c r="J327" s="4" t="s">
        <v>1080</v>
      </c>
      <c r="K327" s="4" t="s">
        <v>790</v>
      </c>
      <c r="L327" s="8" t="s">
        <v>24</v>
      </c>
      <c r="M327" s="9"/>
      <c r="N327" s="4"/>
      <c r="O327" s="4"/>
      <c r="P327" s="4"/>
      <c r="Q327" s="4"/>
    </row>
    <row r="328" spans="1:17">
      <c r="A328" s="4" t="s">
        <v>1579</v>
      </c>
      <c r="B328" s="4" t="s">
        <v>1580</v>
      </c>
      <c r="C328" s="4" t="s">
        <v>1855</v>
      </c>
      <c r="D328" s="4" t="s">
        <v>1546</v>
      </c>
      <c r="E328" s="4" t="s">
        <v>1057</v>
      </c>
      <c r="F328" s="9">
        <v>4</v>
      </c>
      <c r="G328" s="9">
        <v>3</v>
      </c>
      <c r="H328" s="9">
        <f t="shared" si="22"/>
        <v>12</v>
      </c>
      <c r="I328" s="9"/>
      <c r="J328" s="4" t="s">
        <v>790</v>
      </c>
      <c r="K328" s="4" t="s">
        <v>790</v>
      </c>
      <c r="L328" s="8" t="s">
        <v>24</v>
      </c>
      <c r="M328" s="9"/>
      <c r="N328" s="4"/>
      <c r="O328" s="4"/>
      <c r="P328" s="4"/>
      <c r="Q328" s="4"/>
    </row>
    <row r="329" spans="1:17" ht="28.9">
      <c r="A329" s="4" t="s">
        <v>1583</v>
      </c>
      <c r="B329" s="4" t="s">
        <v>1584</v>
      </c>
      <c r="C329" s="4" t="s">
        <v>1585</v>
      </c>
      <c r="D329" s="4" t="s">
        <v>1586</v>
      </c>
      <c r="E329" s="4" t="s">
        <v>1076</v>
      </c>
      <c r="F329" s="9">
        <v>4</v>
      </c>
      <c r="G329" s="9">
        <v>3</v>
      </c>
      <c r="H329" s="9">
        <f t="shared" si="22"/>
        <v>12</v>
      </c>
      <c r="I329" s="9"/>
      <c r="J329" s="4" t="s">
        <v>790</v>
      </c>
      <c r="K329" s="4" t="s">
        <v>790</v>
      </c>
      <c r="L329" s="8" t="s">
        <v>24</v>
      </c>
      <c r="M329" s="9"/>
      <c r="N329" s="4"/>
      <c r="O329" s="4"/>
      <c r="P329" s="4"/>
      <c r="Q329" s="4"/>
    </row>
    <row r="330" spans="1:17">
      <c r="A330" s="4" t="s">
        <v>1588</v>
      </c>
      <c r="B330" s="4" t="s">
        <v>1589</v>
      </c>
      <c r="C330" s="4" t="s">
        <v>1590</v>
      </c>
      <c r="D330" s="4" t="s">
        <v>1540</v>
      </c>
      <c r="E330" s="4" t="s">
        <v>1076</v>
      </c>
      <c r="F330" s="9">
        <v>5</v>
      </c>
      <c r="G330" s="9">
        <v>2</v>
      </c>
      <c r="H330" s="9">
        <f t="shared" si="22"/>
        <v>10</v>
      </c>
      <c r="I330" s="9"/>
      <c r="J330" s="4" t="s">
        <v>1562</v>
      </c>
      <c r="K330" s="4" t="s">
        <v>790</v>
      </c>
      <c r="L330" s="8" t="s">
        <v>24</v>
      </c>
      <c r="M330" s="9"/>
      <c r="N330" s="4"/>
      <c r="O330" s="4"/>
      <c r="P330" s="4"/>
      <c r="Q330" s="4"/>
    </row>
    <row r="331" spans="1:17" ht="28.9">
      <c r="A331" s="4" t="s">
        <v>1593</v>
      </c>
      <c r="B331" s="4" t="s">
        <v>1594</v>
      </c>
      <c r="C331" s="4" t="s">
        <v>1595</v>
      </c>
      <c r="D331" s="4" t="s">
        <v>1586</v>
      </c>
      <c r="E331" s="4" t="s">
        <v>1076</v>
      </c>
      <c r="F331" s="9">
        <v>4</v>
      </c>
      <c r="G331" s="9">
        <v>2</v>
      </c>
      <c r="H331" s="9">
        <f t="shared" si="22"/>
        <v>8</v>
      </c>
      <c r="I331" s="9"/>
      <c r="J331" s="4" t="s">
        <v>790</v>
      </c>
      <c r="K331" s="4" t="s">
        <v>790</v>
      </c>
      <c r="L331" s="8" t="s">
        <v>24</v>
      </c>
      <c r="M331" s="9"/>
      <c r="N331" s="4"/>
      <c r="O331" s="4"/>
      <c r="P331" s="4"/>
      <c r="Q331" s="4"/>
    </row>
    <row r="332" spans="1:17" ht="15.6">
      <c r="A332" s="161" t="s">
        <v>1597</v>
      </c>
      <c r="B332" s="161"/>
      <c r="C332" s="161"/>
      <c r="D332" s="161"/>
      <c r="E332" s="161"/>
      <c r="F332" s="161"/>
      <c r="G332" s="161"/>
      <c r="H332" s="161"/>
      <c r="I332" s="161"/>
      <c r="J332" s="161"/>
      <c r="K332" s="161"/>
      <c r="L332" s="161"/>
      <c r="M332" s="161"/>
      <c r="N332" s="161"/>
      <c r="O332" s="161"/>
      <c r="P332" s="161"/>
      <c r="Q332" s="161"/>
    </row>
    <row r="333" spans="1:17" ht="28.9">
      <c r="A333" s="4" t="s">
        <v>1598</v>
      </c>
      <c r="B333" s="4" t="s">
        <v>1599</v>
      </c>
      <c r="C333" s="4" t="s">
        <v>1600</v>
      </c>
      <c r="D333" s="4" t="s">
        <v>1601</v>
      </c>
      <c r="E333" s="4" t="s">
        <v>1115</v>
      </c>
      <c r="F333" s="9">
        <v>3</v>
      </c>
      <c r="G333" s="9">
        <v>1</v>
      </c>
      <c r="H333" s="9">
        <f t="shared" ref="H333:H342" si="23">F333*G333</f>
        <v>3</v>
      </c>
      <c r="I333" s="9" t="s">
        <v>72</v>
      </c>
      <c r="J333" s="4"/>
      <c r="K333" s="4"/>
      <c r="L333" s="8"/>
      <c r="M333" s="9"/>
      <c r="N333" s="4"/>
      <c r="O333" s="4"/>
      <c r="P333" s="4"/>
      <c r="Q333" s="4"/>
    </row>
    <row r="334" spans="1:17" ht="28.9">
      <c r="A334" s="4" t="s">
        <v>1603</v>
      </c>
      <c r="B334" s="4" t="s">
        <v>1604</v>
      </c>
      <c r="C334" s="4" t="s">
        <v>1605</v>
      </c>
      <c r="D334" s="4" t="s">
        <v>1606</v>
      </c>
      <c r="E334" s="4" t="s">
        <v>465</v>
      </c>
      <c r="F334" s="9">
        <v>4</v>
      </c>
      <c r="G334" s="9">
        <v>1</v>
      </c>
      <c r="H334" s="9">
        <f t="shared" si="23"/>
        <v>4</v>
      </c>
      <c r="I334" s="9" t="s">
        <v>72</v>
      </c>
      <c r="J334" s="4"/>
      <c r="K334" s="4"/>
      <c r="L334" s="8"/>
      <c r="M334" s="9"/>
      <c r="N334" s="4"/>
      <c r="O334" s="4"/>
      <c r="P334" s="4"/>
      <c r="Q334" s="4"/>
    </row>
    <row r="335" spans="1:17" ht="28.9">
      <c r="A335" s="4" t="s">
        <v>1609</v>
      </c>
      <c r="B335" s="4" t="s">
        <v>1610</v>
      </c>
      <c r="C335" s="4" t="s">
        <v>1611</v>
      </c>
      <c r="D335" s="4" t="s">
        <v>1612</v>
      </c>
      <c r="E335" s="4" t="s">
        <v>465</v>
      </c>
      <c r="F335" s="9">
        <v>4</v>
      </c>
      <c r="G335" s="9">
        <v>1</v>
      </c>
      <c r="H335" s="9">
        <f t="shared" si="23"/>
        <v>4</v>
      </c>
      <c r="I335" s="9" t="s">
        <v>72</v>
      </c>
      <c r="J335" s="4"/>
      <c r="K335" s="4"/>
      <c r="L335" s="8"/>
      <c r="M335" s="9"/>
      <c r="N335" s="4"/>
      <c r="O335" s="4"/>
      <c r="P335" s="4"/>
      <c r="Q335" s="4"/>
    </row>
    <row r="336" spans="1:17">
      <c r="A336" s="4" t="s">
        <v>1614</v>
      </c>
      <c r="B336" s="4" t="s">
        <v>1615</v>
      </c>
      <c r="C336" s="4" t="s">
        <v>1856</v>
      </c>
      <c r="D336" s="4" t="s">
        <v>1617</v>
      </c>
      <c r="E336" s="4" t="s">
        <v>465</v>
      </c>
      <c r="F336" s="9">
        <v>3</v>
      </c>
      <c r="G336" s="9">
        <v>2</v>
      </c>
      <c r="H336" s="9">
        <f t="shared" si="23"/>
        <v>6</v>
      </c>
      <c r="I336" s="35" t="s">
        <v>72</v>
      </c>
      <c r="J336" s="4"/>
      <c r="K336" s="4"/>
      <c r="L336" s="8"/>
      <c r="M336" s="9"/>
      <c r="N336" s="4"/>
      <c r="O336" s="4"/>
      <c r="P336" s="4"/>
      <c r="Q336" s="4"/>
    </row>
    <row r="337" spans="1:17" ht="28.9">
      <c r="A337" s="4" t="s">
        <v>1619</v>
      </c>
      <c r="B337" s="4" t="s">
        <v>1620</v>
      </c>
      <c r="C337" s="4" t="s">
        <v>1621</v>
      </c>
      <c r="D337" s="4" t="s">
        <v>1622</v>
      </c>
      <c r="E337" s="4" t="s">
        <v>472</v>
      </c>
      <c r="F337" s="9">
        <v>4</v>
      </c>
      <c r="G337" s="9">
        <v>1</v>
      </c>
      <c r="H337" s="9">
        <f t="shared" si="23"/>
        <v>4</v>
      </c>
      <c r="I337" s="9" t="s">
        <v>72</v>
      </c>
      <c r="J337" s="4"/>
      <c r="K337" s="4"/>
      <c r="L337" s="8"/>
      <c r="M337" s="9"/>
      <c r="N337" s="4"/>
      <c r="O337" s="4"/>
      <c r="P337" s="4"/>
      <c r="Q337" s="4"/>
    </row>
    <row r="338" spans="1:17" ht="43.15">
      <c r="A338" s="4" t="s">
        <v>1624</v>
      </c>
      <c r="B338" s="4" t="s">
        <v>1625</v>
      </c>
      <c r="C338" s="4" t="s">
        <v>1626</v>
      </c>
      <c r="D338" s="4" t="s">
        <v>1627</v>
      </c>
      <c r="E338" s="4" t="s">
        <v>472</v>
      </c>
      <c r="F338" s="9">
        <v>3</v>
      </c>
      <c r="G338" s="9">
        <v>2</v>
      </c>
      <c r="H338" s="9">
        <f t="shared" si="23"/>
        <v>6</v>
      </c>
      <c r="I338" s="9" t="s">
        <v>72</v>
      </c>
      <c r="J338" s="4"/>
      <c r="K338" s="4"/>
      <c r="L338" s="8"/>
      <c r="M338" s="9"/>
      <c r="N338" s="4"/>
      <c r="O338" s="4"/>
      <c r="P338" s="4"/>
      <c r="Q338" s="4"/>
    </row>
    <row r="339" spans="1:17" ht="28.9">
      <c r="A339" s="4" t="s">
        <v>1630</v>
      </c>
      <c r="B339" s="4" t="s">
        <v>1404</v>
      </c>
      <c r="C339" s="112" t="s">
        <v>1631</v>
      </c>
      <c r="D339" s="4" t="s">
        <v>1632</v>
      </c>
      <c r="E339" s="4" t="s">
        <v>465</v>
      </c>
      <c r="F339" s="9">
        <v>3</v>
      </c>
      <c r="G339" s="9">
        <v>2</v>
      </c>
      <c r="H339" s="9">
        <f t="shared" si="23"/>
        <v>6</v>
      </c>
      <c r="I339" s="9" t="s">
        <v>72</v>
      </c>
      <c r="J339" s="4"/>
      <c r="K339" s="4"/>
      <c r="L339" s="8"/>
      <c r="M339" s="9"/>
      <c r="N339" s="4"/>
      <c r="O339" s="4"/>
      <c r="P339" s="4"/>
      <c r="Q339" s="4"/>
    </row>
    <row r="340" spans="1:17" ht="28.9">
      <c r="A340" s="4" t="s">
        <v>1634</v>
      </c>
      <c r="B340" s="4" t="s">
        <v>1635</v>
      </c>
      <c r="C340" s="113" t="s">
        <v>1636</v>
      </c>
      <c r="D340" s="114" t="s">
        <v>1637</v>
      </c>
      <c r="E340" s="4" t="s">
        <v>477</v>
      </c>
      <c r="F340" s="9">
        <v>2</v>
      </c>
      <c r="G340" s="9">
        <v>1</v>
      </c>
      <c r="H340" s="9">
        <f t="shared" si="23"/>
        <v>2</v>
      </c>
      <c r="I340" s="9" t="s">
        <v>72</v>
      </c>
      <c r="J340" s="4"/>
      <c r="K340" s="4"/>
      <c r="L340" s="8"/>
      <c r="M340" s="9"/>
      <c r="N340" s="4"/>
      <c r="O340" s="4"/>
      <c r="P340" s="4"/>
      <c r="Q340" s="4"/>
    </row>
    <row r="341" spans="1:17" ht="28.9">
      <c r="A341" s="4" t="s">
        <v>1639</v>
      </c>
      <c r="B341" s="103" t="s">
        <v>1640</v>
      </c>
      <c r="C341" s="105" t="s">
        <v>1641</v>
      </c>
      <c r="D341" s="107" t="s">
        <v>1642</v>
      </c>
      <c r="E341" s="104" t="s">
        <v>477</v>
      </c>
      <c r="F341" s="9">
        <v>2</v>
      </c>
      <c r="G341" s="9">
        <v>1</v>
      </c>
      <c r="H341" s="9">
        <f t="shared" si="23"/>
        <v>2</v>
      </c>
      <c r="I341" s="9" t="s">
        <v>72</v>
      </c>
      <c r="J341" s="4"/>
      <c r="K341" s="4"/>
      <c r="L341" s="8"/>
      <c r="M341" s="9"/>
      <c r="N341" s="4"/>
      <c r="O341" s="4"/>
      <c r="P341" s="4"/>
      <c r="Q341" s="4"/>
    </row>
    <row r="342" spans="1:17" ht="28.9">
      <c r="A342" s="4" t="s">
        <v>1644</v>
      </c>
      <c r="B342" s="103" t="s">
        <v>1645</v>
      </c>
      <c r="C342" s="106" t="s">
        <v>1646</v>
      </c>
      <c r="D342" s="105" t="s">
        <v>1647</v>
      </c>
      <c r="E342" s="104" t="s">
        <v>1115</v>
      </c>
      <c r="F342" s="9">
        <v>5</v>
      </c>
      <c r="G342" s="9">
        <v>2</v>
      </c>
      <c r="H342" s="9">
        <f t="shared" si="23"/>
        <v>10</v>
      </c>
      <c r="I342" s="9" t="s">
        <v>72</v>
      </c>
      <c r="J342" s="4"/>
      <c r="K342" s="4"/>
      <c r="L342" s="8"/>
      <c r="M342" s="9"/>
      <c r="N342" s="4"/>
      <c r="O342" s="4"/>
      <c r="P342" s="4"/>
      <c r="Q342" s="4"/>
    </row>
    <row r="343" spans="1:17" ht="15.6">
      <c r="A343" s="161" t="s">
        <v>1659</v>
      </c>
      <c r="B343" s="161"/>
      <c r="C343" s="162"/>
      <c r="D343" s="162"/>
      <c r="E343" s="161"/>
      <c r="F343" s="161"/>
      <c r="G343" s="161"/>
      <c r="H343" s="161"/>
      <c r="I343" s="161"/>
      <c r="J343" s="161"/>
      <c r="K343" s="161"/>
      <c r="L343" s="161"/>
      <c r="M343" s="161"/>
      <c r="N343" s="161"/>
      <c r="O343" s="161"/>
      <c r="P343" s="161"/>
      <c r="Q343" s="161"/>
    </row>
    <row r="344" spans="1:17" ht="86.45">
      <c r="A344" s="4" t="s">
        <v>1660</v>
      </c>
      <c r="B344" s="4" t="s">
        <v>1661</v>
      </c>
      <c r="C344" s="4" t="s">
        <v>1662</v>
      </c>
      <c r="D344" s="4" t="s">
        <v>1663</v>
      </c>
      <c r="E344" s="4" t="s">
        <v>1664</v>
      </c>
      <c r="F344" s="9">
        <v>5</v>
      </c>
      <c r="G344" s="9">
        <v>4</v>
      </c>
      <c r="H344" s="9">
        <f t="shared" ref="H344:H349" si="24">F344*G344</f>
        <v>20</v>
      </c>
      <c r="I344" s="9" t="s">
        <v>72</v>
      </c>
      <c r="J344" s="4" t="s">
        <v>1841</v>
      </c>
      <c r="K344" s="4" t="s">
        <v>605</v>
      </c>
      <c r="L344" s="8" t="s">
        <v>73</v>
      </c>
      <c r="M344" s="9" t="s">
        <v>1665</v>
      </c>
      <c r="N344" s="4" t="s">
        <v>1666</v>
      </c>
      <c r="O344" s="4"/>
      <c r="P344" s="75" t="s">
        <v>1667</v>
      </c>
      <c r="Q344" s="4"/>
    </row>
    <row r="345" spans="1:17" ht="86.45">
      <c r="A345" s="4" t="s">
        <v>1668</v>
      </c>
      <c r="B345" s="4" t="s">
        <v>1476</v>
      </c>
      <c r="C345" s="4" t="s">
        <v>1669</v>
      </c>
      <c r="D345" s="4" t="s">
        <v>1670</v>
      </c>
      <c r="E345" s="4" t="s">
        <v>1671</v>
      </c>
      <c r="F345" s="9">
        <v>5</v>
      </c>
      <c r="G345" s="9">
        <v>2</v>
      </c>
      <c r="H345" s="9">
        <f t="shared" si="24"/>
        <v>10</v>
      </c>
      <c r="I345" s="9" t="s">
        <v>58</v>
      </c>
      <c r="J345" s="4" t="s">
        <v>1841</v>
      </c>
      <c r="K345" s="4" t="s">
        <v>605</v>
      </c>
      <c r="L345" s="8" t="s">
        <v>86</v>
      </c>
      <c r="M345" s="9" t="s">
        <v>1665</v>
      </c>
      <c r="N345" s="4" t="s">
        <v>1672</v>
      </c>
      <c r="O345" s="4"/>
      <c r="P345" s="75" t="s">
        <v>1673</v>
      </c>
      <c r="Q345" s="4"/>
    </row>
    <row r="346" spans="1:17" ht="72">
      <c r="A346" s="4" t="s">
        <v>1674</v>
      </c>
      <c r="B346" s="4" t="s">
        <v>1675</v>
      </c>
      <c r="C346" s="4" t="s">
        <v>1676</v>
      </c>
      <c r="D346" s="4" t="s">
        <v>1677</v>
      </c>
      <c r="E346" s="4" t="s">
        <v>1154</v>
      </c>
      <c r="F346" s="9">
        <v>3</v>
      </c>
      <c r="G346" s="9">
        <v>2</v>
      </c>
      <c r="H346" s="9">
        <f t="shared" si="24"/>
        <v>6</v>
      </c>
      <c r="I346" s="9" t="s">
        <v>58</v>
      </c>
      <c r="J346" s="4" t="s">
        <v>1841</v>
      </c>
      <c r="K346" s="4" t="s">
        <v>605</v>
      </c>
      <c r="L346" s="8" t="s">
        <v>86</v>
      </c>
      <c r="M346" s="9" t="s">
        <v>1665</v>
      </c>
      <c r="N346" s="4" t="s">
        <v>1678</v>
      </c>
      <c r="O346" s="4"/>
      <c r="P346" s="4"/>
      <c r="Q346" s="4"/>
    </row>
    <row r="347" spans="1:17" ht="28.9">
      <c r="A347" s="4" t="s">
        <v>1679</v>
      </c>
      <c r="B347" s="4" t="s">
        <v>1680</v>
      </c>
      <c r="C347" s="4" t="s">
        <v>1681</v>
      </c>
      <c r="D347" s="4" t="s">
        <v>1682</v>
      </c>
      <c r="E347" s="4" t="s">
        <v>1144</v>
      </c>
      <c r="F347" s="9">
        <v>2</v>
      </c>
      <c r="G347" s="9">
        <v>1</v>
      </c>
      <c r="H347" s="9">
        <f t="shared" si="24"/>
        <v>2</v>
      </c>
      <c r="I347" s="9" t="s">
        <v>58</v>
      </c>
      <c r="J347" s="4" t="s">
        <v>1841</v>
      </c>
      <c r="K347" s="4" t="s">
        <v>605</v>
      </c>
      <c r="L347" s="8" t="s">
        <v>86</v>
      </c>
      <c r="M347" s="9" t="s">
        <v>1665</v>
      </c>
      <c r="N347" s="4" t="s">
        <v>1683</v>
      </c>
      <c r="O347" s="4"/>
      <c r="P347" s="4"/>
      <c r="Q347" s="4"/>
    </row>
    <row r="348" spans="1:17" ht="72">
      <c r="A348" s="4" t="s">
        <v>1684</v>
      </c>
      <c r="B348" s="4" t="s">
        <v>1685</v>
      </c>
      <c r="C348" s="4" t="s">
        <v>1686</v>
      </c>
      <c r="D348" s="4" t="s">
        <v>1687</v>
      </c>
      <c r="E348" s="4" t="s">
        <v>1159</v>
      </c>
      <c r="F348" s="9">
        <v>4</v>
      </c>
      <c r="G348" s="9">
        <v>2</v>
      </c>
      <c r="H348" s="9">
        <f t="shared" si="24"/>
        <v>8</v>
      </c>
      <c r="I348" s="9" t="s">
        <v>58</v>
      </c>
      <c r="J348" s="4" t="s">
        <v>1841</v>
      </c>
      <c r="K348" s="4" t="s">
        <v>605</v>
      </c>
      <c r="L348" s="8" t="s">
        <v>86</v>
      </c>
      <c r="M348" s="9" t="s">
        <v>1665</v>
      </c>
      <c r="N348" s="4" t="s">
        <v>1688</v>
      </c>
      <c r="O348" s="4"/>
      <c r="P348" s="75" t="s">
        <v>1689</v>
      </c>
      <c r="Q348" s="4"/>
    </row>
    <row r="349" spans="1:17" ht="43.15">
      <c r="A349" s="4" t="s">
        <v>1690</v>
      </c>
      <c r="B349" s="4" t="s">
        <v>1164</v>
      </c>
      <c r="C349" s="4" t="s">
        <v>1691</v>
      </c>
      <c r="D349" s="4" t="s">
        <v>1692</v>
      </c>
      <c r="E349" s="4" t="s">
        <v>1163</v>
      </c>
      <c r="F349" s="9">
        <v>2</v>
      </c>
      <c r="G349" s="9">
        <v>1</v>
      </c>
      <c r="H349" s="9">
        <f t="shared" si="24"/>
        <v>2</v>
      </c>
      <c r="I349" s="9" t="s">
        <v>58</v>
      </c>
      <c r="J349" s="4" t="s">
        <v>1841</v>
      </c>
      <c r="K349" s="4" t="s">
        <v>605</v>
      </c>
      <c r="L349" s="8" t="s">
        <v>86</v>
      </c>
      <c r="M349" s="9" t="s">
        <v>1693</v>
      </c>
      <c r="N349" s="4" t="s">
        <v>1694</v>
      </c>
      <c r="O349" s="4"/>
      <c r="P349" s="4"/>
      <c r="Q349" s="4"/>
    </row>
    <row r="350" spans="1:17" ht="15.6">
      <c r="A350" s="161" t="s">
        <v>1695</v>
      </c>
      <c r="B350" s="161"/>
      <c r="C350" s="161"/>
      <c r="D350" s="161"/>
      <c r="E350" s="161"/>
      <c r="F350" s="161"/>
      <c r="G350" s="161"/>
      <c r="H350" s="161"/>
      <c r="I350" s="161"/>
      <c r="J350" s="161"/>
      <c r="K350" s="161"/>
      <c r="L350" s="161"/>
      <c r="M350" s="161"/>
      <c r="N350" s="161"/>
      <c r="O350" s="161"/>
      <c r="P350" s="161"/>
      <c r="Q350" s="161"/>
    </row>
    <row r="351" spans="1:17">
      <c r="A351" s="4" t="s">
        <v>1696</v>
      </c>
      <c r="B351" s="4"/>
      <c r="C351" s="4"/>
      <c r="D351" s="4"/>
      <c r="E351" s="4"/>
      <c r="F351" s="9"/>
      <c r="G351" s="9"/>
      <c r="H351" s="9"/>
      <c r="I351" s="9"/>
      <c r="J351" s="4"/>
      <c r="K351" s="4"/>
      <c r="L351" s="8"/>
      <c r="M351" s="9"/>
      <c r="N351" s="4"/>
      <c r="O351" s="4"/>
      <c r="P351" s="4"/>
      <c r="Q351" s="4"/>
    </row>
    <row r="352" spans="1:17">
      <c r="A352" s="4"/>
      <c r="B352" s="4"/>
      <c r="C352" s="4"/>
      <c r="D352" s="4"/>
      <c r="E352" s="4"/>
      <c r="F352" s="9"/>
      <c r="G352" s="9"/>
      <c r="H352" s="9"/>
      <c r="I352" s="9"/>
      <c r="J352" s="4"/>
      <c r="K352" s="4"/>
      <c r="L352" s="8"/>
      <c r="M352" s="9"/>
      <c r="N352" s="4"/>
      <c r="O352" s="4"/>
      <c r="P352" s="4"/>
      <c r="Q352" s="4"/>
    </row>
    <row r="353" spans="1:17">
      <c r="A353" s="4"/>
      <c r="B353" s="4"/>
      <c r="C353" s="4"/>
      <c r="D353" s="4"/>
      <c r="E353" s="4"/>
      <c r="F353" s="9"/>
      <c r="G353" s="9"/>
      <c r="H353" s="9"/>
      <c r="I353" s="9"/>
      <c r="J353" s="4"/>
      <c r="K353" s="4"/>
      <c r="L353" s="8"/>
      <c r="M353" s="9"/>
      <c r="N353" s="4"/>
      <c r="O353" s="4"/>
      <c r="P353" s="4"/>
      <c r="Q353" s="4"/>
    </row>
    <row r="354" spans="1:17" ht="15.6">
      <c r="A354" s="161" t="s">
        <v>1697</v>
      </c>
      <c r="B354" s="161"/>
      <c r="C354" s="161"/>
      <c r="D354" s="161"/>
      <c r="E354" s="161"/>
      <c r="F354" s="161"/>
      <c r="G354" s="161"/>
      <c r="H354" s="161"/>
      <c r="I354" s="161"/>
      <c r="J354" s="161"/>
      <c r="K354" s="161"/>
      <c r="L354" s="161"/>
      <c r="M354" s="161"/>
      <c r="N354" s="161"/>
      <c r="O354" s="161"/>
      <c r="P354" s="161"/>
      <c r="Q354" s="161"/>
    </row>
    <row r="355" spans="1:17" ht="43.15">
      <c r="A355" s="4" t="s">
        <v>1698</v>
      </c>
      <c r="B355" s="4" t="s">
        <v>1699</v>
      </c>
      <c r="C355" s="4" t="s">
        <v>1700</v>
      </c>
      <c r="D355" s="4" t="s">
        <v>1701</v>
      </c>
      <c r="E355" s="4" t="s">
        <v>1194</v>
      </c>
      <c r="F355" s="9">
        <v>5</v>
      </c>
      <c r="G355" s="9">
        <v>1</v>
      </c>
      <c r="H355" s="9">
        <f t="shared" ref="H355" si="25">F355*G355</f>
        <v>5</v>
      </c>
      <c r="I355" s="9" t="s">
        <v>72</v>
      </c>
      <c r="J355" s="4" t="s">
        <v>59</v>
      </c>
      <c r="K355" s="4" t="s">
        <v>59</v>
      </c>
      <c r="L355" s="55" t="s">
        <v>24</v>
      </c>
      <c r="M355" s="9" t="s">
        <v>1234</v>
      </c>
      <c r="N355" s="4" t="s">
        <v>1702</v>
      </c>
      <c r="O355" s="4"/>
      <c r="P355" s="4"/>
      <c r="Q355" s="4"/>
    </row>
    <row r="356" spans="1:17" ht="15.6">
      <c r="A356" s="161" t="s">
        <v>1703</v>
      </c>
      <c r="B356" s="161"/>
      <c r="C356" s="161"/>
      <c r="D356" s="161"/>
      <c r="E356" s="161"/>
      <c r="F356" s="161"/>
      <c r="G356" s="161"/>
      <c r="H356" s="161"/>
      <c r="I356" s="161"/>
      <c r="J356" s="161"/>
      <c r="K356" s="161"/>
      <c r="L356" s="161"/>
      <c r="M356" s="161"/>
      <c r="N356" s="161"/>
      <c r="O356" s="161"/>
      <c r="P356" s="161"/>
      <c r="Q356" s="161"/>
    </row>
    <row r="357" spans="1:17" ht="28.9">
      <c r="A357" s="4" t="s">
        <v>1704</v>
      </c>
      <c r="B357" s="4" t="s">
        <v>1705</v>
      </c>
      <c r="C357" s="4" t="s">
        <v>1706</v>
      </c>
      <c r="D357" s="4" t="s">
        <v>1857</v>
      </c>
      <c r="E357" s="4" t="str">
        <f>A240</f>
        <v>EGSE-3.01</v>
      </c>
      <c r="F357" s="9">
        <v>2</v>
      </c>
      <c r="G357" s="9">
        <v>1</v>
      </c>
      <c r="H357" s="9">
        <f>F357*G357</f>
        <v>2</v>
      </c>
      <c r="I357" s="9"/>
      <c r="J357" s="4"/>
      <c r="K357" s="4"/>
      <c r="L357" s="8" t="s">
        <v>80</v>
      </c>
      <c r="M357" s="9" t="s">
        <v>25</v>
      </c>
      <c r="N357" s="4" t="s">
        <v>1708</v>
      </c>
      <c r="O357" s="4"/>
      <c r="P357" s="4"/>
      <c r="Q357" s="4"/>
    </row>
    <row r="358" spans="1:17">
      <c r="A358" s="4" t="s">
        <v>1709</v>
      </c>
      <c r="B358" s="4" t="s">
        <v>1710</v>
      </c>
      <c r="C358" s="4" t="s">
        <v>1711</v>
      </c>
      <c r="D358" s="4"/>
      <c r="E358" s="4"/>
      <c r="F358" s="9"/>
      <c r="G358" s="9"/>
      <c r="H358" s="9"/>
      <c r="I358" s="9"/>
      <c r="J358" s="4"/>
      <c r="K358" s="4"/>
      <c r="L358" s="8" t="s">
        <v>86</v>
      </c>
      <c r="M358" s="9"/>
      <c r="N358" s="4"/>
      <c r="O358" s="4"/>
      <c r="P358" s="4"/>
      <c r="Q358" s="4"/>
    </row>
    <row r="359" spans="1:17" ht="28.9">
      <c r="A359" s="4" t="s">
        <v>1714</v>
      </c>
      <c r="B359" s="4" t="s">
        <v>1715</v>
      </c>
      <c r="C359" s="4" t="s">
        <v>1716</v>
      </c>
      <c r="D359" s="4" t="s">
        <v>1858</v>
      </c>
      <c r="E359" s="4" t="str">
        <f>A243</f>
        <v>EGSE-3.04</v>
      </c>
      <c r="F359" s="9">
        <v>5</v>
      </c>
      <c r="G359" s="9">
        <v>3</v>
      </c>
      <c r="H359" s="9">
        <f>F359*G359</f>
        <v>15</v>
      </c>
      <c r="I359" s="9"/>
      <c r="J359" s="4"/>
      <c r="K359" s="4"/>
      <c r="L359" s="8" t="s">
        <v>86</v>
      </c>
      <c r="M359" s="9"/>
      <c r="N359" s="4"/>
      <c r="O359" s="4"/>
      <c r="P359" s="4"/>
      <c r="Q359" s="4"/>
    </row>
    <row r="360" spans="1:17">
      <c r="A360" s="4" t="s">
        <v>1719</v>
      </c>
      <c r="B360" s="4" t="s">
        <v>1215</v>
      </c>
      <c r="C360" s="4" t="s">
        <v>1720</v>
      </c>
      <c r="D360" s="4" t="s">
        <v>1859</v>
      </c>
      <c r="E360" s="4" t="str">
        <f>A93</f>
        <v>GSE-2.01</v>
      </c>
      <c r="F360" s="9">
        <v>3</v>
      </c>
      <c r="G360" s="9">
        <v>5</v>
      </c>
      <c r="H360" s="9">
        <f>F360*G360</f>
        <v>15</v>
      </c>
      <c r="I360" s="9"/>
      <c r="J360" s="4"/>
      <c r="K360" s="4"/>
      <c r="L360" s="8" t="s">
        <v>86</v>
      </c>
      <c r="M360" s="9"/>
      <c r="N360" s="4"/>
      <c r="O360" s="4"/>
      <c r="P360" s="4"/>
      <c r="Q360" s="4"/>
    </row>
    <row r="361" spans="1:17">
      <c r="A361" s="4" t="s">
        <v>1723</v>
      </c>
      <c r="B361" s="4" t="s">
        <v>1724</v>
      </c>
      <c r="C361" s="4" t="s">
        <v>1725</v>
      </c>
      <c r="D361" s="4"/>
      <c r="E361" s="4"/>
      <c r="F361" s="9"/>
      <c r="G361" s="9"/>
      <c r="H361" s="9"/>
      <c r="I361" s="9"/>
      <c r="J361" s="4"/>
      <c r="K361" s="4"/>
      <c r="L361" s="8" t="s">
        <v>86</v>
      </c>
      <c r="M361" s="9"/>
      <c r="N361" s="4"/>
      <c r="O361" s="4"/>
      <c r="P361" s="4"/>
      <c r="Q361" s="4"/>
    </row>
    <row r="362" spans="1:17">
      <c r="A362" s="4" t="s">
        <v>1728</v>
      </c>
      <c r="B362" s="4" t="s">
        <v>1729</v>
      </c>
      <c r="C362" s="4" t="s">
        <v>1730</v>
      </c>
      <c r="D362" s="4"/>
      <c r="E362" s="4"/>
      <c r="F362" s="9"/>
      <c r="G362" s="9"/>
      <c r="H362" s="9"/>
      <c r="I362" s="9"/>
      <c r="J362" s="4"/>
      <c r="K362" s="4"/>
      <c r="L362" s="8" t="s">
        <v>86</v>
      </c>
      <c r="M362" s="9"/>
      <c r="N362" s="4"/>
      <c r="O362" s="4"/>
      <c r="P362" s="4"/>
      <c r="Q362" s="4"/>
    </row>
    <row r="363" spans="1:17">
      <c r="A363" s="4" t="s">
        <v>1733</v>
      </c>
      <c r="B363" s="4" t="s">
        <v>1860</v>
      </c>
      <c r="C363" s="4" t="s">
        <v>1861</v>
      </c>
      <c r="D363" s="4"/>
      <c r="E363" s="4"/>
      <c r="F363" s="9"/>
      <c r="G363" s="9"/>
      <c r="H363" s="9"/>
      <c r="I363" s="9"/>
      <c r="J363" s="4"/>
      <c r="K363" s="4"/>
      <c r="L363" s="8" t="s">
        <v>86</v>
      </c>
      <c r="M363" s="9"/>
      <c r="N363" s="4"/>
      <c r="O363" s="4"/>
      <c r="P363" s="4"/>
      <c r="Q363" s="4"/>
    </row>
    <row r="364" spans="1:17" ht="15.6">
      <c r="A364" s="161" t="s">
        <v>1738</v>
      </c>
      <c r="B364" s="161"/>
      <c r="C364" s="161"/>
      <c r="D364" s="161"/>
      <c r="E364" s="161"/>
      <c r="F364" s="161"/>
      <c r="G364" s="161"/>
      <c r="H364" s="161"/>
      <c r="I364" s="161"/>
      <c r="J364" s="161"/>
      <c r="K364" s="161"/>
      <c r="L364" s="161"/>
      <c r="M364" s="161"/>
      <c r="N364" s="161"/>
      <c r="O364" s="161"/>
      <c r="P364" s="161"/>
      <c r="Q364" s="161"/>
    </row>
    <row r="365" spans="1:17">
      <c r="A365" s="4" t="s">
        <v>1739</v>
      </c>
      <c r="B365" s="4"/>
      <c r="C365" s="4"/>
      <c r="D365" s="4"/>
      <c r="E365" s="4"/>
      <c r="F365" s="9"/>
      <c r="G365" s="9"/>
      <c r="H365" s="9"/>
      <c r="I365" s="9"/>
      <c r="J365" s="4"/>
      <c r="K365" s="4"/>
      <c r="L365" s="4"/>
      <c r="M365" s="4"/>
      <c r="N365" s="4"/>
      <c r="O365" s="4"/>
      <c r="P365" s="4"/>
      <c r="Q365" s="4"/>
    </row>
    <row r="366" spans="1:17">
      <c r="A366" s="4"/>
      <c r="B366" s="4"/>
      <c r="C366" s="4"/>
      <c r="D366" s="4"/>
      <c r="E366" s="4"/>
      <c r="F366" s="9"/>
      <c r="G366" s="9"/>
      <c r="H366" s="9"/>
      <c r="I366" s="9"/>
      <c r="J366" s="4"/>
      <c r="K366" s="4"/>
      <c r="L366" s="4"/>
      <c r="M366" s="4"/>
      <c r="N366" s="4"/>
      <c r="O366" s="4"/>
      <c r="P366" s="4"/>
      <c r="Q366" s="4"/>
    </row>
    <row r="367" spans="1:17">
      <c r="A367" s="4"/>
      <c r="B367" s="4"/>
      <c r="C367" s="4"/>
      <c r="D367" s="4"/>
      <c r="E367" s="52"/>
      <c r="F367" s="9"/>
      <c r="G367" s="9"/>
      <c r="H367" s="9"/>
      <c r="I367" s="9"/>
      <c r="J367" s="4"/>
      <c r="K367" s="4"/>
      <c r="L367" s="8"/>
      <c r="M367" s="9"/>
      <c r="N367" s="4"/>
      <c r="O367" s="4"/>
      <c r="P367" s="4"/>
      <c r="Q367" s="4"/>
    </row>
    <row r="368" spans="1:17">
      <c r="A368" s="164"/>
      <c r="B368" s="164"/>
      <c r="C368" s="164"/>
      <c r="D368" s="164"/>
      <c r="E368" s="164"/>
      <c r="F368" s="164"/>
      <c r="G368" s="164"/>
      <c r="H368" s="164"/>
      <c r="I368" s="164"/>
      <c r="J368" s="164"/>
      <c r="K368" s="164"/>
      <c r="L368" s="164"/>
      <c r="M368" s="164"/>
      <c r="N368" s="164"/>
      <c r="O368" s="164"/>
      <c r="P368" s="164"/>
      <c r="Q368" s="164"/>
    </row>
    <row r="369" spans="1:17" ht="17.45">
      <c r="A369" s="163" t="s">
        <v>1740</v>
      </c>
      <c r="B369" s="163"/>
      <c r="C369" s="163"/>
      <c r="D369" s="163"/>
      <c r="E369" s="163"/>
      <c r="F369" s="163"/>
      <c r="G369" s="163"/>
      <c r="H369" s="163"/>
      <c r="I369" s="163"/>
      <c r="J369" s="163"/>
      <c r="K369" s="163"/>
      <c r="L369" s="163"/>
      <c r="M369" s="163"/>
      <c r="N369" s="163"/>
      <c r="O369" s="163"/>
      <c r="P369" s="163"/>
      <c r="Q369" s="163"/>
    </row>
    <row r="370" spans="1:17">
      <c r="A370" s="3"/>
      <c r="B370" s="3"/>
      <c r="C370" s="3"/>
      <c r="D370" s="3"/>
      <c r="E370" s="3"/>
      <c r="F370" s="23"/>
      <c r="G370" s="3"/>
      <c r="H370" s="3"/>
      <c r="I370" s="3"/>
      <c r="J370" s="3"/>
      <c r="K370" s="3"/>
      <c r="L370" s="3"/>
      <c r="M370" s="3"/>
      <c r="N370" s="3"/>
      <c r="O370" s="3"/>
      <c r="P370" s="3"/>
      <c r="Q370" s="3"/>
    </row>
    <row r="371" spans="1:17">
      <c r="A371" s="3"/>
      <c r="B371" s="3"/>
      <c r="C371" s="3"/>
      <c r="D371" s="3"/>
      <c r="E371" s="3"/>
      <c r="F371" s="23"/>
      <c r="G371" s="3"/>
      <c r="H371" s="3"/>
      <c r="I371" s="3"/>
      <c r="J371" s="3"/>
      <c r="K371" s="3"/>
      <c r="L371" s="3"/>
      <c r="M371" s="3"/>
      <c r="N371" s="3"/>
      <c r="O371" s="3"/>
      <c r="P371" s="3"/>
      <c r="Q371" s="3"/>
    </row>
    <row r="372" spans="1:17">
      <c r="A372" s="3"/>
      <c r="B372" s="3"/>
      <c r="C372" s="3"/>
      <c r="D372" s="3"/>
      <c r="E372" s="3"/>
      <c r="F372" s="23"/>
      <c r="G372" s="3"/>
      <c r="H372" s="3"/>
      <c r="I372" s="3"/>
      <c r="J372" s="3"/>
      <c r="K372" s="3"/>
      <c r="L372" s="3"/>
      <c r="M372" s="3"/>
      <c r="N372" s="3"/>
      <c r="O372" s="3"/>
      <c r="P372" s="3"/>
      <c r="Q372" s="3"/>
    </row>
    <row r="373" spans="1:17">
      <c r="A373" s="3"/>
      <c r="B373" s="3"/>
      <c r="C373" s="3"/>
      <c r="D373" s="3"/>
      <c r="E373" s="3"/>
      <c r="F373" s="23"/>
      <c r="G373" s="3"/>
      <c r="H373" s="3"/>
      <c r="I373" s="3"/>
      <c r="J373" s="3"/>
      <c r="K373" s="3"/>
      <c r="L373" s="3"/>
      <c r="M373" s="3"/>
      <c r="N373" s="3"/>
      <c r="O373" s="3"/>
      <c r="P373" s="3"/>
      <c r="Q373" s="3"/>
    </row>
    <row r="374" spans="1:17">
      <c r="A374" s="3"/>
      <c r="B374" s="3"/>
      <c r="C374" s="3"/>
      <c r="D374" s="3"/>
      <c r="E374" s="3"/>
      <c r="F374" s="23"/>
      <c r="G374" s="3"/>
      <c r="H374" s="3"/>
      <c r="I374" s="3"/>
      <c r="J374" s="3"/>
      <c r="K374" s="3"/>
      <c r="L374" s="3"/>
      <c r="M374" s="3"/>
      <c r="N374" s="3"/>
      <c r="O374" s="3"/>
      <c r="P374" s="3"/>
      <c r="Q374" s="3"/>
    </row>
    <row r="375" spans="1:17">
      <c r="A375" s="3"/>
      <c r="B375" s="3"/>
      <c r="C375" s="3"/>
      <c r="D375" s="3"/>
      <c r="E375" s="3"/>
      <c r="F375" s="23"/>
      <c r="G375" s="3"/>
      <c r="H375" s="3"/>
      <c r="I375" s="3"/>
      <c r="J375" s="3"/>
      <c r="K375" s="3"/>
      <c r="L375" s="3"/>
      <c r="M375" s="3"/>
      <c r="N375" s="3"/>
      <c r="O375" s="3"/>
      <c r="P375" s="3"/>
      <c r="Q375" s="3"/>
    </row>
    <row r="376" spans="1:17">
      <c r="A376" s="3"/>
      <c r="B376" s="3"/>
      <c r="C376" s="3"/>
      <c r="D376" s="3"/>
      <c r="E376" s="3"/>
      <c r="F376" s="23"/>
      <c r="G376" s="3"/>
      <c r="H376" s="3"/>
      <c r="I376" s="3"/>
      <c r="J376" s="3"/>
      <c r="K376" s="3"/>
      <c r="L376" s="3"/>
      <c r="M376" s="3"/>
      <c r="N376" s="3"/>
      <c r="O376" s="3"/>
      <c r="P376" s="3"/>
      <c r="Q376" s="3"/>
    </row>
    <row r="377" spans="1:17">
      <c r="A377" s="3"/>
      <c r="B377" s="3"/>
      <c r="C377" s="3"/>
      <c r="D377" s="3"/>
      <c r="E377" s="3"/>
      <c r="F377" s="23"/>
      <c r="G377" s="3"/>
      <c r="H377" s="3"/>
      <c r="I377" s="3"/>
      <c r="J377" s="3"/>
      <c r="K377" s="3"/>
      <c r="L377" s="3"/>
      <c r="M377" s="3"/>
      <c r="N377" s="3"/>
      <c r="O377" s="3"/>
      <c r="P377" s="3"/>
      <c r="Q377" s="3"/>
    </row>
    <row r="378" spans="1:17">
      <c r="A378" s="3"/>
      <c r="B378" s="3"/>
      <c r="C378" s="3"/>
      <c r="D378" s="3"/>
      <c r="E378" s="3"/>
      <c r="F378" s="23"/>
      <c r="G378" s="3"/>
      <c r="H378" s="3"/>
      <c r="I378" s="3"/>
      <c r="J378" s="3"/>
      <c r="K378" s="3"/>
      <c r="L378" s="3"/>
      <c r="M378" s="3"/>
      <c r="N378" s="3"/>
      <c r="O378" s="3"/>
      <c r="P378" s="3"/>
      <c r="Q378" s="3"/>
    </row>
    <row r="379" spans="1:17">
      <c r="A379" s="3"/>
      <c r="B379" s="3"/>
      <c r="C379" s="3"/>
      <c r="D379" s="3"/>
      <c r="E379" s="3"/>
      <c r="F379" s="23"/>
      <c r="G379" s="3"/>
      <c r="H379" s="3"/>
      <c r="I379" s="3"/>
      <c r="J379" s="3"/>
      <c r="K379" s="3"/>
      <c r="L379" s="3"/>
      <c r="M379" s="3"/>
      <c r="N379" s="3"/>
      <c r="O379" s="3"/>
      <c r="P379" s="3"/>
      <c r="Q379" s="3"/>
    </row>
    <row r="380" spans="1:17">
      <c r="A380" s="3"/>
      <c r="B380" s="3"/>
      <c r="C380" s="3"/>
      <c r="D380" s="3"/>
      <c r="E380" s="3"/>
      <c r="F380" s="23"/>
      <c r="G380" s="3"/>
      <c r="H380" s="3"/>
      <c r="I380" s="3"/>
      <c r="J380" s="3"/>
      <c r="K380" s="3"/>
      <c r="L380" s="3"/>
      <c r="M380" s="3"/>
      <c r="N380" s="3"/>
      <c r="O380" s="3"/>
      <c r="P380" s="3"/>
      <c r="Q380" s="3"/>
    </row>
    <row r="381" spans="1:17">
      <c r="A381" s="3"/>
      <c r="B381" s="3"/>
      <c r="C381" s="3"/>
      <c r="D381" s="3"/>
      <c r="E381" s="3"/>
      <c r="F381" s="23"/>
      <c r="G381" s="3"/>
      <c r="H381" s="3"/>
      <c r="I381" s="3"/>
      <c r="J381" s="3"/>
      <c r="K381" s="3"/>
      <c r="L381" s="3"/>
      <c r="M381" s="3"/>
      <c r="N381" s="3"/>
      <c r="O381" s="3"/>
      <c r="P381" s="3"/>
      <c r="Q381" s="3"/>
    </row>
    <row r="382" spans="1:17">
      <c r="A382" s="3"/>
      <c r="B382" s="3"/>
      <c r="C382" s="3"/>
      <c r="D382" s="3"/>
      <c r="E382" s="3"/>
      <c r="F382" s="23"/>
      <c r="G382" s="3"/>
      <c r="H382" s="3"/>
      <c r="I382" s="3"/>
      <c r="J382" s="3"/>
      <c r="K382" s="3"/>
      <c r="L382" s="3"/>
      <c r="M382" s="3"/>
      <c r="N382" s="3"/>
      <c r="O382" s="3"/>
      <c r="P382" s="3"/>
      <c r="Q382" s="3"/>
    </row>
    <row r="383" spans="1:17">
      <c r="A383" s="3"/>
      <c r="B383" s="3"/>
      <c r="C383" s="3"/>
      <c r="D383" s="3"/>
      <c r="E383" s="3"/>
      <c r="F383" s="23"/>
      <c r="G383" s="3"/>
      <c r="H383" s="3"/>
      <c r="I383" s="3"/>
      <c r="J383" s="3"/>
      <c r="K383" s="3"/>
      <c r="L383" s="3"/>
      <c r="M383" s="3"/>
      <c r="N383" s="3"/>
      <c r="O383" s="3"/>
      <c r="P383" s="3"/>
      <c r="Q383" s="3"/>
    </row>
    <row r="384" spans="1:17">
      <c r="A384" s="3"/>
      <c r="B384" s="3"/>
      <c r="C384" s="3"/>
      <c r="D384" s="3"/>
      <c r="E384" s="3"/>
      <c r="F384" s="23"/>
      <c r="G384" s="3"/>
      <c r="H384" s="3"/>
      <c r="I384" s="3"/>
      <c r="J384" s="3"/>
      <c r="K384" s="3"/>
      <c r="L384" s="3"/>
      <c r="M384" s="3"/>
      <c r="N384" s="3"/>
      <c r="O384" s="3"/>
      <c r="P384" s="3"/>
      <c r="Q384" s="3"/>
    </row>
    <row r="385" spans="1:17">
      <c r="A385" s="3"/>
      <c r="B385" s="3"/>
      <c r="C385" s="3"/>
      <c r="D385" s="3"/>
      <c r="E385" s="3"/>
      <c r="F385" s="23"/>
      <c r="G385" s="3"/>
      <c r="H385" s="3"/>
      <c r="I385" s="3"/>
      <c r="J385" s="3"/>
      <c r="K385" s="3"/>
      <c r="L385" s="3"/>
      <c r="M385" s="3"/>
      <c r="N385" s="3"/>
      <c r="O385" s="3"/>
      <c r="P385" s="3"/>
      <c r="Q385" s="3"/>
    </row>
    <row r="386" spans="1:17">
      <c r="A386" s="3"/>
      <c r="B386" s="3"/>
      <c r="C386" s="3"/>
      <c r="D386" s="3"/>
      <c r="E386" s="3"/>
      <c r="F386" s="23"/>
      <c r="G386" s="3"/>
      <c r="H386" s="3"/>
      <c r="I386" s="3"/>
      <c r="J386" s="3"/>
      <c r="K386" s="3"/>
      <c r="L386" s="3"/>
      <c r="M386" s="3"/>
      <c r="N386" s="3"/>
      <c r="O386" s="3"/>
      <c r="P386" s="3"/>
      <c r="Q386" s="3"/>
    </row>
    <row r="387" spans="1:17">
      <c r="A387" s="3"/>
      <c r="B387" s="3"/>
      <c r="C387" s="3"/>
      <c r="D387" s="3"/>
      <c r="E387" s="3"/>
      <c r="F387" s="23"/>
      <c r="G387" s="3"/>
      <c r="H387" s="3"/>
      <c r="I387" s="3"/>
      <c r="J387" s="3"/>
      <c r="K387" s="3"/>
      <c r="L387" s="3"/>
      <c r="M387" s="3"/>
      <c r="N387" s="3"/>
      <c r="O387" s="3"/>
      <c r="P387" s="3"/>
      <c r="Q387" s="3"/>
    </row>
    <row r="388" spans="1:17">
      <c r="A388" s="3"/>
      <c r="B388" s="3"/>
      <c r="C388" s="3"/>
      <c r="D388" s="3"/>
      <c r="E388" s="3"/>
      <c r="F388" s="23"/>
      <c r="G388" s="3"/>
      <c r="H388" s="3"/>
      <c r="I388" s="3"/>
      <c r="J388" s="3"/>
      <c r="K388" s="3"/>
      <c r="L388" s="3"/>
      <c r="M388" s="3"/>
      <c r="N388" s="3"/>
      <c r="O388" s="3"/>
      <c r="P388" s="3"/>
      <c r="Q388" s="3"/>
    </row>
    <row r="389" spans="1:17">
      <c r="A389" s="3"/>
      <c r="B389" s="3"/>
      <c r="C389" s="3"/>
      <c r="D389" s="3"/>
      <c r="E389" s="3"/>
      <c r="F389" s="23"/>
      <c r="G389" s="3"/>
      <c r="H389" s="3"/>
      <c r="I389" s="3"/>
      <c r="J389" s="3"/>
      <c r="K389" s="3"/>
      <c r="L389" s="3"/>
      <c r="M389" s="3"/>
      <c r="N389" s="3"/>
      <c r="O389" s="3"/>
      <c r="P389" s="3"/>
      <c r="Q389" s="3"/>
    </row>
    <row r="390" spans="1:17">
      <c r="A390" s="3"/>
      <c r="B390" s="3"/>
      <c r="C390" s="3"/>
      <c r="D390" s="3"/>
      <c r="E390" s="3"/>
      <c r="F390" s="23"/>
      <c r="G390" s="3"/>
      <c r="H390" s="3"/>
      <c r="I390" s="3"/>
      <c r="J390" s="3"/>
      <c r="K390" s="3"/>
      <c r="L390" s="3"/>
      <c r="M390" s="3"/>
      <c r="N390" s="3"/>
      <c r="O390" s="3"/>
      <c r="P390" s="3"/>
      <c r="Q390" s="3"/>
    </row>
    <row r="391" spans="1:17">
      <c r="A391" s="3"/>
      <c r="B391" s="3"/>
      <c r="C391" s="3"/>
      <c r="D391" s="3"/>
      <c r="E391" s="3"/>
      <c r="F391" s="23"/>
      <c r="G391" s="3"/>
      <c r="H391" s="3"/>
      <c r="I391" s="3"/>
      <c r="J391" s="3"/>
      <c r="K391" s="3"/>
      <c r="L391" s="3"/>
      <c r="M391" s="3"/>
      <c r="N391" s="3"/>
      <c r="O391" s="3"/>
      <c r="P391" s="3"/>
      <c r="Q391" s="3"/>
    </row>
    <row r="392" spans="1:17">
      <c r="A392" s="3"/>
      <c r="B392" s="3"/>
      <c r="C392" s="3"/>
      <c r="D392" s="3"/>
      <c r="E392" s="3"/>
      <c r="F392" s="3"/>
      <c r="G392" s="3"/>
      <c r="H392" s="3"/>
      <c r="I392" s="3"/>
      <c r="J392" s="3"/>
      <c r="K392" s="3"/>
      <c r="L392" s="3"/>
      <c r="M392" s="3"/>
      <c r="N392" s="3"/>
      <c r="O392" s="3"/>
      <c r="P392" s="3"/>
      <c r="Q392" s="3"/>
    </row>
    <row r="393" spans="1:17">
      <c r="A393" s="3"/>
      <c r="B393" s="3"/>
      <c r="C393" s="3"/>
      <c r="D393" s="3"/>
      <c r="E393" s="3"/>
      <c r="F393" s="3"/>
      <c r="G393" s="3"/>
      <c r="H393" s="3"/>
      <c r="I393" s="3"/>
      <c r="J393" s="3"/>
      <c r="K393" s="3"/>
      <c r="L393" s="3"/>
      <c r="M393" s="67"/>
      <c r="N393" s="3"/>
      <c r="O393" s="3"/>
      <c r="P393" s="3"/>
      <c r="Q393" s="3"/>
    </row>
    <row r="394" spans="1:17">
      <c r="A394" s="3"/>
      <c r="B394" s="3"/>
      <c r="C394" s="3"/>
      <c r="D394" s="3"/>
      <c r="E394" s="3"/>
      <c r="F394" s="23"/>
      <c r="G394" s="3"/>
      <c r="H394" s="3"/>
      <c r="I394" s="3"/>
      <c r="J394" s="3"/>
      <c r="K394" s="3"/>
      <c r="L394" s="3"/>
      <c r="M394" s="67"/>
      <c r="N394" s="67"/>
      <c r="O394" s="3"/>
      <c r="P394" s="3"/>
      <c r="Q394" s="3"/>
    </row>
    <row r="395" spans="1:17">
      <c r="A395" s="3"/>
      <c r="B395" s="3"/>
      <c r="C395" s="3"/>
      <c r="D395" s="3"/>
      <c r="E395" s="3"/>
      <c r="F395" s="23"/>
      <c r="G395" s="3"/>
      <c r="H395" s="3"/>
      <c r="I395" s="3"/>
      <c r="J395" s="3"/>
      <c r="K395" s="3"/>
      <c r="L395" s="3"/>
      <c r="M395" s="23"/>
      <c r="N395" s="68"/>
      <c r="O395" s="3"/>
      <c r="P395" s="3"/>
      <c r="Q395" s="3"/>
    </row>
    <row r="396" spans="1:17">
      <c r="A396" s="3"/>
      <c r="B396" s="3"/>
      <c r="C396" s="3"/>
      <c r="D396" s="3"/>
      <c r="E396" s="3"/>
      <c r="F396" s="23"/>
      <c r="G396" s="69"/>
      <c r="H396" s="69"/>
      <c r="I396" s="70"/>
      <c r="J396" s="3"/>
      <c r="K396" s="3"/>
      <c r="L396" s="3"/>
      <c r="M396" s="71"/>
      <c r="N396" s="3"/>
      <c r="O396" s="3"/>
      <c r="P396" s="3"/>
      <c r="Q396" s="3"/>
    </row>
    <row r="397" spans="1:17">
      <c r="A397" s="3"/>
      <c r="B397" s="3"/>
      <c r="C397" s="3"/>
      <c r="D397" s="3"/>
      <c r="E397" s="3"/>
      <c r="F397" s="23"/>
      <c r="G397" s="72"/>
      <c r="H397" s="74"/>
      <c r="I397" s="73"/>
      <c r="J397" s="3"/>
      <c r="K397" s="3"/>
      <c r="L397" s="3"/>
      <c r="M397" s="23"/>
      <c r="N397" s="3"/>
      <c r="O397" s="3"/>
      <c r="P397" s="3"/>
      <c r="Q397" s="3"/>
    </row>
    <row r="398" spans="1:17">
      <c r="A398" s="3"/>
      <c r="B398" s="3"/>
      <c r="C398" s="3"/>
      <c r="D398" s="100"/>
      <c r="E398" s="97"/>
      <c r="F398" s="23"/>
      <c r="G398" s="74"/>
      <c r="H398" s="74"/>
      <c r="I398" s="23"/>
      <c r="J398" s="3"/>
      <c r="K398" s="3"/>
      <c r="L398" s="3"/>
      <c r="M398" s="3"/>
      <c r="N398" s="3"/>
      <c r="O398" s="3"/>
      <c r="P398" s="3"/>
      <c r="Q398" s="3"/>
    </row>
    <row r="399" spans="1:17">
      <c r="A399" s="3"/>
      <c r="B399" s="3"/>
      <c r="C399" s="3"/>
      <c r="D399" s="100"/>
      <c r="E399" s="97"/>
      <c r="F399" s="23"/>
      <c r="G399" s="74"/>
      <c r="H399" s="74"/>
      <c r="I399" s="23"/>
      <c r="J399" s="3"/>
      <c r="K399" s="3"/>
      <c r="L399" s="3"/>
      <c r="M399" s="3"/>
      <c r="N399" s="3"/>
      <c r="O399" s="3"/>
      <c r="P399" s="3"/>
      <c r="Q399" s="3"/>
    </row>
    <row r="400" spans="1:17">
      <c r="A400" s="3"/>
      <c r="B400" s="3"/>
      <c r="C400" s="3"/>
      <c r="D400" s="100"/>
      <c r="E400" s="97"/>
      <c r="F400" s="23"/>
      <c r="G400" s="74"/>
      <c r="H400" s="74"/>
      <c r="I400" s="23"/>
      <c r="J400" s="3"/>
      <c r="K400" s="3"/>
      <c r="L400" s="3"/>
      <c r="M400" s="3"/>
      <c r="N400" s="3"/>
      <c r="O400" s="3"/>
      <c r="P400" s="3"/>
      <c r="Q400" s="3"/>
    </row>
    <row r="401" spans="1:17">
      <c r="A401" s="3"/>
      <c r="B401" s="3"/>
      <c r="C401" s="3"/>
      <c r="D401" s="100"/>
      <c r="E401" s="97"/>
      <c r="F401" s="23"/>
      <c r="G401" s="74"/>
      <c r="H401" s="74"/>
      <c r="I401" s="23"/>
      <c r="J401" s="3"/>
      <c r="K401" s="3"/>
      <c r="L401" s="3"/>
      <c r="M401" s="3"/>
      <c r="N401" s="3"/>
      <c r="O401" s="3"/>
      <c r="P401" s="3"/>
      <c r="Q401" s="3"/>
    </row>
    <row r="402" spans="1:17">
      <c r="A402" s="3"/>
      <c r="B402" s="3"/>
      <c r="C402" s="3"/>
      <c r="D402" s="100"/>
      <c r="E402" s="97"/>
      <c r="F402" s="23"/>
      <c r="G402" s="74"/>
      <c r="H402" s="74"/>
      <c r="I402" s="23"/>
      <c r="J402" s="3"/>
      <c r="K402" s="3"/>
      <c r="L402" s="3"/>
      <c r="M402" s="3"/>
      <c r="N402" s="3"/>
      <c r="O402" s="3"/>
      <c r="P402" s="3"/>
      <c r="Q402" s="3"/>
    </row>
    <row r="403" spans="1:17">
      <c r="A403" s="3"/>
      <c r="B403" s="3"/>
      <c r="C403" s="3"/>
      <c r="D403" s="100"/>
      <c r="E403" s="97"/>
      <c r="F403" s="23"/>
      <c r="G403" s="74"/>
      <c r="H403" s="74"/>
      <c r="I403" s="23"/>
      <c r="J403" s="3"/>
      <c r="K403" s="3"/>
      <c r="L403" s="3"/>
      <c r="M403" s="3"/>
      <c r="N403" s="3"/>
      <c r="O403" s="3"/>
      <c r="P403" s="3"/>
      <c r="Q403" s="3"/>
    </row>
    <row r="404" spans="1:17">
      <c r="A404" s="3"/>
      <c r="B404" s="3"/>
      <c r="C404" s="3"/>
      <c r="D404" s="100"/>
      <c r="E404" s="97"/>
      <c r="F404" s="23"/>
      <c r="G404" s="74"/>
      <c r="H404" s="74"/>
      <c r="I404" s="23"/>
      <c r="J404" s="3"/>
      <c r="K404" s="3"/>
      <c r="L404" s="3"/>
      <c r="M404" s="3"/>
      <c r="N404" s="3"/>
      <c r="O404" s="3"/>
      <c r="P404" s="3"/>
      <c r="Q404" s="3"/>
    </row>
    <row r="405" spans="1:17">
      <c r="A405" s="3"/>
      <c r="B405" s="3"/>
      <c r="C405" s="3"/>
      <c r="D405" s="100"/>
      <c r="E405" s="97"/>
      <c r="F405" s="23"/>
      <c r="G405" s="74"/>
      <c r="H405" s="74"/>
      <c r="I405" s="23"/>
      <c r="J405" s="3"/>
      <c r="K405" s="3"/>
      <c r="L405" s="3"/>
      <c r="M405" s="3"/>
      <c r="N405" s="3"/>
      <c r="O405" s="3"/>
      <c r="P405" s="3"/>
      <c r="Q405" s="3"/>
    </row>
    <row r="406" spans="1:17">
      <c r="A406" s="3"/>
      <c r="B406" s="3"/>
      <c r="C406" s="3"/>
      <c r="D406" s="101"/>
      <c r="E406" s="98"/>
      <c r="F406" s="23"/>
      <c r="G406" s="74"/>
      <c r="H406" s="74"/>
      <c r="I406" s="23"/>
      <c r="J406" s="3"/>
      <c r="K406" s="3"/>
      <c r="L406" s="3"/>
      <c r="M406" s="3"/>
      <c r="N406" s="3"/>
      <c r="O406" s="3"/>
      <c r="P406" s="3"/>
      <c r="Q406" s="3"/>
    </row>
    <row r="407" spans="1:17">
      <c r="A407" s="3"/>
      <c r="B407" s="3"/>
      <c r="C407" s="3"/>
      <c r="D407" s="101"/>
      <c r="E407" s="98"/>
      <c r="F407" s="23"/>
      <c r="G407" s="74"/>
      <c r="H407" s="74"/>
      <c r="I407" s="23"/>
      <c r="J407" s="3"/>
      <c r="K407" s="3"/>
      <c r="L407" s="3"/>
      <c r="M407" s="3"/>
      <c r="N407" s="3"/>
      <c r="O407" s="3"/>
      <c r="P407" s="3"/>
      <c r="Q407" s="3"/>
    </row>
    <row r="408" spans="1:17">
      <c r="A408" s="3"/>
      <c r="B408" s="3"/>
      <c r="C408" s="3"/>
      <c r="D408" s="100"/>
      <c r="E408" s="97"/>
      <c r="F408" s="23"/>
      <c r="G408" s="74"/>
      <c r="H408" s="74"/>
      <c r="I408" s="23"/>
      <c r="J408" s="3"/>
      <c r="K408" s="3"/>
      <c r="L408" s="3"/>
      <c r="M408" s="3"/>
      <c r="N408" s="3"/>
      <c r="O408" s="3"/>
      <c r="P408" s="3"/>
      <c r="Q408" s="3"/>
    </row>
    <row r="409" spans="1:17">
      <c r="A409" s="3"/>
      <c r="B409" s="3"/>
      <c r="C409" s="3"/>
      <c r="D409" s="101"/>
      <c r="E409" s="98"/>
      <c r="F409" s="23"/>
      <c r="G409" s="74"/>
      <c r="H409" s="74"/>
      <c r="I409" s="23"/>
      <c r="J409" s="3"/>
      <c r="K409" s="3"/>
      <c r="L409" s="3"/>
      <c r="M409" s="3"/>
      <c r="N409" s="3"/>
      <c r="O409" s="3"/>
      <c r="P409" s="3"/>
      <c r="Q409" s="3"/>
    </row>
    <row r="410" spans="1:17">
      <c r="A410" s="3"/>
      <c r="B410" s="3"/>
      <c r="C410" s="3"/>
      <c r="D410" s="101"/>
      <c r="E410" s="98"/>
      <c r="F410" s="23"/>
      <c r="G410" s="74"/>
      <c r="H410" s="74"/>
      <c r="I410" s="23"/>
      <c r="J410" s="3"/>
      <c r="K410" s="3"/>
      <c r="L410" s="3"/>
      <c r="M410" s="3"/>
      <c r="N410" s="3"/>
      <c r="O410" s="3"/>
      <c r="P410" s="3"/>
      <c r="Q410" s="3"/>
    </row>
    <row r="411" spans="1:17">
      <c r="A411" s="3"/>
      <c r="B411" s="3"/>
      <c r="C411" s="3"/>
      <c r="D411" s="101"/>
      <c r="E411" s="98"/>
      <c r="F411" s="23"/>
      <c r="G411" s="74"/>
      <c r="H411" s="74"/>
      <c r="I411" s="23"/>
      <c r="J411" s="3"/>
      <c r="K411" s="3"/>
      <c r="L411" s="3"/>
      <c r="M411" s="3"/>
      <c r="N411" s="3"/>
      <c r="O411" s="3"/>
      <c r="P411" s="3"/>
      <c r="Q411" s="3"/>
    </row>
    <row r="412" spans="1:17">
      <c r="A412" s="3"/>
      <c r="B412" s="3"/>
      <c r="C412" s="3"/>
      <c r="D412" s="102"/>
      <c r="E412" s="99"/>
      <c r="F412" s="23"/>
      <c r="G412" s="74"/>
      <c r="H412" s="74"/>
      <c r="I412" s="23"/>
      <c r="J412" s="3"/>
      <c r="K412" s="3"/>
      <c r="L412" s="3"/>
      <c r="M412" s="3"/>
      <c r="N412" s="3"/>
      <c r="O412" s="3"/>
      <c r="P412" s="3"/>
      <c r="Q412" s="3"/>
    </row>
    <row r="413" spans="1:17">
      <c r="A413" s="3"/>
      <c r="B413" s="3"/>
      <c r="C413" s="3"/>
      <c r="D413" s="100"/>
      <c r="E413" s="97"/>
      <c r="F413" s="23"/>
      <c r="G413" s="74"/>
      <c r="H413" s="74"/>
      <c r="I413" s="23"/>
      <c r="J413" s="3"/>
      <c r="K413" s="3"/>
      <c r="L413" s="3"/>
      <c r="M413" s="3"/>
      <c r="N413" s="3"/>
      <c r="O413" s="3"/>
      <c r="P413" s="3"/>
      <c r="Q413" s="3"/>
    </row>
    <row r="414" spans="1:17">
      <c r="A414" s="3"/>
      <c r="B414" s="3"/>
      <c r="C414" s="3"/>
      <c r="D414" s="101"/>
      <c r="E414" s="98"/>
      <c r="F414" s="23"/>
      <c r="G414" s="74"/>
      <c r="H414" s="74"/>
      <c r="I414" s="23"/>
      <c r="J414" s="3"/>
      <c r="K414" s="3"/>
      <c r="L414" s="3"/>
      <c r="M414" s="3"/>
      <c r="N414" s="3"/>
      <c r="O414" s="3"/>
      <c r="P414" s="3"/>
      <c r="Q414" s="3"/>
    </row>
    <row r="415" spans="1:17">
      <c r="A415" s="3"/>
      <c r="B415" s="3"/>
      <c r="C415" s="3"/>
      <c r="D415" s="101"/>
      <c r="E415" s="98"/>
      <c r="F415" s="23"/>
      <c r="G415" s="74"/>
      <c r="H415" s="74"/>
      <c r="I415" s="23"/>
      <c r="J415" s="3"/>
      <c r="K415" s="3"/>
      <c r="L415" s="3"/>
      <c r="M415" s="3"/>
      <c r="N415" s="3"/>
      <c r="O415" s="3"/>
      <c r="P415" s="3"/>
      <c r="Q415" s="3"/>
    </row>
    <row r="416" spans="1:17">
      <c r="A416" s="3"/>
      <c r="B416" s="3"/>
      <c r="C416" s="3"/>
      <c r="D416" s="102"/>
      <c r="E416" s="99"/>
      <c r="F416" s="23"/>
      <c r="G416" s="74"/>
      <c r="H416" s="74"/>
      <c r="I416" s="23"/>
      <c r="J416" s="3"/>
      <c r="K416" s="3"/>
      <c r="L416" s="3"/>
      <c r="M416" s="3"/>
      <c r="N416" s="3"/>
      <c r="O416" s="3"/>
      <c r="P416" s="3"/>
      <c r="Q416" s="3"/>
    </row>
    <row r="417" spans="1:17">
      <c r="A417" s="3"/>
      <c r="B417" s="3"/>
      <c r="C417" s="3"/>
      <c r="D417" s="102"/>
      <c r="E417" s="99"/>
      <c r="F417" s="23"/>
      <c r="G417" s="74"/>
      <c r="H417" s="74"/>
      <c r="I417" s="23"/>
      <c r="J417" s="3"/>
      <c r="K417" s="3"/>
      <c r="L417" s="3"/>
      <c r="M417" s="3"/>
      <c r="N417" s="3"/>
      <c r="O417" s="3"/>
      <c r="P417" s="3"/>
      <c r="Q417" s="3"/>
    </row>
    <row r="418" spans="1:17">
      <c r="A418" s="3"/>
      <c r="B418" s="3"/>
      <c r="C418" s="3"/>
      <c r="D418" s="101"/>
      <c r="E418" s="98"/>
      <c r="F418" s="23"/>
      <c r="G418" s="74"/>
      <c r="H418" s="74"/>
      <c r="I418" s="23"/>
      <c r="J418" s="3"/>
      <c r="K418" s="3"/>
      <c r="L418" s="3"/>
      <c r="M418" s="3"/>
      <c r="N418" s="3"/>
      <c r="O418" s="3"/>
      <c r="P418" s="3"/>
      <c r="Q418" s="3"/>
    </row>
    <row r="419" spans="1:17">
      <c r="A419" s="3"/>
      <c r="B419" s="3"/>
      <c r="C419" s="3"/>
      <c r="D419" s="101"/>
      <c r="E419" s="98"/>
      <c r="F419" s="23"/>
      <c r="G419" s="74"/>
      <c r="H419" s="74"/>
      <c r="I419" s="23"/>
      <c r="J419" s="3"/>
      <c r="K419" s="3"/>
      <c r="L419" s="3"/>
      <c r="M419" s="3"/>
      <c r="N419" s="3"/>
      <c r="O419" s="3"/>
      <c r="P419" s="3"/>
      <c r="Q419" s="3"/>
    </row>
    <row r="420" spans="1:17">
      <c r="A420" s="3"/>
      <c r="B420" s="3"/>
      <c r="C420" s="3"/>
      <c r="D420" s="102"/>
      <c r="E420" s="99"/>
      <c r="F420" s="23"/>
      <c r="G420" s="74"/>
      <c r="H420" s="74"/>
      <c r="I420" s="23"/>
      <c r="J420" s="3"/>
      <c r="K420" s="3"/>
      <c r="L420" s="3"/>
      <c r="M420" s="3"/>
      <c r="N420" s="3"/>
      <c r="O420" s="3"/>
      <c r="P420" s="3"/>
      <c r="Q420" s="3"/>
    </row>
    <row r="421" spans="1:17">
      <c r="A421" s="3"/>
      <c r="B421" s="3"/>
      <c r="C421" s="3"/>
      <c r="D421" s="102"/>
      <c r="E421" s="99"/>
      <c r="F421" s="23"/>
      <c r="G421" s="74"/>
      <c r="H421" s="74"/>
      <c r="I421" s="23"/>
      <c r="J421" s="3"/>
      <c r="K421" s="3"/>
      <c r="L421" s="3"/>
      <c r="M421" s="3"/>
      <c r="N421" s="3"/>
      <c r="O421" s="3"/>
      <c r="P421" s="3"/>
      <c r="Q421" s="3"/>
    </row>
    <row r="422" spans="1:17" ht="15" thickBot="1">
      <c r="A422" s="3"/>
      <c r="B422" s="3"/>
      <c r="C422" s="3"/>
      <c r="D422" s="102"/>
      <c r="E422" s="99"/>
      <c r="F422" s="23"/>
      <c r="G422" s="74"/>
      <c r="H422" s="74"/>
      <c r="I422" s="23"/>
      <c r="J422" s="3"/>
      <c r="K422" s="3"/>
      <c r="L422" s="3"/>
      <c r="M422" s="3"/>
      <c r="N422" s="3"/>
      <c r="O422" s="3"/>
      <c r="P422" s="3"/>
      <c r="Q422" s="3"/>
    </row>
    <row r="423" spans="1:17" ht="15" thickBot="1">
      <c r="A423" s="3"/>
      <c r="B423" s="3"/>
      <c r="C423" s="3"/>
      <c r="D423" s="3"/>
      <c r="E423" s="3"/>
      <c r="F423" s="23"/>
      <c r="G423" s="108"/>
      <c r="H423" s="109"/>
      <c r="I423" s="3"/>
      <c r="J423" s="3"/>
      <c r="K423" s="3"/>
      <c r="L423" s="3"/>
      <c r="M423" s="3"/>
      <c r="N423" s="3"/>
      <c r="O423" s="3"/>
      <c r="P423" s="3"/>
      <c r="Q423" s="3"/>
    </row>
    <row r="424" spans="1:17">
      <c r="A424" s="3"/>
      <c r="B424" s="3"/>
      <c r="C424" s="3"/>
      <c r="D424" s="3"/>
      <c r="E424" s="3"/>
      <c r="F424" s="23"/>
      <c r="G424" s="3"/>
      <c r="H424" s="3"/>
      <c r="I424" s="3"/>
      <c r="J424" s="3"/>
      <c r="K424" s="3"/>
      <c r="L424" s="3"/>
      <c r="M424" s="3"/>
      <c r="N424" s="3"/>
      <c r="O424" s="3"/>
      <c r="P424" s="3"/>
      <c r="Q424" s="3"/>
    </row>
    <row r="425" spans="1:17">
      <c r="A425" s="3"/>
      <c r="B425" s="3"/>
      <c r="C425" s="3"/>
      <c r="D425" s="3"/>
      <c r="E425" s="3"/>
      <c r="F425" s="23"/>
      <c r="G425" s="3"/>
      <c r="H425" s="3"/>
      <c r="I425" s="3"/>
      <c r="J425" s="3"/>
      <c r="K425" s="3"/>
      <c r="L425" s="3"/>
      <c r="M425" s="3"/>
      <c r="N425" s="3"/>
      <c r="O425" s="3"/>
      <c r="P425" s="3"/>
      <c r="Q425" s="3"/>
    </row>
    <row r="426" spans="1:17">
      <c r="A426" s="3"/>
      <c r="B426" s="3"/>
      <c r="C426" s="3"/>
      <c r="D426" s="3"/>
      <c r="E426" s="3"/>
      <c r="F426" s="23"/>
      <c r="G426" s="74"/>
      <c r="H426" s="74"/>
      <c r="I426" s="74"/>
      <c r="J426" s="3"/>
      <c r="K426" s="3"/>
      <c r="L426" s="3"/>
      <c r="M426" s="3"/>
      <c r="N426" s="3"/>
      <c r="O426" s="3"/>
      <c r="P426" s="3"/>
      <c r="Q426" s="3"/>
    </row>
    <row r="427" spans="1:17">
      <c r="A427" s="3"/>
      <c r="B427" s="3"/>
      <c r="C427" s="3"/>
      <c r="D427" s="3"/>
      <c r="E427" s="3"/>
      <c r="F427" s="23"/>
      <c r="G427" s="115"/>
      <c r="H427" s="110"/>
      <c r="I427" s="116"/>
      <c r="J427" s="3"/>
      <c r="K427" s="3"/>
      <c r="L427" s="3"/>
      <c r="M427" s="3"/>
      <c r="N427" s="3"/>
      <c r="O427" s="3"/>
      <c r="P427" s="3"/>
      <c r="Q427" s="3"/>
    </row>
    <row r="428" spans="1:17">
      <c r="A428" s="3"/>
      <c r="B428" s="3"/>
      <c r="C428" s="3"/>
      <c r="D428" s="3"/>
      <c r="E428" s="3"/>
      <c r="F428" s="23"/>
      <c r="G428" s="117"/>
      <c r="H428" s="110"/>
      <c r="I428" s="116"/>
      <c r="J428" s="3"/>
      <c r="K428" s="3"/>
      <c r="L428" s="3"/>
      <c r="M428" s="3"/>
      <c r="N428" s="3"/>
      <c r="O428" s="3"/>
      <c r="P428" s="3"/>
      <c r="Q428" s="3"/>
    </row>
    <row r="429" spans="1:17">
      <c r="A429" s="3"/>
      <c r="B429" s="3"/>
      <c r="C429" s="3"/>
      <c r="D429" s="3"/>
      <c r="E429" s="3"/>
      <c r="F429" s="23"/>
      <c r="G429" s="118"/>
      <c r="H429" s="110"/>
      <c r="I429" s="116"/>
      <c r="J429" s="3"/>
      <c r="K429" s="3"/>
      <c r="L429" s="3"/>
      <c r="M429" s="3"/>
      <c r="N429" s="3"/>
      <c r="O429" s="3"/>
      <c r="P429" s="3"/>
      <c r="Q429" s="3"/>
    </row>
    <row r="430" spans="1:17">
      <c r="A430" s="3"/>
      <c r="B430" s="3"/>
      <c r="C430" s="3"/>
      <c r="D430" s="3"/>
      <c r="E430" s="3"/>
      <c r="F430" s="23"/>
      <c r="G430" s="74"/>
      <c r="H430" s="74"/>
      <c r="I430" s="116"/>
      <c r="J430" s="3"/>
      <c r="K430" s="3"/>
      <c r="L430" s="3"/>
      <c r="M430" s="3"/>
      <c r="N430" s="3"/>
      <c r="O430" s="3"/>
      <c r="P430" s="3"/>
      <c r="Q430" s="3"/>
    </row>
    <row r="431" spans="1:17">
      <c r="A431" s="3"/>
      <c r="B431" s="3"/>
      <c r="C431" s="3"/>
      <c r="D431" s="3"/>
      <c r="E431" s="3"/>
      <c r="F431" s="23"/>
      <c r="G431" s="23"/>
      <c r="H431" s="23"/>
      <c r="I431" s="23"/>
      <c r="J431" s="3"/>
      <c r="K431" s="3"/>
      <c r="L431" s="3"/>
      <c r="M431" s="3"/>
      <c r="N431" s="3"/>
      <c r="O431" s="3"/>
      <c r="P431" s="3"/>
      <c r="Q431" s="3"/>
    </row>
    <row r="432" spans="1:17">
      <c r="A432" s="3"/>
      <c r="B432" s="3"/>
      <c r="C432" s="3"/>
      <c r="D432" s="3"/>
      <c r="E432" s="3"/>
      <c r="F432" s="23"/>
      <c r="G432" s="23"/>
      <c r="H432" s="23"/>
      <c r="I432" s="23"/>
      <c r="J432" s="3"/>
      <c r="K432" s="3"/>
      <c r="L432" s="3"/>
      <c r="M432" s="3"/>
      <c r="N432" s="3"/>
      <c r="O432" s="3"/>
      <c r="P432" s="3"/>
      <c r="Q432" s="3"/>
    </row>
    <row r="433" spans="1:17">
      <c r="A433" s="3"/>
      <c r="B433" s="3"/>
      <c r="C433" s="3"/>
      <c r="D433" s="3"/>
      <c r="E433" s="3"/>
      <c r="F433" s="23"/>
      <c r="G433" s="23"/>
      <c r="H433" s="23"/>
      <c r="I433" s="23"/>
      <c r="J433" s="3"/>
      <c r="K433" s="3"/>
      <c r="L433" s="3"/>
      <c r="M433" s="3"/>
      <c r="N433" s="3"/>
      <c r="O433" s="3"/>
      <c r="P433" s="3"/>
      <c r="Q433" s="3"/>
    </row>
    <row r="434" spans="1:17">
      <c r="A434" s="3"/>
      <c r="B434" s="3"/>
      <c r="C434" s="3"/>
      <c r="D434" s="3"/>
      <c r="E434" s="3"/>
      <c r="F434" s="23"/>
      <c r="G434" s="23"/>
      <c r="H434" s="23"/>
      <c r="I434" s="23"/>
      <c r="J434" s="3"/>
      <c r="K434" s="3"/>
      <c r="L434" s="3"/>
      <c r="M434" s="3"/>
      <c r="N434" s="3"/>
      <c r="O434" s="3"/>
      <c r="P434" s="3"/>
      <c r="Q434" s="3"/>
    </row>
    <row r="435" spans="1:17">
      <c r="A435" s="3"/>
      <c r="B435" s="3"/>
      <c r="C435" s="3"/>
      <c r="D435" s="3"/>
      <c r="E435" s="3"/>
      <c r="F435" s="23"/>
      <c r="G435" s="23"/>
      <c r="H435" s="23"/>
      <c r="I435" s="23"/>
      <c r="J435" s="3"/>
      <c r="K435" s="3"/>
      <c r="L435" s="3"/>
      <c r="M435" s="3"/>
      <c r="N435" s="3"/>
      <c r="O435" s="3"/>
      <c r="P435" s="3"/>
      <c r="Q435" s="3"/>
    </row>
    <row r="436" spans="1:17">
      <c r="A436" s="3"/>
      <c r="B436" s="3"/>
      <c r="C436" s="3"/>
      <c r="D436" s="3"/>
      <c r="E436" s="3"/>
      <c r="F436" s="23"/>
      <c r="G436" s="23"/>
      <c r="H436" s="23"/>
      <c r="I436" s="23"/>
      <c r="J436" s="3"/>
      <c r="K436" s="3"/>
      <c r="L436" s="3"/>
      <c r="M436" s="3"/>
      <c r="N436" s="3"/>
      <c r="O436" s="3"/>
      <c r="P436" s="3"/>
      <c r="Q436" s="3"/>
    </row>
    <row r="437" spans="1:17">
      <c r="A437" s="3"/>
      <c r="B437" s="3"/>
      <c r="C437" s="3"/>
      <c r="D437" s="3"/>
      <c r="E437" s="3"/>
      <c r="F437" s="23"/>
      <c r="G437" s="23"/>
      <c r="H437" s="23"/>
      <c r="I437" s="23"/>
      <c r="J437" s="3"/>
      <c r="K437" s="3"/>
      <c r="L437" s="3"/>
      <c r="M437" s="3"/>
      <c r="N437" s="3"/>
      <c r="O437" s="3"/>
      <c r="P437" s="3"/>
      <c r="Q437" s="3"/>
    </row>
    <row r="438" spans="1:17">
      <c r="A438" s="3"/>
      <c r="B438" s="3"/>
      <c r="C438" s="3"/>
      <c r="D438" s="3"/>
      <c r="E438" s="3"/>
      <c r="F438" s="23"/>
      <c r="G438" s="23"/>
      <c r="H438" s="23"/>
      <c r="I438" s="23"/>
      <c r="J438" s="3"/>
      <c r="K438" s="3"/>
      <c r="L438" s="3"/>
      <c r="M438" s="3"/>
      <c r="N438" s="3"/>
      <c r="O438" s="3"/>
      <c r="P438" s="3"/>
      <c r="Q438" s="3"/>
    </row>
    <row r="439" spans="1:17">
      <c r="A439" s="3"/>
      <c r="B439" s="3"/>
      <c r="C439" s="3"/>
      <c r="D439" s="3"/>
      <c r="E439" s="3"/>
      <c r="F439" s="23"/>
      <c r="G439" s="23"/>
      <c r="H439" s="23"/>
      <c r="I439" s="23"/>
      <c r="J439" s="3"/>
      <c r="K439" s="3"/>
      <c r="L439" s="3"/>
      <c r="M439" s="3"/>
      <c r="N439" s="3"/>
      <c r="O439" s="3"/>
      <c r="P439" s="3"/>
      <c r="Q439" s="3"/>
    </row>
    <row r="440" spans="1:17">
      <c r="A440" s="3"/>
      <c r="B440" s="3"/>
      <c r="C440" s="3"/>
      <c r="D440" s="3"/>
      <c r="E440" s="3"/>
      <c r="F440" s="23"/>
      <c r="G440" s="23"/>
      <c r="H440" s="23"/>
      <c r="I440" s="23"/>
      <c r="J440" s="3"/>
      <c r="K440" s="3"/>
      <c r="L440" s="3"/>
      <c r="M440" s="3"/>
      <c r="N440" s="3"/>
      <c r="O440" s="3"/>
      <c r="P440" s="3"/>
      <c r="Q440" s="3"/>
    </row>
    <row r="441" spans="1:17">
      <c r="A441" s="3"/>
      <c r="B441" s="3"/>
      <c r="C441" s="3"/>
      <c r="D441" s="3"/>
      <c r="E441" s="3"/>
      <c r="F441" s="23"/>
      <c r="G441" s="23"/>
      <c r="H441" s="23"/>
      <c r="I441" s="23"/>
      <c r="J441" s="3"/>
      <c r="K441" s="3"/>
      <c r="L441" s="3"/>
      <c r="M441" s="3"/>
      <c r="N441" s="3"/>
      <c r="O441" s="3"/>
      <c r="P441" s="3"/>
      <c r="Q441" s="3"/>
    </row>
    <row r="442" spans="1:17">
      <c r="A442" s="3"/>
      <c r="B442" s="3"/>
      <c r="C442" s="3"/>
      <c r="D442" s="3"/>
      <c r="E442" s="3"/>
      <c r="F442" s="23"/>
      <c r="G442" s="23"/>
      <c r="H442" s="23"/>
      <c r="I442" s="23"/>
      <c r="J442" s="3"/>
      <c r="K442" s="3"/>
      <c r="L442" s="3"/>
      <c r="M442" s="3"/>
      <c r="N442" s="3"/>
      <c r="O442" s="3"/>
      <c r="P442" s="3"/>
      <c r="Q442" s="3"/>
    </row>
    <row r="443" spans="1:17">
      <c r="A443" s="3"/>
      <c r="B443" s="3"/>
      <c r="C443" s="3"/>
      <c r="D443" s="3"/>
      <c r="E443" s="3"/>
      <c r="F443" s="23"/>
      <c r="G443" s="23"/>
      <c r="H443" s="23"/>
      <c r="I443" s="23"/>
      <c r="J443" s="3"/>
      <c r="K443" s="3"/>
      <c r="L443" s="3"/>
      <c r="M443" s="3"/>
      <c r="N443" s="3"/>
      <c r="O443" s="3"/>
      <c r="P443" s="3"/>
      <c r="Q443" s="3"/>
    </row>
    <row r="444" spans="1:17">
      <c r="A444" s="3"/>
      <c r="B444" s="3"/>
      <c r="C444" s="3"/>
      <c r="D444" s="3"/>
      <c r="E444" s="3"/>
      <c r="F444" s="23"/>
      <c r="G444" s="23"/>
      <c r="H444" s="23"/>
      <c r="I444" s="23"/>
      <c r="J444" s="3"/>
      <c r="K444" s="3"/>
      <c r="L444" s="3"/>
      <c r="M444" s="3"/>
      <c r="N444" s="3"/>
      <c r="O444" s="3"/>
      <c r="P444" s="3"/>
      <c r="Q444" s="3"/>
    </row>
    <row r="445" spans="1:17">
      <c r="A445" s="3"/>
      <c r="B445" s="3"/>
      <c r="C445" s="3"/>
      <c r="D445" s="3"/>
      <c r="E445" s="3"/>
      <c r="F445" s="23"/>
      <c r="G445" s="23"/>
      <c r="H445" s="23"/>
      <c r="I445" s="23"/>
      <c r="J445" s="3"/>
      <c r="K445" s="3"/>
      <c r="L445" s="3"/>
      <c r="M445" s="3"/>
      <c r="N445" s="3"/>
      <c r="O445" s="3"/>
      <c r="P445" s="3"/>
      <c r="Q445" s="3"/>
    </row>
    <row r="446" spans="1:17">
      <c r="A446" s="3"/>
      <c r="B446" s="3"/>
      <c r="C446" s="3"/>
      <c r="D446" s="3"/>
      <c r="E446" s="3"/>
      <c r="F446" s="23"/>
      <c r="G446" s="23"/>
      <c r="H446" s="23"/>
      <c r="I446" s="23"/>
      <c r="J446" s="3"/>
      <c r="K446" s="3"/>
      <c r="L446" s="3"/>
      <c r="M446" s="3"/>
      <c r="N446" s="3"/>
      <c r="O446" s="3"/>
      <c r="P446" s="3"/>
      <c r="Q446" s="3"/>
    </row>
    <row r="447" spans="1:17">
      <c r="A447" s="3"/>
      <c r="B447" s="3"/>
      <c r="C447" s="3"/>
      <c r="D447" s="3"/>
      <c r="E447" s="3"/>
      <c r="F447" s="23"/>
      <c r="G447" s="23"/>
      <c r="H447" s="23"/>
      <c r="I447" s="23"/>
      <c r="J447" s="3"/>
      <c r="K447" s="3"/>
      <c r="L447" s="3"/>
      <c r="M447" s="3"/>
      <c r="N447" s="3"/>
      <c r="O447" s="3"/>
      <c r="P447" s="3"/>
      <c r="Q447" s="3"/>
    </row>
    <row r="448" spans="1:17">
      <c r="A448" s="3"/>
      <c r="B448" s="3"/>
      <c r="C448" s="3"/>
      <c r="D448" s="3"/>
      <c r="E448" s="3"/>
      <c r="F448" s="23"/>
      <c r="G448" s="23"/>
      <c r="H448" s="23"/>
      <c r="I448" s="23"/>
      <c r="J448" s="3"/>
      <c r="K448" s="3"/>
      <c r="L448" s="3"/>
      <c r="M448" s="3"/>
      <c r="N448" s="3"/>
      <c r="O448" s="3"/>
      <c r="P448" s="3"/>
      <c r="Q448" s="3"/>
    </row>
    <row r="449" spans="1:17">
      <c r="A449" s="3"/>
      <c r="B449" s="3"/>
      <c r="C449" s="3"/>
      <c r="D449" s="3"/>
      <c r="E449" s="3"/>
      <c r="F449" s="23"/>
      <c r="G449" s="23"/>
      <c r="H449" s="23"/>
      <c r="I449" s="23"/>
      <c r="J449" s="3"/>
      <c r="K449" s="3"/>
      <c r="L449" s="3"/>
      <c r="M449" s="3"/>
      <c r="N449" s="3"/>
      <c r="O449" s="3"/>
      <c r="P449" s="3"/>
      <c r="Q449" s="3"/>
    </row>
    <row r="450" spans="1:17">
      <c r="A450" s="3"/>
      <c r="B450" s="3"/>
      <c r="C450" s="3"/>
      <c r="D450" s="3"/>
      <c r="E450" s="3"/>
      <c r="F450" s="23"/>
      <c r="G450" s="23"/>
      <c r="H450" s="23"/>
      <c r="I450" s="23"/>
      <c r="J450" s="3"/>
      <c r="K450" s="3"/>
      <c r="L450" s="3"/>
      <c r="M450" s="3"/>
      <c r="N450" s="3"/>
      <c r="O450" s="3"/>
      <c r="P450" s="3"/>
      <c r="Q450" s="3"/>
    </row>
    <row r="451" spans="1:17">
      <c r="A451" s="3"/>
      <c r="B451" s="3"/>
      <c r="C451" s="3"/>
      <c r="D451" s="3"/>
      <c r="E451" s="3"/>
      <c r="F451" s="23"/>
      <c r="G451" s="23"/>
      <c r="H451" s="23"/>
      <c r="I451" s="23"/>
      <c r="J451" s="3"/>
      <c r="K451" s="3"/>
      <c r="L451" s="3"/>
      <c r="M451" s="3"/>
      <c r="N451" s="3"/>
      <c r="O451" s="3"/>
      <c r="P451" s="3"/>
      <c r="Q451" s="3"/>
    </row>
    <row r="452" spans="1:17">
      <c r="A452" s="3"/>
      <c r="B452" s="3"/>
      <c r="C452" s="3"/>
      <c r="D452" s="3"/>
      <c r="E452" s="3"/>
      <c r="F452" s="23"/>
      <c r="G452" s="23"/>
      <c r="H452" s="23"/>
      <c r="I452" s="23"/>
      <c r="J452" s="3"/>
      <c r="K452" s="3"/>
      <c r="L452" s="3"/>
      <c r="M452" s="3"/>
      <c r="N452" s="3"/>
      <c r="O452" s="3"/>
      <c r="P452" s="3"/>
      <c r="Q452" s="3"/>
    </row>
    <row r="453" spans="1:17">
      <c r="A453" s="3"/>
      <c r="B453" s="3"/>
      <c r="C453" s="3"/>
      <c r="D453" s="3"/>
      <c r="E453" s="3"/>
      <c r="F453" s="23"/>
      <c r="G453" s="23"/>
      <c r="H453" s="23"/>
      <c r="I453" s="23"/>
      <c r="J453" s="3"/>
      <c r="K453" s="3"/>
      <c r="L453" s="3"/>
      <c r="M453" s="3"/>
      <c r="N453" s="3"/>
      <c r="O453" s="3"/>
      <c r="P453" s="3"/>
      <c r="Q453" s="3"/>
    </row>
    <row r="454" spans="1:17">
      <c r="A454" s="3"/>
      <c r="B454" s="3"/>
      <c r="C454" s="3"/>
      <c r="D454" s="3"/>
      <c r="E454" s="3"/>
      <c r="F454" s="23"/>
      <c r="G454" s="23"/>
      <c r="H454" s="23"/>
      <c r="I454" s="23"/>
      <c r="J454" s="3"/>
      <c r="K454" s="3"/>
      <c r="L454" s="3"/>
      <c r="M454" s="3"/>
      <c r="N454" s="3"/>
      <c r="O454" s="3"/>
      <c r="P454" s="3"/>
      <c r="Q454" s="3"/>
    </row>
    <row r="455" spans="1:17">
      <c r="A455" s="3"/>
      <c r="B455" s="3"/>
      <c r="C455" s="3"/>
      <c r="D455" s="3"/>
      <c r="E455" s="3"/>
      <c r="F455" s="23"/>
      <c r="G455" s="23"/>
      <c r="H455" s="23"/>
      <c r="I455" s="23"/>
      <c r="J455" s="3"/>
      <c r="K455" s="3"/>
      <c r="L455" s="3"/>
      <c r="M455" s="3"/>
      <c r="N455" s="3"/>
      <c r="O455" s="3"/>
      <c r="P455" s="3"/>
      <c r="Q455" s="3"/>
    </row>
    <row r="456" spans="1:17">
      <c r="A456" s="3"/>
      <c r="B456" s="3"/>
      <c r="C456" s="3"/>
      <c r="D456" s="3"/>
      <c r="E456" s="3"/>
      <c r="F456" s="23"/>
      <c r="G456" s="23"/>
      <c r="H456" s="23"/>
      <c r="I456" s="23"/>
      <c r="J456" s="3"/>
      <c r="K456" s="3"/>
      <c r="L456" s="3"/>
      <c r="M456" s="3"/>
      <c r="N456" s="3"/>
      <c r="O456" s="3"/>
      <c r="P456" s="3"/>
      <c r="Q456" s="3"/>
    </row>
    <row r="457" spans="1:17">
      <c r="A457" s="3"/>
      <c r="B457" s="3"/>
      <c r="C457" s="3"/>
      <c r="D457" s="3"/>
      <c r="E457" s="3"/>
      <c r="F457" s="23"/>
      <c r="G457" s="23"/>
      <c r="H457" s="23"/>
      <c r="I457" s="23"/>
      <c r="J457" s="3"/>
      <c r="K457" s="3"/>
      <c r="L457" s="3"/>
      <c r="M457" s="3"/>
      <c r="N457" s="3"/>
      <c r="O457" s="3"/>
      <c r="P457" s="3"/>
      <c r="Q457" s="3"/>
    </row>
    <row r="458" spans="1:17">
      <c r="A458" s="3"/>
      <c r="B458" s="3"/>
      <c r="C458" s="3"/>
      <c r="D458" s="3"/>
      <c r="E458" s="3"/>
      <c r="F458" s="23"/>
      <c r="G458" s="23"/>
      <c r="H458" s="23"/>
      <c r="I458" s="23"/>
      <c r="J458" s="3"/>
      <c r="K458" s="3"/>
      <c r="L458" s="3"/>
      <c r="M458" s="3"/>
      <c r="N458" s="3"/>
      <c r="O458" s="3"/>
      <c r="P458" s="3"/>
      <c r="Q458" s="3"/>
    </row>
    <row r="459" spans="1:17">
      <c r="A459" s="3"/>
      <c r="B459" s="3"/>
      <c r="C459" s="3"/>
      <c r="D459" s="3"/>
      <c r="E459" s="3"/>
      <c r="F459" s="23"/>
      <c r="G459" s="23"/>
      <c r="H459" s="23"/>
      <c r="I459" s="23"/>
      <c r="J459" s="3"/>
      <c r="K459" s="3"/>
      <c r="L459" s="3"/>
      <c r="M459" s="3"/>
      <c r="N459" s="3"/>
      <c r="O459" s="3"/>
      <c r="P459" s="3"/>
      <c r="Q459" s="3"/>
    </row>
    <row r="460" spans="1:17">
      <c r="A460" s="3"/>
      <c r="B460" s="3"/>
      <c r="C460" s="3"/>
      <c r="D460" s="3"/>
      <c r="E460" s="3"/>
      <c r="F460" s="23"/>
      <c r="G460" s="23"/>
      <c r="H460" s="23"/>
      <c r="I460" s="23"/>
      <c r="J460" s="3"/>
      <c r="K460" s="3"/>
      <c r="L460" s="3"/>
      <c r="M460" s="3"/>
      <c r="N460" s="3"/>
      <c r="O460" s="3"/>
      <c r="P460" s="3"/>
      <c r="Q460" s="3"/>
    </row>
    <row r="461" spans="1:17">
      <c r="A461" s="3"/>
      <c r="B461" s="3"/>
      <c r="C461" s="3"/>
      <c r="D461" s="3"/>
      <c r="E461" s="3"/>
      <c r="F461" s="23"/>
      <c r="G461" s="23"/>
      <c r="H461" s="23"/>
      <c r="I461" s="23"/>
      <c r="J461" s="3"/>
      <c r="K461" s="3"/>
      <c r="L461" s="3"/>
      <c r="M461" s="3"/>
      <c r="N461" s="3"/>
      <c r="O461" s="3"/>
      <c r="P461" s="3"/>
      <c r="Q461" s="3"/>
    </row>
    <row r="462" spans="1:17">
      <c r="A462" s="3"/>
      <c r="B462" s="3"/>
      <c r="C462" s="3"/>
      <c r="D462" s="3"/>
      <c r="E462" s="3"/>
      <c r="F462" s="23"/>
      <c r="G462" s="23"/>
      <c r="H462" s="23"/>
      <c r="I462" s="23"/>
      <c r="J462" s="3"/>
      <c r="K462" s="3"/>
      <c r="L462" s="3"/>
      <c r="M462" s="3"/>
      <c r="N462" s="3"/>
      <c r="O462" s="3"/>
      <c r="P462" s="3"/>
      <c r="Q462" s="3"/>
    </row>
    <row r="463" spans="1:17">
      <c r="A463" s="3"/>
      <c r="B463" s="3"/>
      <c r="C463" s="3"/>
      <c r="D463" s="3"/>
      <c r="E463" s="3"/>
      <c r="F463" s="23"/>
      <c r="G463" s="23"/>
      <c r="H463" s="23"/>
      <c r="I463" s="23"/>
      <c r="J463" s="3"/>
      <c r="K463" s="3"/>
      <c r="L463" s="3"/>
      <c r="M463" s="3"/>
      <c r="N463" s="3"/>
      <c r="O463" s="3"/>
      <c r="P463" s="3"/>
      <c r="Q463" s="3"/>
    </row>
    <row r="464" spans="1:17">
      <c r="A464" s="3"/>
      <c r="B464" s="3"/>
      <c r="C464" s="3"/>
      <c r="D464" s="3"/>
      <c r="E464" s="3"/>
      <c r="F464" s="23"/>
      <c r="G464" s="23"/>
      <c r="H464" s="23"/>
      <c r="I464" s="23"/>
      <c r="J464" s="3"/>
      <c r="K464" s="3"/>
      <c r="L464" s="3"/>
      <c r="M464" s="3"/>
      <c r="N464" s="3"/>
      <c r="O464" s="3"/>
      <c r="P464" s="3"/>
      <c r="Q464" s="3"/>
    </row>
    <row r="465" spans="1:17">
      <c r="A465" s="3"/>
      <c r="B465" s="3"/>
      <c r="C465" s="3"/>
      <c r="D465" s="3"/>
      <c r="E465" s="3"/>
      <c r="F465" s="23"/>
      <c r="G465" s="23"/>
      <c r="H465" s="23"/>
      <c r="I465" s="23"/>
      <c r="J465" s="3"/>
      <c r="K465" s="3"/>
      <c r="L465" s="3"/>
      <c r="M465" s="3"/>
      <c r="N465" s="3"/>
      <c r="O465" s="3"/>
      <c r="P465" s="3"/>
      <c r="Q465" s="3"/>
    </row>
    <row r="466" spans="1:17">
      <c r="A466" s="3"/>
      <c r="B466" s="3"/>
      <c r="C466" s="3"/>
      <c r="D466" s="3"/>
      <c r="E466" s="3"/>
      <c r="F466" s="23"/>
      <c r="G466" s="23"/>
      <c r="H466" s="23"/>
      <c r="I466" s="23"/>
      <c r="J466" s="3"/>
      <c r="K466" s="3"/>
      <c r="L466" s="3"/>
      <c r="M466" s="3"/>
      <c r="N466" s="3"/>
      <c r="O466" s="3"/>
      <c r="P466" s="3"/>
      <c r="Q466" s="3"/>
    </row>
    <row r="467" spans="1:17">
      <c r="A467" s="3"/>
      <c r="B467" s="3"/>
      <c r="C467" s="3"/>
      <c r="D467" s="3"/>
      <c r="E467" s="3"/>
      <c r="F467" s="23"/>
      <c r="G467" s="23"/>
      <c r="H467" s="23"/>
      <c r="I467" s="23"/>
      <c r="J467" s="3"/>
      <c r="K467" s="3"/>
      <c r="L467" s="3"/>
      <c r="M467" s="3"/>
      <c r="N467" s="3"/>
      <c r="O467" s="3"/>
      <c r="P467" s="3"/>
      <c r="Q467" s="3"/>
    </row>
    <row r="468" spans="1:17">
      <c r="A468" s="3"/>
      <c r="B468" s="3"/>
      <c r="C468" s="3"/>
      <c r="D468" s="3"/>
      <c r="E468" s="3"/>
      <c r="F468" s="23"/>
      <c r="G468" s="23"/>
      <c r="H468" s="23"/>
      <c r="I468" s="23"/>
      <c r="J468" s="3"/>
      <c r="K468" s="3"/>
      <c r="L468" s="3"/>
      <c r="M468" s="3"/>
      <c r="N468" s="3"/>
      <c r="O468" s="3"/>
      <c r="P468" s="3"/>
      <c r="Q468" s="3"/>
    </row>
    <row r="469" spans="1:17">
      <c r="A469" s="3"/>
      <c r="B469" s="3"/>
      <c r="C469" s="3"/>
      <c r="D469" s="3"/>
      <c r="E469" s="3"/>
      <c r="F469" s="23"/>
      <c r="G469" s="23"/>
      <c r="H469" s="23"/>
      <c r="I469" s="23"/>
      <c r="J469" s="3"/>
      <c r="K469" s="3"/>
      <c r="L469" s="3"/>
      <c r="M469" s="3"/>
      <c r="N469" s="3"/>
      <c r="O469" s="3"/>
      <c r="P469" s="3"/>
      <c r="Q469" s="3"/>
    </row>
    <row r="470" spans="1:17">
      <c r="A470" s="3"/>
      <c r="B470" s="3"/>
      <c r="C470" s="3"/>
      <c r="D470" s="3"/>
      <c r="E470" s="3"/>
      <c r="F470" s="23"/>
      <c r="G470" s="23"/>
      <c r="H470" s="23"/>
      <c r="I470" s="23"/>
      <c r="J470" s="3"/>
      <c r="K470" s="3"/>
      <c r="L470" s="3"/>
      <c r="M470" s="3"/>
      <c r="N470" s="3"/>
      <c r="O470" s="3"/>
      <c r="P470" s="3"/>
      <c r="Q470" s="3"/>
    </row>
    <row r="471" spans="1:17">
      <c r="A471" s="3"/>
      <c r="B471" s="3"/>
      <c r="C471" s="3"/>
      <c r="D471" s="3"/>
      <c r="E471" s="3"/>
      <c r="F471" s="23"/>
      <c r="G471" s="23"/>
      <c r="H471" s="23"/>
      <c r="I471" s="23"/>
      <c r="J471" s="3"/>
      <c r="K471" s="3"/>
      <c r="L471" s="3"/>
      <c r="M471" s="3"/>
      <c r="N471" s="3"/>
      <c r="O471" s="3"/>
      <c r="P471" s="3"/>
      <c r="Q471" s="3"/>
    </row>
    <row r="472" spans="1:17">
      <c r="A472" s="3"/>
      <c r="B472" s="3"/>
      <c r="C472" s="3"/>
      <c r="D472" s="3"/>
      <c r="E472" s="3"/>
      <c r="F472" s="23"/>
      <c r="G472" s="23"/>
      <c r="H472" s="23"/>
      <c r="I472" s="23"/>
      <c r="J472" s="3"/>
      <c r="K472" s="3"/>
      <c r="L472" s="3"/>
      <c r="M472" s="3"/>
      <c r="N472" s="3"/>
      <c r="O472" s="3"/>
      <c r="P472" s="3"/>
      <c r="Q472" s="3"/>
    </row>
    <row r="473" spans="1:17">
      <c r="A473" s="3"/>
      <c r="B473" s="3"/>
      <c r="C473" s="3"/>
      <c r="D473" s="3"/>
      <c r="E473" s="3"/>
      <c r="F473" s="23"/>
      <c r="G473" s="23"/>
      <c r="H473" s="23"/>
      <c r="I473" s="23"/>
      <c r="J473" s="3"/>
      <c r="K473" s="3"/>
      <c r="L473" s="3"/>
      <c r="M473" s="3"/>
      <c r="N473" s="3"/>
      <c r="O473" s="3"/>
      <c r="P473" s="3"/>
      <c r="Q473" s="3"/>
    </row>
    <row r="474" spans="1:17">
      <c r="A474" s="3"/>
      <c r="B474" s="3"/>
      <c r="C474" s="3"/>
      <c r="D474" s="3"/>
      <c r="E474" s="3"/>
      <c r="F474" s="23"/>
      <c r="G474" s="23"/>
      <c r="H474" s="23"/>
      <c r="I474" s="23"/>
      <c r="J474" s="3"/>
      <c r="K474" s="3"/>
      <c r="L474" s="3"/>
      <c r="M474" s="3"/>
      <c r="N474" s="3"/>
      <c r="O474" s="3"/>
      <c r="P474" s="3"/>
      <c r="Q474" s="3"/>
    </row>
    <row r="475" spans="1:17">
      <c r="A475" s="3"/>
      <c r="B475" s="3"/>
      <c r="C475" s="3"/>
      <c r="D475" s="3"/>
      <c r="E475" s="3"/>
      <c r="F475" s="23"/>
      <c r="G475" s="23"/>
      <c r="H475" s="23"/>
      <c r="I475" s="23"/>
      <c r="J475" s="3"/>
      <c r="K475" s="3"/>
      <c r="L475" s="3"/>
      <c r="M475" s="3"/>
      <c r="N475" s="3"/>
      <c r="O475" s="3"/>
      <c r="P475" s="3"/>
      <c r="Q475" s="3"/>
    </row>
    <row r="476" spans="1:17">
      <c r="A476" s="3"/>
      <c r="B476" s="3"/>
      <c r="C476" s="3"/>
      <c r="D476" s="3"/>
      <c r="E476" s="3"/>
      <c r="F476" s="23"/>
      <c r="G476" s="23"/>
      <c r="H476" s="23"/>
      <c r="I476" s="23"/>
      <c r="J476" s="3"/>
      <c r="K476" s="3"/>
      <c r="L476" s="3"/>
      <c r="M476" s="3"/>
      <c r="N476" s="3"/>
      <c r="O476" s="3"/>
      <c r="P476" s="3"/>
      <c r="Q476" s="3"/>
    </row>
    <row r="477" spans="1:17">
      <c r="A477" s="3"/>
      <c r="B477" s="3"/>
      <c r="C477" s="3"/>
      <c r="D477" s="3"/>
      <c r="E477" s="3"/>
      <c r="F477" s="23"/>
      <c r="G477" s="23"/>
      <c r="H477" s="23"/>
      <c r="I477" s="23"/>
      <c r="J477" s="3"/>
      <c r="K477" s="3"/>
      <c r="L477" s="3"/>
      <c r="M477" s="3"/>
      <c r="N477" s="3"/>
      <c r="O477" s="3"/>
      <c r="P477" s="3"/>
      <c r="Q477" s="3"/>
    </row>
    <row r="478" spans="1:17">
      <c r="A478" s="3"/>
      <c r="B478" s="3"/>
      <c r="C478" s="3"/>
      <c r="D478" s="3"/>
      <c r="E478" s="3"/>
      <c r="F478" s="23"/>
      <c r="G478" s="23"/>
      <c r="H478" s="23"/>
      <c r="I478" s="23"/>
      <c r="J478" s="3"/>
      <c r="K478" s="3"/>
      <c r="L478" s="3"/>
      <c r="M478" s="3"/>
      <c r="N478" s="3"/>
      <c r="O478" s="3"/>
      <c r="P478" s="3"/>
      <c r="Q478" s="3"/>
    </row>
    <row r="479" spans="1:17">
      <c r="A479" s="3"/>
      <c r="B479" s="3"/>
      <c r="C479" s="3"/>
      <c r="D479" s="3"/>
      <c r="E479" s="3"/>
      <c r="F479" s="23"/>
      <c r="G479" s="23"/>
      <c r="H479" s="23"/>
      <c r="I479" s="23"/>
      <c r="J479" s="3"/>
      <c r="K479" s="3"/>
      <c r="L479" s="3"/>
      <c r="M479" s="3"/>
      <c r="N479" s="3"/>
      <c r="O479" s="3"/>
      <c r="P479" s="3"/>
      <c r="Q479" s="3"/>
    </row>
    <row r="480" spans="1:17">
      <c r="A480" s="3"/>
      <c r="B480" s="3"/>
      <c r="C480" s="3"/>
      <c r="D480" s="3"/>
      <c r="E480" s="3"/>
      <c r="F480" s="23"/>
      <c r="G480" s="23"/>
      <c r="H480" s="23"/>
      <c r="I480" s="23"/>
      <c r="J480" s="3"/>
      <c r="K480" s="3"/>
      <c r="L480" s="3"/>
      <c r="M480" s="3"/>
      <c r="N480" s="3"/>
      <c r="O480" s="3"/>
      <c r="P480" s="3"/>
      <c r="Q480" s="3"/>
    </row>
    <row r="481" spans="1:17">
      <c r="A481" s="3"/>
      <c r="B481" s="3"/>
      <c r="C481" s="3"/>
      <c r="D481" s="3"/>
      <c r="E481" s="3"/>
      <c r="F481" s="23"/>
      <c r="G481" s="23"/>
      <c r="H481" s="23"/>
      <c r="I481" s="23"/>
      <c r="J481" s="3"/>
      <c r="K481" s="3"/>
      <c r="L481" s="3"/>
      <c r="M481" s="3"/>
      <c r="N481" s="3"/>
      <c r="O481" s="3"/>
      <c r="P481" s="3"/>
      <c r="Q481" s="3"/>
    </row>
    <row r="482" spans="1:17">
      <c r="A482" s="3"/>
      <c r="B482" s="3"/>
      <c r="C482" s="3"/>
      <c r="D482" s="3"/>
      <c r="E482" s="3"/>
      <c r="F482" s="23"/>
      <c r="G482" s="23"/>
      <c r="H482" s="23"/>
      <c r="I482" s="23"/>
      <c r="J482" s="3"/>
      <c r="K482" s="3"/>
      <c r="L482" s="3"/>
      <c r="M482" s="3"/>
      <c r="N482" s="3"/>
      <c r="O482" s="3"/>
      <c r="P482" s="3"/>
      <c r="Q482" s="3"/>
    </row>
    <row r="483" spans="1:17">
      <c r="A483" s="3"/>
      <c r="B483" s="3"/>
      <c r="C483" s="3"/>
      <c r="D483" s="3"/>
      <c r="E483" s="3"/>
      <c r="F483" s="23"/>
      <c r="G483" s="23"/>
      <c r="H483" s="23"/>
      <c r="I483" s="23"/>
      <c r="J483" s="3"/>
      <c r="K483" s="3"/>
      <c r="L483" s="3"/>
      <c r="M483" s="3"/>
      <c r="N483" s="3"/>
      <c r="O483" s="3"/>
      <c r="P483" s="3"/>
      <c r="Q483" s="3"/>
    </row>
    <row r="484" spans="1:17">
      <c r="A484" s="3"/>
      <c r="B484" s="3"/>
      <c r="C484" s="3"/>
      <c r="D484" s="3"/>
      <c r="E484" s="3"/>
      <c r="F484" s="23"/>
      <c r="G484" s="23"/>
      <c r="H484" s="23"/>
      <c r="I484" s="23"/>
      <c r="J484" s="3"/>
      <c r="K484" s="3"/>
      <c r="L484" s="3"/>
      <c r="M484" s="3"/>
      <c r="N484" s="3"/>
      <c r="O484" s="3"/>
      <c r="P484" s="3"/>
      <c r="Q484" s="3"/>
    </row>
    <row r="485" spans="1:17">
      <c r="A485" s="3"/>
      <c r="B485" s="3"/>
      <c r="C485" s="3"/>
      <c r="D485" s="3"/>
      <c r="E485" s="3"/>
      <c r="F485" s="23"/>
      <c r="G485" s="23"/>
      <c r="H485" s="23"/>
      <c r="I485" s="23"/>
      <c r="J485" s="3"/>
      <c r="K485" s="3"/>
      <c r="L485" s="3"/>
      <c r="M485" s="3"/>
      <c r="N485" s="3"/>
      <c r="O485" s="3"/>
      <c r="P485" s="3"/>
      <c r="Q485" s="3"/>
    </row>
    <row r="486" spans="1:17">
      <c r="A486" s="3"/>
      <c r="B486" s="3"/>
      <c r="C486" s="3"/>
      <c r="D486" s="3"/>
      <c r="E486" s="3"/>
      <c r="F486" s="23"/>
      <c r="G486" s="23"/>
      <c r="H486" s="23"/>
      <c r="I486" s="23"/>
      <c r="J486" s="3"/>
      <c r="K486" s="3"/>
      <c r="L486" s="3"/>
      <c r="M486" s="3"/>
      <c r="N486" s="3"/>
      <c r="O486" s="3"/>
      <c r="P486" s="3"/>
      <c r="Q486" s="3"/>
    </row>
    <row r="487" spans="1:17">
      <c r="A487" s="3"/>
      <c r="B487" s="3"/>
      <c r="C487" s="3"/>
      <c r="D487" s="3"/>
      <c r="E487" s="3"/>
      <c r="F487" s="23"/>
      <c r="G487" s="23"/>
      <c r="H487" s="23"/>
      <c r="I487" s="23"/>
      <c r="J487" s="3"/>
      <c r="K487" s="3"/>
      <c r="L487" s="3"/>
      <c r="M487" s="3"/>
      <c r="N487" s="3"/>
      <c r="O487" s="3"/>
      <c r="P487" s="3"/>
      <c r="Q487" s="3"/>
    </row>
    <row r="488" spans="1:17">
      <c r="A488" s="3"/>
      <c r="B488" s="3"/>
      <c r="C488" s="3"/>
      <c r="D488" s="3"/>
      <c r="E488" s="3"/>
      <c r="F488" s="23"/>
      <c r="G488" s="23"/>
      <c r="H488" s="23"/>
      <c r="I488" s="23"/>
      <c r="J488" s="3"/>
      <c r="K488" s="3"/>
      <c r="L488" s="3"/>
      <c r="M488" s="3"/>
      <c r="N488" s="3"/>
      <c r="O488" s="3"/>
      <c r="P488" s="3"/>
      <c r="Q488" s="3"/>
    </row>
    <row r="489" spans="1:17">
      <c r="A489" s="3"/>
      <c r="B489" s="3"/>
      <c r="C489" s="3"/>
      <c r="D489" s="3"/>
      <c r="E489" s="3"/>
      <c r="F489" s="23"/>
      <c r="G489" s="23"/>
      <c r="H489" s="23"/>
      <c r="I489" s="23"/>
      <c r="J489" s="3"/>
      <c r="K489" s="3"/>
      <c r="L489" s="3"/>
      <c r="M489" s="3"/>
      <c r="N489" s="3"/>
      <c r="O489" s="3"/>
      <c r="P489" s="3"/>
      <c r="Q489" s="3"/>
    </row>
    <row r="490" spans="1:17">
      <c r="A490" s="3"/>
      <c r="B490" s="3"/>
      <c r="C490" s="3"/>
      <c r="D490" s="3"/>
      <c r="E490" s="3"/>
      <c r="F490" s="23"/>
      <c r="G490" s="23"/>
      <c r="H490" s="23"/>
      <c r="I490" s="23"/>
      <c r="J490" s="3"/>
      <c r="K490" s="3"/>
      <c r="L490" s="3"/>
      <c r="M490" s="3"/>
      <c r="N490" s="3"/>
      <c r="O490" s="3"/>
      <c r="P490" s="3"/>
      <c r="Q490" s="3"/>
    </row>
    <row r="491" spans="1:17">
      <c r="A491" s="3"/>
      <c r="B491" s="3"/>
      <c r="C491" s="3"/>
      <c r="D491" s="3"/>
      <c r="E491" s="3"/>
      <c r="F491" s="23"/>
      <c r="G491" s="23"/>
      <c r="H491" s="23"/>
      <c r="I491" s="23"/>
      <c r="J491" s="3"/>
      <c r="K491" s="3"/>
      <c r="L491" s="3"/>
      <c r="M491" s="3"/>
      <c r="N491" s="3"/>
      <c r="O491" s="3"/>
      <c r="P491" s="3"/>
      <c r="Q491" s="3"/>
    </row>
    <row r="492" spans="1:17">
      <c r="A492" s="3"/>
      <c r="B492" s="3"/>
      <c r="C492" s="3"/>
      <c r="D492" s="3"/>
      <c r="E492" s="3"/>
      <c r="F492" s="23"/>
      <c r="G492" s="23"/>
      <c r="H492" s="23"/>
      <c r="I492" s="23"/>
      <c r="J492" s="3"/>
      <c r="K492" s="3"/>
      <c r="L492" s="3"/>
      <c r="M492" s="3"/>
      <c r="N492" s="3"/>
      <c r="O492" s="3"/>
      <c r="P492" s="3"/>
      <c r="Q492" s="3"/>
    </row>
    <row r="493" spans="1:17">
      <c r="A493" s="3"/>
      <c r="B493" s="3"/>
      <c r="C493" s="3"/>
      <c r="D493" s="3"/>
      <c r="E493" s="3"/>
      <c r="F493" s="23"/>
      <c r="G493" s="23"/>
      <c r="H493" s="23"/>
      <c r="I493" s="23"/>
      <c r="J493" s="3"/>
      <c r="K493" s="3"/>
      <c r="L493" s="3"/>
      <c r="M493" s="3"/>
      <c r="N493" s="3"/>
      <c r="O493" s="3"/>
      <c r="P493" s="3"/>
      <c r="Q493" s="3"/>
    </row>
    <row r="494" spans="1:17">
      <c r="A494" s="3"/>
      <c r="B494" s="3"/>
      <c r="C494" s="3"/>
      <c r="D494" s="3"/>
      <c r="E494" s="3"/>
      <c r="F494" s="23"/>
      <c r="G494" s="23"/>
      <c r="H494" s="23"/>
      <c r="I494" s="23"/>
      <c r="J494" s="3"/>
      <c r="K494" s="3"/>
      <c r="L494" s="3"/>
      <c r="M494" s="3"/>
      <c r="N494" s="3"/>
      <c r="O494" s="3"/>
      <c r="P494" s="3"/>
      <c r="Q494" s="3"/>
    </row>
    <row r="495" spans="1:17">
      <c r="A495" s="3"/>
      <c r="B495" s="3"/>
      <c r="C495" s="3"/>
      <c r="D495" s="3"/>
      <c r="E495" s="3"/>
      <c r="F495" s="23"/>
      <c r="G495" s="23"/>
      <c r="H495" s="23"/>
      <c r="I495" s="23"/>
      <c r="J495" s="3"/>
      <c r="K495" s="3"/>
      <c r="L495" s="3"/>
      <c r="M495" s="3"/>
      <c r="N495" s="3"/>
      <c r="O495" s="3"/>
      <c r="P495" s="3"/>
      <c r="Q495" s="3"/>
    </row>
    <row r="496" spans="1:17">
      <c r="A496" s="3"/>
      <c r="B496" s="3"/>
      <c r="C496" s="3"/>
      <c r="D496" s="3"/>
      <c r="E496" s="3"/>
      <c r="F496" s="23"/>
      <c r="G496" s="23"/>
      <c r="H496" s="23"/>
      <c r="I496" s="23"/>
      <c r="J496" s="3"/>
      <c r="K496" s="3"/>
      <c r="L496" s="3"/>
      <c r="M496" s="3"/>
      <c r="N496" s="3"/>
      <c r="O496" s="3"/>
      <c r="P496" s="3"/>
      <c r="Q496" s="3"/>
    </row>
    <row r="497" spans="1:17">
      <c r="A497" s="3"/>
      <c r="B497" s="3"/>
      <c r="C497" s="3"/>
      <c r="D497" s="3"/>
      <c r="E497" s="3"/>
      <c r="F497" s="23"/>
      <c r="G497" s="23"/>
      <c r="H497" s="23"/>
      <c r="I497" s="23"/>
      <c r="J497" s="3"/>
      <c r="K497" s="3"/>
      <c r="L497" s="3"/>
      <c r="M497" s="3"/>
      <c r="N497" s="3"/>
      <c r="O497" s="3"/>
      <c r="P497" s="3"/>
      <c r="Q497" s="3"/>
    </row>
    <row r="498" spans="1:17">
      <c r="A498" s="3"/>
      <c r="B498" s="3"/>
      <c r="C498" s="3"/>
      <c r="D498" s="3"/>
      <c r="E498" s="3"/>
      <c r="F498" s="23"/>
      <c r="G498" s="23"/>
      <c r="H498" s="23"/>
      <c r="I498" s="23"/>
      <c r="J498" s="3"/>
      <c r="K498" s="3"/>
      <c r="L498" s="3"/>
      <c r="M498" s="3"/>
      <c r="N498" s="3"/>
      <c r="O498" s="3"/>
      <c r="P498" s="3"/>
      <c r="Q498" s="3"/>
    </row>
    <row r="499" spans="1:17">
      <c r="A499" s="3"/>
      <c r="B499" s="3"/>
      <c r="C499" s="3"/>
      <c r="D499" s="3"/>
      <c r="E499" s="3"/>
      <c r="F499" s="23"/>
      <c r="G499" s="23"/>
      <c r="H499" s="23"/>
      <c r="I499" s="23"/>
      <c r="J499" s="3"/>
      <c r="K499" s="3"/>
      <c r="L499" s="3"/>
      <c r="M499" s="3"/>
      <c r="N499" s="3"/>
      <c r="O499" s="3"/>
      <c r="P499" s="3"/>
      <c r="Q499" s="3"/>
    </row>
    <row r="500" spans="1:17">
      <c r="A500" s="3"/>
      <c r="B500" s="3"/>
      <c r="C500" s="3"/>
      <c r="D500" s="3"/>
      <c r="E500" s="3"/>
      <c r="F500" s="23"/>
      <c r="G500" s="23"/>
      <c r="H500" s="23"/>
      <c r="I500" s="23"/>
      <c r="J500" s="3"/>
      <c r="K500" s="3"/>
      <c r="L500" s="3"/>
      <c r="M500" s="3"/>
      <c r="N500" s="3"/>
      <c r="O500" s="3"/>
      <c r="P500" s="3"/>
      <c r="Q500" s="3"/>
    </row>
    <row r="501" spans="1:17">
      <c r="A501" s="3"/>
      <c r="B501" s="3"/>
      <c r="C501" s="3"/>
      <c r="D501" s="3"/>
      <c r="E501" s="3"/>
      <c r="F501" s="23"/>
      <c r="G501" s="23"/>
      <c r="H501" s="23"/>
      <c r="I501" s="23"/>
      <c r="J501" s="3"/>
      <c r="K501" s="3"/>
      <c r="L501" s="3"/>
      <c r="M501" s="3"/>
      <c r="N501" s="3"/>
      <c r="O501" s="3"/>
      <c r="P501" s="3"/>
      <c r="Q501" s="3"/>
    </row>
    <row r="502" spans="1:17">
      <c r="A502" s="3"/>
      <c r="B502" s="3"/>
      <c r="C502" s="3"/>
      <c r="D502" s="3"/>
      <c r="E502" s="3"/>
      <c r="F502" s="23"/>
      <c r="G502" s="23"/>
      <c r="H502" s="23"/>
      <c r="I502" s="23"/>
      <c r="J502" s="3"/>
      <c r="K502" s="3"/>
      <c r="L502" s="3"/>
      <c r="M502" s="3"/>
      <c r="N502" s="3"/>
      <c r="O502" s="3"/>
      <c r="P502" s="3"/>
      <c r="Q502" s="3"/>
    </row>
    <row r="503" spans="1:17">
      <c r="A503" s="3"/>
      <c r="B503" s="3"/>
      <c r="C503" s="3"/>
      <c r="D503" s="3"/>
      <c r="E503" s="3"/>
      <c r="F503" s="23"/>
      <c r="G503" s="23"/>
      <c r="H503" s="23"/>
      <c r="I503" s="23"/>
      <c r="J503" s="3"/>
      <c r="K503" s="3"/>
      <c r="L503" s="3"/>
      <c r="M503" s="3"/>
      <c r="N503" s="3"/>
      <c r="O503" s="3"/>
      <c r="P503" s="3"/>
      <c r="Q503" s="3"/>
    </row>
    <row r="504" spans="1:17">
      <c r="A504" s="3"/>
      <c r="B504" s="3"/>
      <c r="C504" s="3"/>
      <c r="D504" s="3"/>
      <c r="E504" s="3"/>
      <c r="F504" s="23"/>
      <c r="G504" s="23"/>
      <c r="H504" s="23"/>
      <c r="I504" s="23"/>
      <c r="J504" s="3"/>
      <c r="K504" s="3"/>
      <c r="L504" s="3"/>
      <c r="M504" s="3"/>
      <c r="N504" s="3"/>
      <c r="O504" s="3"/>
      <c r="P504" s="3"/>
      <c r="Q504" s="3"/>
    </row>
    <row r="505" spans="1:17">
      <c r="A505" s="3"/>
      <c r="B505" s="3"/>
      <c r="C505" s="3"/>
      <c r="D505" s="3"/>
      <c r="E505" s="3"/>
      <c r="F505" s="23"/>
      <c r="G505" s="23"/>
      <c r="H505" s="23"/>
      <c r="I505" s="23"/>
      <c r="J505" s="3"/>
      <c r="K505" s="3"/>
      <c r="L505" s="3"/>
      <c r="M505" s="3"/>
      <c r="N505" s="3"/>
      <c r="O505" s="3"/>
      <c r="P505" s="3"/>
      <c r="Q505" s="3"/>
    </row>
    <row r="506" spans="1:17">
      <c r="A506" s="3"/>
      <c r="B506" s="3"/>
      <c r="C506" s="3"/>
      <c r="D506" s="3"/>
      <c r="E506" s="3"/>
      <c r="F506" s="23"/>
      <c r="G506" s="23"/>
      <c r="H506" s="23"/>
      <c r="I506" s="23"/>
      <c r="J506" s="3"/>
      <c r="K506" s="3"/>
      <c r="L506" s="3"/>
      <c r="M506" s="3"/>
      <c r="N506" s="3"/>
      <c r="O506" s="3"/>
      <c r="P506" s="3"/>
      <c r="Q506" s="3"/>
    </row>
    <row r="507" spans="1:17">
      <c r="A507" s="3"/>
      <c r="B507" s="3"/>
      <c r="C507" s="3"/>
      <c r="D507" s="3"/>
      <c r="E507" s="3"/>
      <c r="F507" s="23"/>
      <c r="G507" s="23"/>
      <c r="H507" s="23"/>
      <c r="I507" s="23"/>
      <c r="J507" s="3"/>
      <c r="K507" s="3"/>
      <c r="L507" s="3"/>
      <c r="M507" s="3"/>
      <c r="N507" s="3"/>
      <c r="O507" s="3"/>
      <c r="P507" s="3"/>
      <c r="Q507" s="3"/>
    </row>
    <row r="508" spans="1:17">
      <c r="A508" s="3"/>
      <c r="B508" s="3"/>
      <c r="C508" s="3"/>
      <c r="D508" s="3"/>
      <c r="E508" s="3"/>
      <c r="F508" s="23"/>
      <c r="G508" s="23"/>
      <c r="H508" s="23"/>
      <c r="I508" s="23"/>
      <c r="J508" s="3"/>
      <c r="K508" s="3"/>
      <c r="L508" s="3"/>
      <c r="M508" s="3"/>
      <c r="N508" s="3"/>
      <c r="O508" s="3"/>
      <c r="P508" s="3"/>
      <c r="Q508" s="3"/>
    </row>
    <row r="509" spans="1:17">
      <c r="A509" s="3"/>
      <c r="B509" s="3"/>
      <c r="C509" s="3"/>
      <c r="D509" s="3"/>
      <c r="E509" s="3"/>
      <c r="F509" s="23"/>
      <c r="G509" s="23"/>
      <c r="H509" s="23"/>
      <c r="I509" s="23"/>
      <c r="J509" s="3"/>
      <c r="K509" s="3"/>
      <c r="L509" s="3"/>
      <c r="M509" s="3"/>
      <c r="N509" s="3"/>
      <c r="O509" s="3"/>
      <c r="P509" s="3"/>
      <c r="Q509" s="3"/>
    </row>
    <row r="510" spans="1:17">
      <c r="A510" s="3"/>
      <c r="B510" s="3"/>
      <c r="C510" s="3"/>
      <c r="D510" s="3"/>
      <c r="E510" s="3"/>
      <c r="F510" s="23"/>
      <c r="G510" s="23"/>
      <c r="H510" s="23"/>
      <c r="I510" s="23"/>
      <c r="J510" s="3"/>
      <c r="K510" s="3"/>
      <c r="L510" s="3"/>
      <c r="M510" s="3"/>
      <c r="N510" s="3"/>
      <c r="O510" s="3"/>
      <c r="P510" s="3"/>
      <c r="Q510" s="3"/>
    </row>
    <row r="511" spans="1:17">
      <c r="A511" s="3"/>
      <c r="B511" s="3"/>
      <c r="C511" s="3"/>
      <c r="D511" s="3"/>
      <c r="E511" s="3"/>
      <c r="F511" s="23"/>
      <c r="G511" s="23"/>
      <c r="H511" s="23"/>
      <c r="I511" s="23"/>
      <c r="J511" s="3"/>
      <c r="K511" s="3"/>
      <c r="L511" s="3"/>
      <c r="M511" s="3"/>
      <c r="N511" s="3"/>
      <c r="O511" s="3"/>
      <c r="P511" s="3"/>
      <c r="Q511" s="3"/>
    </row>
    <row r="512" spans="1:17">
      <c r="A512" s="3"/>
      <c r="B512" s="3"/>
      <c r="C512" s="3"/>
      <c r="D512" s="3"/>
      <c r="E512" s="3"/>
      <c r="F512" s="23"/>
      <c r="G512" s="23"/>
      <c r="H512" s="23"/>
      <c r="I512" s="23"/>
      <c r="J512" s="3"/>
      <c r="K512" s="3"/>
      <c r="L512" s="3"/>
      <c r="M512" s="3"/>
      <c r="N512" s="3"/>
      <c r="O512" s="3"/>
      <c r="P512" s="3"/>
      <c r="Q512" s="3"/>
    </row>
    <row r="513" spans="1:17">
      <c r="A513" s="3"/>
      <c r="B513" s="3"/>
      <c r="C513" s="3"/>
      <c r="D513" s="3"/>
      <c r="E513" s="3"/>
      <c r="F513" s="23"/>
      <c r="G513" s="23"/>
      <c r="H513" s="23"/>
      <c r="I513" s="23"/>
      <c r="J513" s="3"/>
      <c r="K513" s="3"/>
      <c r="L513" s="3"/>
      <c r="M513" s="3"/>
      <c r="N513" s="3"/>
      <c r="O513" s="3"/>
      <c r="P513" s="3"/>
      <c r="Q513" s="3"/>
    </row>
    <row r="514" spans="1:17">
      <c r="A514" s="3"/>
      <c r="B514" s="3"/>
      <c r="C514" s="3"/>
      <c r="D514" s="3"/>
      <c r="E514" s="3"/>
      <c r="F514" s="23"/>
      <c r="G514" s="23"/>
      <c r="H514" s="23"/>
      <c r="I514" s="23"/>
      <c r="J514" s="3"/>
      <c r="K514" s="3"/>
      <c r="L514" s="3"/>
      <c r="M514" s="3"/>
      <c r="N514" s="3"/>
      <c r="O514" s="3"/>
      <c r="P514" s="3"/>
      <c r="Q514" s="3"/>
    </row>
    <row r="515" spans="1:17">
      <c r="A515" s="3"/>
      <c r="B515" s="3"/>
      <c r="C515" s="3"/>
      <c r="D515" s="3"/>
      <c r="E515" s="3"/>
      <c r="F515" s="23"/>
      <c r="G515" s="23"/>
      <c r="H515" s="23"/>
      <c r="I515" s="23"/>
      <c r="J515" s="3"/>
      <c r="K515" s="3"/>
      <c r="L515" s="3"/>
      <c r="M515" s="3"/>
      <c r="N515" s="3"/>
      <c r="O515" s="3"/>
      <c r="P515" s="3"/>
      <c r="Q515" s="3"/>
    </row>
    <row r="516" spans="1:17">
      <c r="A516" s="3"/>
      <c r="B516" s="3"/>
      <c r="C516" s="3"/>
      <c r="D516" s="3"/>
      <c r="E516" s="3"/>
      <c r="F516" s="23"/>
      <c r="G516" s="23"/>
      <c r="H516" s="23"/>
      <c r="I516" s="23"/>
      <c r="J516" s="3"/>
      <c r="K516" s="3"/>
      <c r="L516" s="3"/>
      <c r="M516" s="3"/>
      <c r="N516" s="3"/>
      <c r="O516" s="3"/>
      <c r="P516" s="3"/>
      <c r="Q516" s="3"/>
    </row>
    <row r="517" spans="1:17">
      <c r="A517" s="3"/>
      <c r="B517" s="3"/>
      <c r="C517" s="3"/>
      <c r="D517" s="3"/>
      <c r="E517" s="3"/>
      <c r="F517" s="23"/>
      <c r="G517" s="23"/>
      <c r="H517" s="23"/>
      <c r="I517" s="23"/>
      <c r="J517" s="3"/>
      <c r="K517" s="3"/>
      <c r="L517" s="3"/>
      <c r="M517" s="3"/>
      <c r="N517" s="3"/>
      <c r="O517" s="3"/>
      <c r="P517" s="3"/>
      <c r="Q517" s="3"/>
    </row>
    <row r="518" spans="1:17">
      <c r="A518" s="3"/>
      <c r="B518" s="3"/>
      <c r="C518" s="3"/>
      <c r="D518" s="3"/>
      <c r="E518" s="3"/>
      <c r="F518" s="23"/>
      <c r="G518" s="23"/>
      <c r="H518" s="23"/>
      <c r="I518" s="23"/>
      <c r="J518" s="3"/>
      <c r="K518" s="3"/>
      <c r="L518" s="3"/>
      <c r="M518" s="3"/>
      <c r="N518" s="3"/>
      <c r="O518" s="3"/>
      <c r="P518" s="3"/>
      <c r="Q518" s="3"/>
    </row>
    <row r="519" spans="1:17">
      <c r="A519" s="3"/>
      <c r="B519" s="3"/>
      <c r="C519" s="3"/>
      <c r="D519" s="3"/>
      <c r="E519" s="3"/>
      <c r="F519" s="23"/>
      <c r="G519" s="23"/>
      <c r="H519" s="23"/>
      <c r="I519" s="23"/>
      <c r="J519" s="3"/>
      <c r="K519" s="3"/>
      <c r="L519" s="3"/>
      <c r="M519" s="3"/>
      <c r="N519" s="3"/>
      <c r="O519" s="3"/>
      <c r="P519" s="3"/>
      <c r="Q519" s="3"/>
    </row>
    <row r="520" spans="1:17">
      <c r="A520" s="3"/>
      <c r="B520" s="3"/>
      <c r="C520" s="3"/>
      <c r="D520" s="3"/>
      <c r="E520" s="3"/>
      <c r="F520" s="23"/>
      <c r="G520" s="23"/>
      <c r="H520" s="23"/>
      <c r="I520" s="23"/>
      <c r="J520" s="3"/>
      <c r="K520" s="3"/>
      <c r="L520" s="3"/>
      <c r="M520" s="3"/>
      <c r="N520" s="3"/>
      <c r="O520" s="3"/>
      <c r="P520" s="3"/>
      <c r="Q520" s="3"/>
    </row>
    <row r="521" spans="1:17">
      <c r="A521" s="3"/>
      <c r="B521" s="3"/>
      <c r="C521" s="3"/>
      <c r="D521" s="3"/>
      <c r="E521" s="3"/>
      <c r="F521" s="23"/>
      <c r="G521" s="23"/>
      <c r="H521" s="23"/>
      <c r="I521" s="23"/>
      <c r="J521" s="3"/>
      <c r="K521" s="3"/>
      <c r="L521" s="3"/>
      <c r="M521" s="3"/>
      <c r="N521" s="3"/>
      <c r="O521" s="3"/>
      <c r="P521" s="3"/>
      <c r="Q521" s="3"/>
    </row>
    <row r="522" spans="1:17">
      <c r="A522" s="3"/>
      <c r="B522" s="3"/>
      <c r="C522" s="3"/>
      <c r="D522" s="3"/>
      <c r="E522" s="3"/>
      <c r="F522" s="23"/>
      <c r="G522" s="23"/>
      <c r="H522" s="23"/>
      <c r="I522" s="23"/>
      <c r="J522" s="3"/>
      <c r="K522" s="3"/>
      <c r="L522" s="3"/>
      <c r="M522" s="3"/>
      <c r="N522" s="3"/>
      <c r="O522" s="3"/>
      <c r="P522" s="3"/>
      <c r="Q522" s="3"/>
    </row>
    <row r="523" spans="1:17">
      <c r="A523" s="3"/>
      <c r="B523" s="3"/>
      <c r="C523" s="3"/>
      <c r="D523" s="3"/>
      <c r="E523" s="3"/>
      <c r="F523" s="23"/>
      <c r="G523" s="23"/>
      <c r="H523" s="23"/>
      <c r="I523" s="23"/>
      <c r="J523" s="3"/>
      <c r="K523" s="3"/>
      <c r="L523" s="3"/>
      <c r="M523" s="3"/>
      <c r="N523" s="3"/>
      <c r="O523" s="3"/>
      <c r="P523" s="3"/>
      <c r="Q523" s="3"/>
    </row>
    <row r="524" spans="1:17">
      <c r="A524" s="3"/>
      <c r="B524" s="3"/>
      <c r="C524" s="3"/>
      <c r="D524" s="3"/>
      <c r="E524" s="3"/>
      <c r="F524" s="23"/>
      <c r="G524" s="23"/>
      <c r="H524" s="23"/>
      <c r="I524" s="23"/>
      <c r="J524" s="3"/>
      <c r="K524" s="3"/>
      <c r="L524" s="3"/>
      <c r="M524" s="3"/>
      <c r="N524" s="3"/>
      <c r="O524" s="3"/>
      <c r="P524" s="3"/>
      <c r="Q524" s="3"/>
    </row>
    <row r="525" spans="1:17">
      <c r="A525" s="3"/>
      <c r="B525" s="3"/>
      <c r="C525" s="3"/>
      <c r="D525" s="3"/>
      <c r="E525" s="3"/>
      <c r="F525" s="23"/>
      <c r="G525" s="23"/>
      <c r="H525" s="23"/>
      <c r="I525" s="23"/>
      <c r="J525" s="3"/>
      <c r="K525" s="3"/>
      <c r="L525" s="3"/>
      <c r="M525" s="3"/>
      <c r="N525" s="3"/>
      <c r="O525" s="3"/>
      <c r="P525" s="3"/>
      <c r="Q525" s="3"/>
    </row>
    <row r="526" spans="1:17">
      <c r="A526" s="3"/>
      <c r="B526" s="3"/>
      <c r="C526" s="3"/>
      <c r="D526" s="3"/>
      <c r="E526" s="3"/>
      <c r="F526" s="23"/>
      <c r="G526" s="23"/>
      <c r="H526" s="23"/>
      <c r="I526" s="23"/>
      <c r="J526" s="3"/>
      <c r="K526" s="3"/>
      <c r="L526" s="3"/>
      <c r="M526" s="3"/>
      <c r="N526" s="3"/>
      <c r="O526" s="3"/>
      <c r="P526" s="3"/>
      <c r="Q526" s="3"/>
    </row>
    <row r="527" spans="1:17">
      <c r="A527" s="3"/>
      <c r="B527" s="3"/>
      <c r="C527" s="3"/>
      <c r="D527" s="3"/>
      <c r="E527" s="3"/>
      <c r="F527" s="23"/>
      <c r="G527" s="23"/>
      <c r="H527" s="23"/>
      <c r="I527" s="23"/>
      <c r="J527" s="3"/>
      <c r="K527" s="3"/>
      <c r="L527" s="3"/>
      <c r="M527" s="3"/>
      <c r="N527" s="3"/>
      <c r="O527" s="3"/>
      <c r="P527" s="3"/>
      <c r="Q527" s="3"/>
    </row>
    <row r="528" spans="1:17">
      <c r="A528" s="3"/>
      <c r="B528" s="3"/>
      <c r="C528" s="3"/>
      <c r="D528" s="3"/>
      <c r="E528" s="3"/>
      <c r="F528" s="23"/>
      <c r="G528" s="23"/>
      <c r="H528" s="23"/>
      <c r="I528" s="23"/>
      <c r="J528" s="3"/>
      <c r="K528" s="3"/>
      <c r="L528" s="3"/>
      <c r="M528" s="3"/>
      <c r="N528" s="3"/>
      <c r="O528" s="3"/>
      <c r="P528" s="3"/>
      <c r="Q528" s="3"/>
    </row>
    <row r="529" spans="1:17">
      <c r="A529" s="3"/>
      <c r="B529" s="3"/>
      <c r="C529" s="3"/>
      <c r="D529" s="3"/>
      <c r="E529" s="3"/>
      <c r="F529" s="23"/>
      <c r="G529" s="23"/>
      <c r="H529" s="23"/>
      <c r="I529" s="23"/>
      <c r="J529" s="3"/>
      <c r="K529" s="3"/>
      <c r="L529" s="3"/>
      <c r="M529" s="3"/>
      <c r="N529" s="3"/>
      <c r="O529" s="3"/>
      <c r="P529" s="3"/>
      <c r="Q529" s="3"/>
    </row>
    <row r="530" spans="1:17">
      <c r="A530" s="3"/>
      <c r="B530" s="3"/>
      <c r="C530" s="3"/>
      <c r="D530" s="3"/>
      <c r="E530" s="3"/>
      <c r="F530" s="23"/>
      <c r="G530" s="23"/>
      <c r="H530" s="23"/>
      <c r="I530" s="23"/>
      <c r="J530" s="3"/>
      <c r="K530" s="3"/>
      <c r="L530" s="3"/>
      <c r="M530" s="3"/>
      <c r="N530" s="3"/>
      <c r="O530" s="3"/>
      <c r="P530" s="3"/>
      <c r="Q530" s="3"/>
    </row>
    <row r="531" spans="1:17">
      <c r="A531" s="3"/>
      <c r="B531" s="3"/>
      <c r="C531" s="3"/>
      <c r="D531" s="3"/>
      <c r="E531" s="3"/>
      <c r="F531" s="23"/>
      <c r="G531" s="23"/>
      <c r="H531" s="23"/>
      <c r="I531" s="23"/>
      <c r="J531" s="3"/>
      <c r="K531" s="3"/>
      <c r="L531" s="3"/>
      <c r="M531" s="3"/>
      <c r="N531" s="3"/>
      <c r="O531" s="3"/>
      <c r="P531" s="3"/>
      <c r="Q531" s="3"/>
    </row>
    <row r="532" spans="1:17">
      <c r="A532" s="3"/>
      <c r="B532" s="3"/>
      <c r="C532" s="3"/>
      <c r="D532" s="3"/>
      <c r="E532" s="3"/>
      <c r="F532" s="23"/>
      <c r="G532" s="23"/>
      <c r="H532" s="23"/>
      <c r="I532" s="23"/>
      <c r="J532" s="3"/>
      <c r="K532" s="3"/>
      <c r="L532" s="3"/>
      <c r="M532" s="3"/>
      <c r="N532" s="3"/>
      <c r="O532" s="3"/>
      <c r="P532" s="3"/>
      <c r="Q532" s="3"/>
    </row>
    <row r="533" spans="1:17">
      <c r="A533" s="3"/>
      <c r="B533" s="3"/>
      <c r="C533" s="3"/>
      <c r="D533" s="3"/>
      <c r="E533" s="3"/>
      <c r="F533" s="23"/>
      <c r="G533" s="23"/>
      <c r="H533" s="23"/>
      <c r="I533" s="23"/>
      <c r="J533" s="3"/>
      <c r="K533" s="3"/>
      <c r="L533" s="3"/>
      <c r="M533" s="3"/>
      <c r="N533" s="3"/>
      <c r="O533" s="3"/>
      <c r="P533" s="3"/>
      <c r="Q533" s="3"/>
    </row>
    <row r="534" spans="1:17">
      <c r="A534" s="3"/>
      <c r="B534" s="3"/>
      <c r="C534" s="3"/>
      <c r="D534" s="3"/>
      <c r="E534" s="3"/>
      <c r="F534" s="23"/>
      <c r="G534" s="23"/>
      <c r="H534" s="23"/>
      <c r="I534" s="23"/>
      <c r="J534" s="3"/>
      <c r="K534" s="3"/>
      <c r="L534" s="3"/>
      <c r="M534" s="3"/>
      <c r="N534" s="3"/>
      <c r="O534" s="3"/>
      <c r="P534" s="3"/>
      <c r="Q534" s="3"/>
    </row>
    <row r="535" spans="1:17">
      <c r="A535" s="3"/>
      <c r="B535" s="3"/>
      <c r="C535" s="3"/>
      <c r="D535" s="3"/>
      <c r="E535" s="3"/>
      <c r="F535" s="23"/>
      <c r="G535" s="23"/>
      <c r="H535" s="23"/>
      <c r="I535" s="23"/>
      <c r="J535" s="3"/>
      <c r="K535" s="3"/>
      <c r="L535" s="3"/>
      <c r="M535" s="3"/>
      <c r="N535" s="3"/>
      <c r="O535" s="3"/>
      <c r="P535" s="3"/>
      <c r="Q535" s="3"/>
    </row>
    <row r="536" spans="1:17">
      <c r="A536" s="3"/>
      <c r="B536" s="3"/>
      <c r="C536" s="3"/>
      <c r="D536" s="3"/>
      <c r="E536" s="3"/>
      <c r="F536" s="23"/>
      <c r="G536" s="23"/>
      <c r="H536" s="23"/>
      <c r="I536" s="23"/>
      <c r="J536" s="3"/>
      <c r="K536" s="3"/>
      <c r="L536" s="3"/>
      <c r="M536" s="3"/>
      <c r="N536" s="3"/>
      <c r="O536" s="3"/>
      <c r="P536" s="3"/>
      <c r="Q536" s="3"/>
    </row>
    <row r="537" spans="1:17">
      <c r="A537" s="3"/>
      <c r="B537" s="3"/>
      <c r="C537" s="3"/>
      <c r="D537" s="3"/>
      <c r="E537" s="3"/>
      <c r="F537" s="23"/>
      <c r="G537" s="23"/>
      <c r="H537" s="23"/>
      <c r="I537" s="23"/>
      <c r="J537" s="3"/>
      <c r="K537" s="3"/>
      <c r="L537" s="3"/>
      <c r="M537" s="3"/>
      <c r="N537" s="3"/>
      <c r="O537" s="3"/>
      <c r="P537" s="3"/>
      <c r="Q537" s="3"/>
    </row>
    <row r="538" spans="1:17">
      <c r="A538" s="3"/>
      <c r="B538" s="3"/>
      <c r="C538" s="3"/>
      <c r="D538" s="3"/>
      <c r="E538" s="3"/>
      <c r="F538" s="23"/>
      <c r="G538" s="23"/>
      <c r="H538" s="23"/>
      <c r="I538" s="23"/>
      <c r="J538" s="3"/>
      <c r="K538" s="3"/>
      <c r="L538" s="3"/>
      <c r="M538" s="3"/>
      <c r="N538" s="3"/>
      <c r="O538" s="3"/>
      <c r="P538" s="3"/>
      <c r="Q538" s="3"/>
    </row>
    <row r="539" spans="1:17">
      <c r="A539" s="3"/>
      <c r="B539" s="3"/>
      <c r="C539" s="3"/>
      <c r="D539" s="3"/>
      <c r="E539" s="3"/>
      <c r="F539" s="23"/>
      <c r="G539" s="23"/>
      <c r="H539" s="23"/>
      <c r="I539" s="23"/>
      <c r="J539" s="3"/>
      <c r="K539" s="3"/>
      <c r="L539" s="3"/>
      <c r="M539" s="3"/>
      <c r="N539" s="3"/>
      <c r="O539" s="3"/>
      <c r="P539" s="3"/>
      <c r="Q539" s="3"/>
    </row>
    <row r="540" spans="1:17">
      <c r="A540" s="3"/>
      <c r="B540" s="3"/>
      <c r="C540" s="3"/>
      <c r="D540" s="3"/>
      <c r="E540" s="3"/>
      <c r="F540" s="23"/>
      <c r="G540" s="23"/>
      <c r="H540" s="23"/>
      <c r="I540" s="23"/>
      <c r="J540" s="3"/>
      <c r="K540" s="3"/>
      <c r="L540" s="3"/>
      <c r="M540" s="3"/>
      <c r="N540" s="3"/>
      <c r="O540" s="3"/>
      <c r="P540" s="3"/>
      <c r="Q540" s="3"/>
    </row>
    <row r="541" spans="1:17">
      <c r="A541" s="3"/>
      <c r="B541" s="3"/>
      <c r="C541" s="3"/>
      <c r="D541" s="3"/>
      <c r="E541" s="3"/>
      <c r="F541" s="23"/>
      <c r="G541" s="23"/>
      <c r="H541" s="23"/>
      <c r="I541" s="23"/>
      <c r="J541" s="3"/>
      <c r="K541" s="3"/>
      <c r="L541" s="3"/>
      <c r="M541" s="3"/>
      <c r="N541" s="3"/>
      <c r="O541" s="3"/>
      <c r="P541" s="3"/>
      <c r="Q541" s="3"/>
    </row>
    <row r="542" spans="1:17">
      <c r="A542" s="3"/>
      <c r="B542" s="3"/>
      <c r="C542" s="3"/>
      <c r="D542" s="3"/>
      <c r="E542" s="3"/>
      <c r="F542" s="23"/>
      <c r="G542" s="23"/>
      <c r="H542" s="23"/>
      <c r="I542" s="23"/>
      <c r="J542" s="3"/>
      <c r="K542" s="3"/>
      <c r="L542" s="3"/>
      <c r="M542" s="3"/>
      <c r="N542" s="3"/>
      <c r="O542" s="3"/>
      <c r="P542" s="3"/>
      <c r="Q542" s="3"/>
    </row>
    <row r="543" spans="1:17">
      <c r="A543" s="3"/>
      <c r="B543" s="3"/>
      <c r="C543" s="3"/>
      <c r="D543" s="3"/>
      <c r="E543" s="3"/>
      <c r="F543" s="23"/>
      <c r="G543" s="23"/>
      <c r="H543" s="23"/>
      <c r="I543" s="23"/>
      <c r="J543" s="3"/>
      <c r="K543" s="3"/>
      <c r="L543" s="3"/>
      <c r="M543" s="3"/>
      <c r="N543" s="3"/>
      <c r="O543" s="3"/>
      <c r="P543" s="3"/>
      <c r="Q543" s="3"/>
    </row>
    <row r="544" spans="1:17">
      <c r="A544" s="3"/>
      <c r="B544" s="3"/>
      <c r="C544" s="3"/>
      <c r="D544" s="3"/>
      <c r="E544" s="3"/>
      <c r="F544" s="23"/>
      <c r="G544" s="23"/>
      <c r="H544" s="23"/>
      <c r="I544" s="23"/>
      <c r="J544" s="3"/>
      <c r="K544" s="3"/>
      <c r="L544" s="3"/>
      <c r="M544" s="3"/>
      <c r="N544" s="3"/>
      <c r="O544" s="3"/>
      <c r="P544" s="3"/>
      <c r="Q544" s="3"/>
    </row>
    <row r="545" spans="1:17">
      <c r="A545" s="3"/>
      <c r="B545" s="3"/>
      <c r="C545" s="3"/>
      <c r="D545" s="3"/>
      <c r="E545" s="3"/>
      <c r="F545" s="23"/>
      <c r="G545" s="23"/>
      <c r="H545" s="23"/>
      <c r="I545" s="23"/>
      <c r="J545" s="3"/>
      <c r="K545" s="3"/>
      <c r="L545" s="3"/>
      <c r="M545" s="3"/>
      <c r="N545" s="3"/>
      <c r="O545" s="3"/>
      <c r="P545" s="3"/>
      <c r="Q545" s="3"/>
    </row>
    <row r="546" spans="1:17">
      <c r="A546" s="3"/>
      <c r="B546" s="3"/>
      <c r="C546" s="3"/>
      <c r="D546" s="3"/>
      <c r="E546" s="3"/>
      <c r="F546" s="23"/>
      <c r="G546" s="23"/>
      <c r="H546" s="23"/>
      <c r="I546" s="23"/>
      <c r="J546" s="3"/>
      <c r="K546" s="3"/>
      <c r="L546" s="3"/>
      <c r="M546" s="3"/>
      <c r="N546" s="3"/>
      <c r="O546" s="3"/>
      <c r="P546" s="3"/>
      <c r="Q546" s="3"/>
    </row>
    <row r="547" spans="1:17">
      <c r="A547" s="3"/>
      <c r="B547" s="3"/>
      <c r="C547" s="3"/>
      <c r="D547" s="3"/>
      <c r="E547" s="3"/>
      <c r="F547" s="23"/>
      <c r="G547" s="23"/>
      <c r="H547" s="23"/>
      <c r="I547" s="23"/>
      <c r="J547" s="3"/>
      <c r="K547" s="3"/>
      <c r="L547" s="3"/>
      <c r="M547" s="3"/>
      <c r="N547" s="3"/>
      <c r="O547" s="3"/>
      <c r="P547" s="3"/>
      <c r="Q547" s="3"/>
    </row>
    <row r="548" spans="1:17">
      <c r="A548" s="3"/>
      <c r="B548" s="3"/>
      <c r="C548" s="3"/>
      <c r="D548" s="3"/>
      <c r="E548" s="3"/>
      <c r="F548" s="23"/>
      <c r="G548" s="23"/>
      <c r="H548" s="23"/>
      <c r="I548" s="23"/>
      <c r="J548" s="3"/>
      <c r="K548" s="3"/>
      <c r="L548" s="3"/>
      <c r="M548" s="3"/>
      <c r="N548" s="3"/>
      <c r="O548" s="3"/>
      <c r="P548" s="3"/>
      <c r="Q548" s="3"/>
    </row>
    <row r="549" spans="1:17">
      <c r="A549" s="3"/>
      <c r="B549" s="3"/>
      <c r="C549" s="3"/>
      <c r="D549" s="3"/>
      <c r="E549" s="3"/>
      <c r="F549" s="23"/>
      <c r="G549" s="23"/>
      <c r="H549" s="23"/>
      <c r="I549" s="23"/>
      <c r="J549" s="3"/>
      <c r="K549" s="3"/>
      <c r="L549" s="3"/>
      <c r="M549" s="3"/>
      <c r="N549" s="3"/>
      <c r="O549" s="3"/>
      <c r="P549" s="3"/>
      <c r="Q549" s="3"/>
    </row>
    <row r="550" spans="1:17">
      <c r="A550" s="3"/>
      <c r="B550" s="3"/>
      <c r="C550" s="3"/>
      <c r="D550" s="3"/>
      <c r="E550" s="3"/>
      <c r="F550" s="23"/>
      <c r="G550" s="23"/>
      <c r="H550" s="23"/>
      <c r="I550" s="23"/>
      <c r="J550" s="3"/>
      <c r="K550" s="3"/>
      <c r="L550" s="3"/>
      <c r="M550" s="3"/>
      <c r="N550" s="3"/>
      <c r="O550" s="3"/>
      <c r="P550" s="3"/>
      <c r="Q550" s="3"/>
    </row>
    <row r="551" spans="1:17">
      <c r="A551" s="3"/>
      <c r="B551" s="3"/>
      <c r="C551" s="3"/>
      <c r="D551" s="3"/>
      <c r="E551" s="3"/>
      <c r="F551" s="23"/>
      <c r="G551" s="23"/>
      <c r="H551" s="23"/>
      <c r="I551" s="23"/>
      <c r="J551" s="3"/>
      <c r="K551" s="3"/>
      <c r="L551" s="3"/>
      <c r="M551" s="3"/>
      <c r="N551" s="3"/>
      <c r="O551" s="3"/>
      <c r="P551" s="3"/>
      <c r="Q551" s="3"/>
    </row>
    <row r="552" spans="1:17">
      <c r="A552" s="3"/>
      <c r="B552" s="3"/>
      <c r="C552" s="3"/>
      <c r="D552" s="3"/>
      <c r="E552" s="3"/>
      <c r="F552" s="23"/>
      <c r="G552" s="23"/>
      <c r="H552" s="23"/>
      <c r="I552" s="23"/>
      <c r="J552" s="3"/>
      <c r="K552" s="3"/>
      <c r="L552" s="3"/>
      <c r="M552" s="3"/>
      <c r="N552" s="3"/>
      <c r="O552" s="3"/>
      <c r="P552" s="3"/>
      <c r="Q552" s="3"/>
    </row>
    <row r="553" spans="1:17">
      <c r="A553" s="3"/>
      <c r="B553" s="3"/>
      <c r="C553" s="3"/>
      <c r="D553" s="3"/>
      <c r="E553" s="3"/>
      <c r="F553" s="23"/>
      <c r="G553" s="23"/>
      <c r="H553" s="23"/>
      <c r="I553" s="23"/>
      <c r="J553" s="3"/>
      <c r="K553" s="3"/>
      <c r="L553" s="3"/>
      <c r="M553" s="3"/>
      <c r="N553" s="3"/>
      <c r="O553" s="3"/>
      <c r="P553" s="3"/>
      <c r="Q553" s="3"/>
    </row>
    <row r="554" spans="1:17">
      <c r="A554" s="3"/>
      <c r="B554" s="3"/>
      <c r="C554" s="3"/>
      <c r="D554" s="3"/>
      <c r="E554" s="3"/>
      <c r="F554" s="23"/>
      <c r="G554" s="23"/>
      <c r="H554" s="23"/>
      <c r="I554" s="23"/>
      <c r="J554" s="3"/>
      <c r="K554" s="3"/>
      <c r="L554" s="3"/>
      <c r="M554" s="3"/>
      <c r="N554" s="3"/>
      <c r="O554" s="3"/>
      <c r="P554" s="3"/>
      <c r="Q554" s="3"/>
    </row>
    <row r="555" spans="1:17">
      <c r="A555" s="3"/>
      <c r="B555" s="3"/>
      <c r="C555" s="3"/>
      <c r="D555" s="3"/>
      <c r="E555" s="3"/>
      <c r="F555" s="23"/>
      <c r="G555" s="23"/>
      <c r="H555" s="23"/>
      <c r="I555" s="23"/>
      <c r="J555" s="3"/>
      <c r="K555" s="3"/>
      <c r="L555" s="3"/>
      <c r="M555" s="3"/>
      <c r="N555" s="3"/>
      <c r="O555" s="3"/>
      <c r="P555" s="3"/>
      <c r="Q555" s="3"/>
    </row>
    <row r="556" spans="1:17">
      <c r="A556" s="3"/>
      <c r="B556" s="3"/>
      <c r="C556" s="3"/>
      <c r="D556" s="3"/>
      <c r="E556" s="3"/>
      <c r="F556" s="23"/>
      <c r="G556" s="23"/>
      <c r="H556" s="23"/>
      <c r="I556" s="23"/>
      <c r="J556" s="3"/>
      <c r="K556" s="3"/>
      <c r="L556" s="3"/>
      <c r="M556" s="3"/>
      <c r="N556" s="3"/>
      <c r="O556" s="3"/>
      <c r="P556" s="3"/>
      <c r="Q556" s="3"/>
    </row>
    <row r="557" spans="1:17">
      <c r="A557" s="3"/>
      <c r="B557" s="3"/>
      <c r="C557" s="3"/>
      <c r="D557" s="3"/>
      <c r="E557" s="3"/>
      <c r="F557" s="23"/>
      <c r="G557" s="23"/>
      <c r="H557" s="23"/>
      <c r="I557" s="23"/>
      <c r="J557" s="3"/>
      <c r="K557" s="3"/>
      <c r="L557" s="3"/>
      <c r="M557" s="3"/>
      <c r="N557" s="3"/>
      <c r="O557" s="3"/>
      <c r="P557" s="3"/>
      <c r="Q557" s="3"/>
    </row>
    <row r="558" spans="1:17">
      <c r="A558" s="3"/>
      <c r="B558" s="3"/>
      <c r="C558" s="3"/>
      <c r="D558" s="3"/>
      <c r="E558" s="3"/>
      <c r="F558" s="23"/>
      <c r="G558" s="23"/>
      <c r="H558" s="23"/>
      <c r="I558" s="23"/>
      <c r="J558" s="3"/>
      <c r="K558" s="3"/>
      <c r="L558" s="3"/>
      <c r="M558" s="3"/>
      <c r="N558" s="3"/>
      <c r="O558" s="3"/>
      <c r="P558" s="3"/>
      <c r="Q558" s="3"/>
    </row>
    <row r="559" spans="1:17">
      <c r="A559" s="3"/>
      <c r="B559" s="3"/>
      <c r="C559" s="3"/>
      <c r="D559" s="3"/>
      <c r="E559" s="3"/>
      <c r="F559" s="23"/>
      <c r="G559" s="23"/>
      <c r="H559" s="23"/>
      <c r="I559" s="23"/>
      <c r="J559" s="3"/>
      <c r="K559" s="3"/>
      <c r="L559" s="3"/>
      <c r="M559" s="3"/>
      <c r="N559" s="3"/>
      <c r="O559" s="3"/>
      <c r="P559" s="3"/>
      <c r="Q559" s="3"/>
    </row>
    <row r="560" spans="1:17">
      <c r="A560" s="3"/>
      <c r="B560" s="3"/>
      <c r="C560" s="3"/>
      <c r="D560" s="3"/>
      <c r="E560" s="3"/>
      <c r="F560" s="23"/>
      <c r="G560" s="23"/>
      <c r="H560" s="23"/>
      <c r="I560" s="23"/>
      <c r="J560" s="3"/>
      <c r="K560" s="3"/>
      <c r="L560" s="3"/>
      <c r="M560" s="3"/>
      <c r="N560" s="3"/>
      <c r="O560" s="3"/>
      <c r="P560" s="3"/>
      <c r="Q560" s="3"/>
    </row>
    <row r="561" spans="1:17">
      <c r="A561" s="3"/>
      <c r="B561" s="3"/>
      <c r="C561" s="3"/>
      <c r="D561" s="3"/>
      <c r="E561" s="3"/>
      <c r="F561" s="23"/>
      <c r="G561" s="23"/>
      <c r="H561" s="23"/>
      <c r="I561" s="23"/>
      <c r="J561" s="3"/>
      <c r="K561" s="3"/>
      <c r="L561" s="3"/>
      <c r="M561" s="3"/>
      <c r="N561" s="3"/>
      <c r="O561" s="3"/>
      <c r="P561" s="3"/>
      <c r="Q561" s="3"/>
    </row>
    <row r="562" spans="1:17">
      <c r="A562" s="3"/>
      <c r="B562" s="3"/>
      <c r="C562" s="3"/>
      <c r="D562" s="3"/>
      <c r="E562" s="3"/>
      <c r="F562" s="23"/>
      <c r="G562" s="23"/>
      <c r="H562" s="23"/>
      <c r="I562" s="23"/>
      <c r="J562" s="3"/>
      <c r="K562" s="3"/>
      <c r="L562" s="3"/>
      <c r="M562" s="3"/>
      <c r="N562" s="3"/>
      <c r="O562" s="3"/>
      <c r="P562" s="3"/>
      <c r="Q562" s="3"/>
    </row>
    <row r="563" spans="1:17">
      <c r="A563" s="3"/>
      <c r="B563" s="3"/>
      <c r="C563" s="3"/>
      <c r="D563" s="3"/>
      <c r="E563" s="3"/>
      <c r="F563" s="23"/>
      <c r="G563" s="23"/>
      <c r="H563" s="23"/>
      <c r="I563" s="23"/>
      <c r="J563" s="3"/>
      <c r="K563" s="3"/>
      <c r="L563" s="3"/>
      <c r="M563" s="3"/>
      <c r="N563" s="3"/>
      <c r="O563" s="3"/>
      <c r="P563" s="3"/>
      <c r="Q563" s="3"/>
    </row>
    <row r="564" spans="1:17">
      <c r="A564" s="3"/>
      <c r="B564" s="3"/>
      <c r="C564" s="3"/>
      <c r="D564" s="3"/>
      <c r="E564" s="3"/>
      <c r="F564" s="23"/>
      <c r="G564" s="23"/>
      <c r="H564" s="23"/>
      <c r="I564" s="23"/>
      <c r="J564" s="3"/>
      <c r="K564" s="3"/>
      <c r="L564" s="3"/>
      <c r="M564" s="3"/>
      <c r="N564" s="3"/>
      <c r="O564" s="3"/>
      <c r="P564" s="3"/>
      <c r="Q564" s="3"/>
    </row>
    <row r="565" spans="1:17">
      <c r="A565" s="3"/>
      <c r="B565" s="3"/>
      <c r="C565" s="3"/>
      <c r="D565" s="3"/>
      <c r="E565" s="3"/>
      <c r="F565" s="23"/>
      <c r="G565" s="23"/>
      <c r="H565" s="23"/>
      <c r="I565" s="23"/>
      <c r="J565" s="3"/>
      <c r="K565" s="3"/>
      <c r="L565" s="3"/>
      <c r="M565" s="3"/>
      <c r="N565" s="3"/>
      <c r="O565" s="3"/>
      <c r="P565" s="3"/>
      <c r="Q565" s="3"/>
    </row>
    <row r="566" spans="1:17">
      <c r="A566" s="3"/>
      <c r="B566" s="3"/>
      <c r="C566" s="3"/>
      <c r="D566" s="3"/>
      <c r="E566" s="3"/>
      <c r="F566" s="23"/>
      <c r="G566" s="23"/>
      <c r="H566" s="23"/>
      <c r="I566" s="23"/>
      <c r="J566" s="3"/>
      <c r="K566" s="3"/>
      <c r="L566" s="3"/>
      <c r="M566" s="3"/>
      <c r="N566" s="3"/>
      <c r="O566" s="3"/>
      <c r="P566" s="3"/>
      <c r="Q566" s="3"/>
    </row>
    <row r="567" spans="1:17">
      <c r="A567" s="3"/>
      <c r="B567" s="3"/>
      <c r="C567" s="3"/>
      <c r="D567" s="3"/>
      <c r="E567" s="3"/>
      <c r="F567" s="23"/>
      <c r="G567" s="23"/>
      <c r="H567" s="23"/>
      <c r="I567" s="23"/>
      <c r="J567" s="3"/>
      <c r="K567" s="3"/>
      <c r="L567" s="3"/>
      <c r="M567" s="3"/>
      <c r="N567" s="3"/>
      <c r="O567" s="3"/>
      <c r="P567" s="3"/>
      <c r="Q567" s="3"/>
    </row>
    <row r="568" spans="1:17">
      <c r="A568" s="3"/>
      <c r="B568" s="3"/>
      <c r="C568" s="3"/>
      <c r="D568" s="3"/>
      <c r="E568" s="3"/>
      <c r="F568" s="23"/>
      <c r="G568" s="23"/>
      <c r="H568" s="23"/>
      <c r="I568" s="23"/>
      <c r="J568" s="3"/>
      <c r="K568" s="3"/>
      <c r="L568" s="3"/>
      <c r="M568" s="3"/>
      <c r="N568" s="3"/>
      <c r="O568" s="3"/>
      <c r="P568" s="3"/>
      <c r="Q568" s="3"/>
    </row>
    <row r="569" spans="1:17">
      <c r="A569" s="3"/>
      <c r="B569" s="3"/>
      <c r="C569" s="3"/>
      <c r="D569" s="3"/>
      <c r="E569" s="3"/>
      <c r="F569" s="23"/>
      <c r="G569" s="23"/>
      <c r="H569" s="23"/>
      <c r="I569" s="23"/>
      <c r="J569" s="3"/>
      <c r="K569" s="3"/>
      <c r="L569" s="3"/>
      <c r="M569" s="3"/>
      <c r="N569" s="3"/>
      <c r="O569" s="3"/>
      <c r="P569" s="3"/>
      <c r="Q569" s="3"/>
    </row>
    <row r="570" spans="1:17">
      <c r="A570" s="3"/>
      <c r="B570" s="3"/>
      <c r="C570" s="3"/>
      <c r="D570" s="3"/>
      <c r="E570" s="3"/>
      <c r="F570" s="23"/>
      <c r="G570" s="23"/>
      <c r="H570" s="23"/>
      <c r="I570" s="23"/>
      <c r="J570" s="3"/>
      <c r="K570" s="3"/>
      <c r="L570" s="3"/>
      <c r="M570" s="3"/>
      <c r="N570" s="3"/>
      <c r="O570" s="3"/>
      <c r="P570" s="3"/>
      <c r="Q570" s="3"/>
    </row>
    <row r="571" spans="1:17">
      <c r="A571" s="3"/>
      <c r="B571" s="3"/>
      <c r="C571" s="3"/>
      <c r="D571" s="3"/>
      <c r="E571" s="3"/>
      <c r="F571" s="23"/>
      <c r="G571" s="23"/>
      <c r="H571" s="23"/>
      <c r="I571" s="23"/>
      <c r="J571" s="3"/>
      <c r="K571" s="3"/>
      <c r="L571" s="3"/>
      <c r="M571" s="3"/>
      <c r="N571" s="3"/>
      <c r="O571" s="3"/>
      <c r="P571" s="3"/>
      <c r="Q571" s="3"/>
    </row>
    <row r="572" spans="1:17">
      <c r="A572" s="3"/>
      <c r="B572" s="3"/>
      <c r="C572" s="3"/>
      <c r="D572" s="3"/>
      <c r="E572" s="3"/>
      <c r="F572" s="23"/>
      <c r="G572" s="23"/>
      <c r="H572" s="23"/>
      <c r="I572" s="23"/>
      <c r="J572" s="3"/>
      <c r="K572" s="3"/>
      <c r="L572" s="3"/>
      <c r="M572" s="3"/>
      <c r="N572" s="3"/>
      <c r="O572" s="3"/>
      <c r="P572" s="3"/>
      <c r="Q572" s="3"/>
    </row>
    <row r="573" spans="1:17">
      <c r="A573" s="3"/>
      <c r="B573" s="3"/>
      <c r="C573" s="3"/>
      <c r="D573" s="3"/>
      <c r="E573" s="3"/>
      <c r="F573" s="23"/>
      <c r="G573" s="23"/>
      <c r="H573" s="23"/>
      <c r="I573" s="23"/>
      <c r="J573" s="3"/>
      <c r="K573" s="3"/>
      <c r="L573" s="3"/>
      <c r="M573" s="3"/>
      <c r="N573" s="3"/>
      <c r="O573" s="3"/>
      <c r="P573" s="3"/>
      <c r="Q573" s="3"/>
    </row>
    <row r="574" spans="1:17">
      <c r="A574" s="3"/>
      <c r="B574" s="3"/>
      <c r="C574" s="3"/>
      <c r="D574" s="3"/>
      <c r="E574" s="3"/>
      <c r="F574" s="23"/>
      <c r="G574" s="23"/>
      <c r="H574" s="23"/>
      <c r="I574" s="23"/>
      <c r="J574" s="3"/>
      <c r="K574" s="3"/>
      <c r="L574" s="3"/>
      <c r="M574" s="3"/>
      <c r="N574" s="3"/>
      <c r="O574" s="3"/>
      <c r="P574" s="3"/>
      <c r="Q574" s="3"/>
    </row>
    <row r="575" spans="1:17">
      <c r="A575" s="3"/>
      <c r="B575" s="3"/>
      <c r="C575" s="3"/>
      <c r="D575" s="3"/>
      <c r="E575" s="3"/>
      <c r="F575" s="23"/>
      <c r="G575" s="23"/>
      <c r="H575" s="23"/>
      <c r="I575" s="23"/>
      <c r="J575" s="3"/>
      <c r="K575" s="3"/>
      <c r="L575" s="3"/>
      <c r="M575" s="3"/>
      <c r="N575" s="3"/>
      <c r="O575" s="3"/>
      <c r="P575" s="3"/>
      <c r="Q575" s="3"/>
    </row>
    <row r="576" spans="1:17">
      <c r="A576" s="3"/>
      <c r="B576" s="3"/>
      <c r="C576" s="3"/>
      <c r="D576" s="3"/>
      <c r="E576" s="3"/>
      <c r="F576" s="23"/>
      <c r="G576" s="23"/>
      <c r="H576" s="23"/>
      <c r="I576" s="23"/>
      <c r="J576" s="3"/>
      <c r="K576" s="3"/>
      <c r="L576" s="3"/>
      <c r="M576" s="3"/>
      <c r="N576" s="3"/>
      <c r="O576" s="3"/>
      <c r="P576" s="3"/>
      <c r="Q576" s="3"/>
    </row>
    <row r="577" spans="1:17">
      <c r="A577" s="3"/>
      <c r="B577" s="3"/>
      <c r="C577" s="3"/>
      <c r="D577" s="3"/>
      <c r="E577" s="3"/>
      <c r="F577" s="23"/>
      <c r="G577" s="23"/>
      <c r="H577" s="23"/>
      <c r="I577" s="23"/>
      <c r="J577" s="3"/>
      <c r="K577" s="3"/>
      <c r="L577" s="3"/>
      <c r="M577" s="3"/>
      <c r="N577" s="3"/>
      <c r="O577" s="3"/>
      <c r="P577" s="3"/>
      <c r="Q577" s="3"/>
    </row>
    <row r="578" spans="1:17">
      <c r="A578" s="3"/>
      <c r="B578" s="3"/>
      <c r="C578" s="3"/>
      <c r="D578" s="3"/>
      <c r="E578" s="3"/>
      <c r="F578" s="23"/>
      <c r="G578" s="23"/>
      <c r="H578" s="23"/>
      <c r="I578" s="23"/>
      <c r="J578" s="3"/>
      <c r="K578" s="3"/>
      <c r="L578" s="3"/>
      <c r="M578" s="3"/>
      <c r="N578" s="3"/>
      <c r="O578" s="3"/>
      <c r="P578" s="3"/>
      <c r="Q578" s="3"/>
    </row>
    <row r="579" spans="1:17">
      <c r="A579" s="3"/>
      <c r="B579" s="3"/>
      <c r="C579" s="3"/>
      <c r="D579" s="3"/>
      <c r="E579" s="3"/>
      <c r="F579" s="23"/>
      <c r="G579" s="23"/>
      <c r="H579" s="23"/>
      <c r="I579" s="23"/>
      <c r="J579" s="3"/>
      <c r="K579" s="3"/>
      <c r="L579" s="3"/>
      <c r="M579" s="3"/>
      <c r="N579" s="3"/>
      <c r="O579" s="3"/>
      <c r="P579" s="3"/>
      <c r="Q579" s="3"/>
    </row>
    <row r="580" spans="1:17">
      <c r="A580" s="3"/>
      <c r="B580" s="3"/>
      <c r="C580" s="3"/>
      <c r="D580" s="3"/>
      <c r="E580" s="3"/>
      <c r="F580" s="23"/>
      <c r="G580" s="23"/>
      <c r="H580" s="23"/>
      <c r="I580" s="23"/>
      <c r="J580" s="3"/>
      <c r="K580" s="3"/>
      <c r="L580" s="3"/>
      <c r="M580" s="3"/>
      <c r="N580" s="3"/>
      <c r="O580" s="3"/>
      <c r="P580" s="3"/>
      <c r="Q580" s="3"/>
    </row>
    <row r="581" spans="1:17">
      <c r="A581" s="3"/>
      <c r="B581" s="3"/>
      <c r="C581" s="3"/>
      <c r="D581" s="3"/>
      <c r="E581" s="3"/>
      <c r="F581" s="23"/>
      <c r="G581" s="23"/>
      <c r="H581" s="23"/>
      <c r="I581" s="23"/>
      <c r="J581" s="3"/>
      <c r="K581" s="3"/>
      <c r="L581" s="3"/>
      <c r="M581" s="3"/>
      <c r="N581" s="3"/>
      <c r="O581" s="3"/>
      <c r="P581" s="3"/>
      <c r="Q581" s="3"/>
    </row>
    <row r="582" spans="1:17">
      <c r="A582" s="3"/>
      <c r="B582" s="3"/>
      <c r="C582" s="3"/>
      <c r="D582" s="3"/>
      <c r="E582" s="3"/>
      <c r="F582" s="23"/>
      <c r="G582" s="23"/>
      <c r="H582" s="23"/>
      <c r="I582" s="23"/>
      <c r="J582" s="3"/>
      <c r="K582" s="3"/>
      <c r="L582" s="3"/>
      <c r="M582" s="3"/>
      <c r="N582" s="3"/>
      <c r="O582" s="3"/>
      <c r="P582" s="3"/>
      <c r="Q582" s="3"/>
    </row>
    <row r="583" spans="1:17">
      <c r="A583" s="3"/>
      <c r="B583" s="3"/>
      <c r="C583" s="3"/>
      <c r="D583" s="3"/>
      <c r="E583" s="3"/>
      <c r="F583" s="23"/>
      <c r="G583" s="23"/>
      <c r="H583" s="23"/>
      <c r="I583" s="23"/>
      <c r="J583" s="3"/>
      <c r="K583" s="3"/>
      <c r="L583" s="3"/>
      <c r="M583" s="3"/>
      <c r="N583" s="3"/>
      <c r="O583" s="3"/>
      <c r="P583" s="3"/>
      <c r="Q583" s="3"/>
    </row>
    <row r="584" spans="1:17">
      <c r="A584" s="3"/>
      <c r="B584" s="3"/>
      <c r="C584" s="3"/>
      <c r="D584" s="3"/>
      <c r="E584" s="3"/>
      <c r="F584" s="23"/>
      <c r="G584" s="23"/>
      <c r="H584" s="23"/>
      <c r="I584" s="23"/>
      <c r="J584" s="3"/>
      <c r="K584" s="3"/>
      <c r="L584" s="3"/>
      <c r="M584" s="3"/>
      <c r="N584" s="3"/>
      <c r="O584" s="3"/>
      <c r="P584" s="3"/>
      <c r="Q584" s="3"/>
    </row>
    <row r="585" spans="1:17">
      <c r="A585" s="3"/>
      <c r="B585" s="3"/>
      <c r="C585" s="3"/>
      <c r="D585" s="3"/>
      <c r="E585" s="3"/>
      <c r="F585" s="23"/>
      <c r="G585" s="23"/>
      <c r="H585" s="23"/>
      <c r="I585" s="23"/>
      <c r="J585" s="3"/>
      <c r="K585" s="3"/>
      <c r="L585" s="3"/>
      <c r="M585" s="3"/>
      <c r="N585" s="3"/>
      <c r="O585" s="3"/>
      <c r="P585" s="3"/>
      <c r="Q585" s="3"/>
    </row>
    <row r="586" spans="1:17">
      <c r="A586" s="3"/>
      <c r="B586" s="3"/>
      <c r="C586" s="3"/>
      <c r="D586" s="3"/>
      <c r="E586" s="3"/>
      <c r="F586" s="23"/>
      <c r="G586" s="23"/>
      <c r="H586" s="23"/>
      <c r="I586" s="23"/>
      <c r="J586" s="3"/>
      <c r="K586" s="3"/>
      <c r="L586" s="3"/>
      <c r="M586" s="3"/>
      <c r="N586" s="3"/>
      <c r="O586" s="3"/>
      <c r="P586" s="3"/>
      <c r="Q586" s="3"/>
    </row>
    <row r="587" spans="1:17">
      <c r="A587" s="3"/>
      <c r="B587" s="3"/>
      <c r="C587" s="3"/>
      <c r="D587" s="3"/>
      <c r="E587" s="3"/>
      <c r="F587" s="23"/>
      <c r="G587" s="23"/>
      <c r="H587" s="23"/>
      <c r="I587" s="23"/>
      <c r="J587" s="3"/>
      <c r="K587" s="3"/>
      <c r="L587" s="3"/>
      <c r="M587" s="3"/>
      <c r="N587" s="3"/>
      <c r="O587" s="3"/>
      <c r="P587" s="3"/>
      <c r="Q587" s="3"/>
    </row>
    <row r="588" spans="1:17">
      <c r="A588" s="3"/>
      <c r="B588" s="3"/>
      <c r="C588" s="3"/>
      <c r="D588" s="3"/>
      <c r="E588" s="3"/>
      <c r="F588" s="23"/>
      <c r="G588" s="23"/>
      <c r="H588" s="23"/>
      <c r="I588" s="23"/>
      <c r="J588" s="3"/>
      <c r="K588" s="3"/>
      <c r="L588" s="3"/>
      <c r="M588" s="3"/>
      <c r="N588" s="3"/>
      <c r="O588" s="3"/>
      <c r="P588" s="3"/>
      <c r="Q588" s="3"/>
    </row>
    <row r="589" spans="1:17">
      <c r="A589" s="3"/>
      <c r="B589" s="3"/>
      <c r="C589" s="3"/>
      <c r="D589" s="3"/>
      <c r="E589" s="3"/>
      <c r="F589" s="23"/>
      <c r="G589" s="23"/>
      <c r="H589" s="23"/>
      <c r="I589" s="23"/>
      <c r="J589" s="3"/>
      <c r="K589" s="3"/>
      <c r="L589" s="3"/>
      <c r="M589" s="3"/>
      <c r="N589" s="3"/>
      <c r="O589" s="3"/>
      <c r="P589" s="3"/>
      <c r="Q589" s="3"/>
    </row>
    <row r="590" spans="1:17">
      <c r="A590" s="3"/>
      <c r="B590" s="3"/>
      <c r="C590" s="3"/>
      <c r="D590" s="3"/>
      <c r="E590" s="3"/>
      <c r="F590" s="23"/>
      <c r="G590" s="23"/>
      <c r="H590" s="23"/>
      <c r="I590" s="23"/>
      <c r="J590" s="3"/>
      <c r="K590" s="3"/>
      <c r="L590" s="3"/>
      <c r="M590" s="3"/>
      <c r="N590" s="3"/>
      <c r="O590" s="3"/>
      <c r="P590" s="3"/>
      <c r="Q590" s="3"/>
    </row>
    <row r="591" spans="1:17">
      <c r="A591" s="3"/>
      <c r="B591" s="3"/>
      <c r="C591" s="3"/>
      <c r="D591" s="3"/>
      <c r="E591" s="3"/>
      <c r="F591" s="23"/>
      <c r="G591" s="23"/>
      <c r="H591" s="23"/>
      <c r="I591" s="23"/>
      <c r="J591" s="3"/>
      <c r="K591" s="3"/>
      <c r="L591" s="3"/>
      <c r="M591" s="3"/>
      <c r="N591" s="3"/>
      <c r="O591" s="3"/>
      <c r="P591" s="3"/>
      <c r="Q591" s="3"/>
    </row>
    <row r="592" spans="1:17">
      <c r="A592" s="3"/>
      <c r="B592" s="3"/>
      <c r="C592" s="3"/>
      <c r="D592" s="3"/>
      <c r="E592" s="3"/>
      <c r="F592" s="23"/>
      <c r="G592" s="23"/>
      <c r="H592" s="23"/>
      <c r="I592" s="23"/>
      <c r="J592" s="3"/>
      <c r="K592" s="3"/>
      <c r="L592" s="3"/>
      <c r="M592" s="3"/>
      <c r="N592" s="3"/>
      <c r="O592" s="3"/>
      <c r="P592" s="3"/>
      <c r="Q592" s="3"/>
    </row>
    <row r="593" spans="1:17">
      <c r="A593" s="3"/>
      <c r="B593" s="3"/>
      <c r="C593" s="3"/>
      <c r="D593" s="3"/>
      <c r="E593" s="3"/>
      <c r="F593" s="23"/>
      <c r="G593" s="23"/>
      <c r="H593" s="23"/>
      <c r="I593" s="23"/>
      <c r="J593" s="3"/>
      <c r="K593" s="3"/>
      <c r="L593" s="3"/>
      <c r="M593" s="3"/>
      <c r="N593" s="3"/>
      <c r="O593" s="3"/>
      <c r="P593" s="3"/>
      <c r="Q593" s="3"/>
    </row>
    <row r="594" spans="1:17">
      <c r="A594" s="3"/>
      <c r="B594" s="3"/>
      <c r="C594" s="3"/>
      <c r="D594" s="3"/>
      <c r="E594" s="3"/>
      <c r="F594" s="23"/>
      <c r="G594" s="23"/>
      <c r="H594" s="23"/>
      <c r="I594" s="23"/>
      <c r="J594" s="3"/>
      <c r="K594" s="3"/>
      <c r="L594" s="3"/>
      <c r="M594" s="3"/>
      <c r="N594" s="3"/>
      <c r="O594" s="3"/>
      <c r="P594" s="3"/>
      <c r="Q594" s="3"/>
    </row>
    <row r="595" spans="1:17">
      <c r="A595" s="3"/>
      <c r="B595" s="3"/>
      <c r="C595" s="3"/>
      <c r="D595" s="3"/>
      <c r="E595" s="3"/>
      <c r="F595" s="23"/>
      <c r="G595" s="23"/>
      <c r="H595" s="23"/>
      <c r="I595" s="23"/>
      <c r="J595" s="3"/>
      <c r="K595" s="3"/>
      <c r="L595" s="3"/>
      <c r="M595" s="3"/>
      <c r="N595" s="3"/>
      <c r="O595" s="3"/>
      <c r="P595" s="3"/>
      <c r="Q595" s="3"/>
    </row>
    <row r="596" spans="1:17">
      <c r="A596" s="3"/>
      <c r="B596" s="3"/>
      <c r="C596" s="3"/>
      <c r="D596" s="3"/>
      <c r="E596" s="3"/>
      <c r="F596" s="23"/>
      <c r="G596" s="23"/>
      <c r="H596" s="23"/>
      <c r="I596" s="23"/>
      <c r="J596" s="3"/>
      <c r="K596" s="3"/>
      <c r="L596" s="3"/>
      <c r="M596" s="3"/>
      <c r="N596" s="3"/>
      <c r="O596" s="3"/>
      <c r="P596" s="3"/>
      <c r="Q596" s="3"/>
    </row>
    <row r="597" spans="1:17">
      <c r="A597" s="3"/>
      <c r="B597" s="3"/>
      <c r="C597" s="3"/>
      <c r="D597" s="3"/>
      <c r="E597" s="3"/>
      <c r="F597" s="23"/>
      <c r="G597" s="23"/>
      <c r="H597" s="23"/>
      <c r="I597" s="23"/>
      <c r="J597" s="3"/>
      <c r="K597" s="3"/>
      <c r="L597" s="3"/>
      <c r="M597" s="3"/>
      <c r="N597" s="3"/>
      <c r="O597" s="3"/>
      <c r="P597" s="3"/>
      <c r="Q597" s="3"/>
    </row>
    <row r="598" spans="1:17">
      <c r="A598" s="3"/>
      <c r="B598" s="3"/>
      <c r="C598" s="3"/>
      <c r="D598" s="3"/>
      <c r="E598" s="3"/>
      <c r="F598" s="23"/>
      <c r="G598" s="23"/>
      <c r="H598" s="23"/>
      <c r="I598" s="23"/>
      <c r="J598" s="3"/>
      <c r="K598" s="3"/>
      <c r="L598" s="3"/>
      <c r="M598" s="3"/>
      <c r="N598" s="3"/>
      <c r="O598" s="3"/>
      <c r="P598" s="3"/>
      <c r="Q598" s="3"/>
    </row>
    <row r="599" spans="1:17">
      <c r="A599" s="3"/>
      <c r="B599" s="3"/>
      <c r="C599" s="3"/>
      <c r="D599" s="3"/>
      <c r="E599" s="3"/>
      <c r="F599" s="23"/>
      <c r="G599" s="23"/>
      <c r="H599" s="23"/>
      <c r="I599" s="23"/>
      <c r="J599" s="3"/>
      <c r="K599" s="3"/>
      <c r="L599" s="3"/>
      <c r="M599" s="3"/>
      <c r="N599" s="3"/>
      <c r="O599" s="3"/>
      <c r="P599" s="3"/>
      <c r="Q599" s="3"/>
    </row>
    <row r="600" spans="1:17">
      <c r="A600" s="3"/>
      <c r="B600" s="3"/>
      <c r="C600" s="3"/>
      <c r="D600" s="3"/>
      <c r="E600" s="3"/>
      <c r="F600" s="23"/>
      <c r="G600" s="23"/>
      <c r="H600" s="23"/>
      <c r="I600" s="23"/>
      <c r="J600" s="3"/>
      <c r="K600" s="3"/>
      <c r="L600" s="3"/>
      <c r="M600" s="3"/>
      <c r="N600" s="3"/>
      <c r="O600" s="3"/>
      <c r="P600" s="3"/>
      <c r="Q600" s="3"/>
    </row>
    <row r="601" spans="1:17">
      <c r="A601" s="3"/>
      <c r="B601" s="3"/>
      <c r="C601" s="3"/>
      <c r="D601" s="3"/>
      <c r="E601" s="3"/>
      <c r="F601" s="23"/>
      <c r="G601" s="23"/>
      <c r="H601" s="23"/>
      <c r="I601" s="23"/>
      <c r="J601" s="3"/>
      <c r="K601" s="3"/>
      <c r="L601" s="3"/>
      <c r="M601" s="3"/>
      <c r="N601" s="3"/>
      <c r="O601" s="3"/>
      <c r="P601" s="3"/>
      <c r="Q601" s="3"/>
    </row>
    <row r="602" spans="1:17">
      <c r="A602" s="3"/>
      <c r="B602" s="3"/>
      <c r="C602" s="3"/>
      <c r="D602" s="3"/>
      <c r="E602" s="3"/>
      <c r="F602" s="23"/>
      <c r="G602" s="23"/>
      <c r="H602" s="23"/>
      <c r="I602" s="23"/>
      <c r="J602" s="3"/>
      <c r="K602" s="3"/>
      <c r="L602" s="3"/>
      <c r="M602" s="3"/>
      <c r="N602" s="3"/>
      <c r="O602" s="3"/>
      <c r="P602" s="3"/>
      <c r="Q602" s="3"/>
    </row>
    <row r="603" spans="1:17">
      <c r="A603" s="3"/>
      <c r="B603" s="3"/>
      <c r="C603" s="3"/>
      <c r="D603" s="3"/>
      <c r="E603" s="3"/>
      <c r="F603" s="23"/>
      <c r="G603" s="23"/>
      <c r="H603" s="23"/>
      <c r="I603" s="23"/>
      <c r="J603" s="3"/>
      <c r="K603" s="3"/>
      <c r="L603" s="3"/>
      <c r="M603" s="3"/>
      <c r="N603" s="3"/>
      <c r="O603" s="3"/>
      <c r="P603" s="3"/>
      <c r="Q603" s="3"/>
    </row>
    <row r="604" spans="1:17">
      <c r="A604" s="3"/>
      <c r="B604" s="3"/>
      <c r="C604" s="3"/>
      <c r="D604" s="3"/>
      <c r="E604" s="3"/>
      <c r="F604" s="23"/>
      <c r="G604" s="23"/>
      <c r="H604" s="23"/>
      <c r="I604" s="23"/>
      <c r="J604" s="3"/>
      <c r="K604" s="3"/>
      <c r="L604" s="3"/>
      <c r="M604" s="3"/>
      <c r="N604" s="3"/>
      <c r="O604" s="3"/>
      <c r="P604" s="3"/>
      <c r="Q604" s="3"/>
    </row>
    <row r="605" spans="1:17">
      <c r="A605" s="3"/>
      <c r="B605" s="3"/>
      <c r="C605" s="3"/>
      <c r="D605" s="3"/>
      <c r="E605" s="3"/>
      <c r="F605" s="23"/>
      <c r="G605" s="23"/>
      <c r="H605" s="23"/>
      <c r="I605" s="23"/>
      <c r="J605" s="3"/>
      <c r="K605" s="3"/>
      <c r="L605" s="3"/>
      <c r="M605" s="3"/>
      <c r="N605" s="3"/>
      <c r="O605" s="3"/>
      <c r="P605" s="3"/>
      <c r="Q605" s="3"/>
    </row>
    <row r="606" spans="1:17">
      <c r="A606" s="3"/>
      <c r="B606" s="3"/>
      <c r="C606" s="3"/>
      <c r="D606" s="3"/>
      <c r="E606" s="3"/>
      <c r="F606" s="23"/>
      <c r="G606" s="23"/>
      <c r="H606" s="23"/>
      <c r="I606" s="23"/>
      <c r="J606" s="3"/>
      <c r="K606" s="3"/>
      <c r="L606" s="3"/>
      <c r="M606" s="3"/>
      <c r="N606" s="3"/>
      <c r="O606" s="3"/>
      <c r="P606" s="3"/>
      <c r="Q606" s="3"/>
    </row>
    <row r="607" spans="1:17">
      <c r="A607" s="3"/>
      <c r="B607" s="3"/>
      <c r="C607" s="3"/>
      <c r="D607" s="3"/>
      <c r="E607" s="3"/>
      <c r="F607" s="23"/>
      <c r="G607" s="23"/>
      <c r="H607" s="23"/>
      <c r="I607" s="23"/>
      <c r="J607" s="3"/>
      <c r="K607" s="3"/>
      <c r="L607" s="3"/>
      <c r="M607" s="3"/>
      <c r="N607" s="3"/>
      <c r="O607" s="3"/>
      <c r="P607" s="3"/>
      <c r="Q607" s="3"/>
    </row>
    <row r="608" spans="1:17">
      <c r="A608" s="3"/>
      <c r="B608" s="3"/>
      <c r="C608" s="3"/>
      <c r="D608" s="3"/>
      <c r="E608" s="3"/>
      <c r="F608" s="23"/>
      <c r="G608" s="23"/>
      <c r="H608" s="23"/>
      <c r="I608" s="23"/>
      <c r="J608" s="3"/>
      <c r="K608" s="3"/>
      <c r="L608" s="3"/>
      <c r="M608" s="3"/>
      <c r="N608" s="3"/>
      <c r="O608" s="3"/>
      <c r="P608" s="3"/>
      <c r="Q608" s="3"/>
    </row>
    <row r="609" spans="1:17">
      <c r="A609" s="3"/>
      <c r="B609" s="3"/>
      <c r="C609" s="3"/>
      <c r="D609" s="3"/>
      <c r="E609" s="3"/>
      <c r="F609" s="23"/>
      <c r="G609" s="23"/>
      <c r="H609" s="23"/>
      <c r="I609" s="23"/>
      <c r="J609" s="3"/>
      <c r="K609" s="3"/>
      <c r="L609" s="3"/>
      <c r="M609" s="3"/>
      <c r="N609" s="3"/>
      <c r="O609" s="3"/>
      <c r="P609" s="3"/>
      <c r="Q609" s="3"/>
    </row>
    <row r="610" spans="1:17">
      <c r="A610" s="3"/>
      <c r="B610" s="3"/>
      <c r="C610" s="3"/>
      <c r="D610" s="3"/>
      <c r="E610" s="3"/>
      <c r="F610" s="23"/>
      <c r="G610" s="23"/>
      <c r="H610" s="23"/>
      <c r="I610" s="23"/>
      <c r="J610" s="3"/>
      <c r="K610" s="3"/>
      <c r="L610" s="3"/>
      <c r="M610" s="3"/>
      <c r="N610" s="3"/>
      <c r="O610" s="3"/>
      <c r="P610" s="3"/>
      <c r="Q610" s="3"/>
    </row>
    <row r="611" spans="1:17">
      <c r="A611" s="3"/>
      <c r="B611" s="3"/>
      <c r="C611" s="3"/>
      <c r="D611" s="3"/>
      <c r="E611" s="3"/>
      <c r="F611" s="23"/>
      <c r="G611" s="23"/>
      <c r="H611" s="23"/>
      <c r="I611" s="23"/>
      <c r="J611" s="3"/>
      <c r="K611" s="3"/>
      <c r="L611" s="3"/>
      <c r="M611" s="3"/>
      <c r="N611" s="3"/>
      <c r="O611" s="3"/>
      <c r="P611" s="3"/>
      <c r="Q611" s="3"/>
    </row>
    <row r="612" spans="1:17">
      <c r="A612" s="3"/>
      <c r="B612" s="3"/>
      <c r="C612" s="3"/>
      <c r="D612" s="3"/>
      <c r="E612" s="3"/>
      <c r="F612" s="23"/>
      <c r="G612" s="23"/>
      <c r="H612" s="23"/>
      <c r="I612" s="23"/>
      <c r="J612" s="3"/>
      <c r="K612" s="3"/>
      <c r="L612" s="3"/>
      <c r="M612" s="3"/>
      <c r="N612" s="3"/>
      <c r="O612" s="3"/>
      <c r="P612" s="3"/>
      <c r="Q612" s="3"/>
    </row>
    <row r="613" spans="1:17">
      <c r="A613" s="3"/>
      <c r="B613" s="3"/>
      <c r="C613" s="3"/>
      <c r="D613" s="3"/>
      <c r="E613" s="3"/>
      <c r="F613" s="23"/>
      <c r="G613" s="23"/>
      <c r="H613" s="23"/>
      <c r="I613" s="23"/>
      <c r="J613" s="3"/>
      <c r="K613" s="3"/>
      <c r="L613" s="3"/>
      <c r="M613" s="3"/>
      <c r="N613" s="3"/>
      <c r="O613" s="3"/>
      <c r="P613" s="3"/>
      <c r="Q613" s="3"/>
    </row>
    <row r="614" spans="1:17">
      <c r="A614" s="3"/>
      <c r="B614" s="3"/>
      <c r="C614" s="3"/>
      <c r="D614" s="3"/>
      <c r="E614" s="3"/>
      <c r="F614" s="23"/>
      <c r="G614" s="23"/>
      <c r="H614" s="23"/>
      <c r="I614" s="23"/>
      <c r="J614" s="3"/>
      <c r="K614" s="3"/>
      <c r="L614" s="3"/>
      <c r="M614" s="3"/>
      <c r="N614" s="3"/>
      <c r="O614" s="3"/>
      <c r="P614" s="3"/>
      <c r="Q614" s="3"/>
    </row>
    <row r="615" spans="1:17">
      <c r="A615" s="3"/>
      <c r="B615" s="3"/>
      <c r="C615" s="3"/>
      <c r="D615" s="3"/>
      <c r="E615" s="3"/>
      <c r="F615" s="23"/>
      <c r="G615" s="23"/>
      <c r="H615" s="23"/>
      <c r="I615" s="23"/>
      <c r="J615" s="3"/>
      <c r="K615" s="3"/>
      <c r="L615" s="3"/>
      <c r="M615" s="3"/>
      <c r="N615" s="3"/>
      <c r="O615" s="3"/>
      <c r="P615" s="3"/>
      <c r="Q615" s="3"/>
    </row>
    <row r="616" spans="1:17">
      <c r="A616" s="3"/>
      <c r="B616" s="3"/>
      <c r="C616" s="3"/>
      <c r="D616" s="3"/>
      <c r="E616" s="3"/>
      <c r="F616" s="23"/>
      <c r="G616" s="23"/>
      <c r="H616" s="23"/>
      <c r="I616" s="23"/>
      <c r="J616" s="3"/>
      <c r="K616" s="3"/>
      <c r="L616" s="3"/>
      <c r="M616" s="3"/>
      <c r="N616" s="3"/>
      <c r="O616" s="3"/>
      <c r="P616" s="3"/>
      <c r="Q616" s="3"/>
    </row>
    <row r="617" spans="1:17">
      <c r="A617" s="3"/>
      <c r="B617" s="3"/>
      <c r="C617" s="3"/>
      <c r="D617" s="3"/>
      <c r="E617" s="3"/>
      <c r="F617" s="23"/>
      <c r="G617" s="23"/>
      <c r="H617" s="23"/>
      <c r="I617" s="23"/>
      <c r="J617" s="3"/>
      <c r="K617" s="3"/>
      <c r="L617" s="3"/>
      <c r="M617" s="3"/>
      <c r="N617" s="3"/>
      <c r="O617" s="3"/>
      <c r="P617" s="3"/>
      <c r="Q617" s="3"/>
    </row>
    <row r="618" spans="1:17">
      <c r="A618" s="3"/>
      <c r="B618" s="3"/>
      <c r="C618" s="3"/>
      <c r="D618" s="3"/>
      <c r="E618" s="3"/>
      <c r="F618" s="23"/>
      <c r="G618" s="23"/>
      <c r="H618" s="23"/>
      <c r="I618" s="23"/>
      <c r="J618" s="3"/>
      <c r="K618" s="3"/>
      <c r="L618" s="3"/>
      <c r="M618" s="3"/>
      <c r="N618" s="3"/>
      <c r="O618" s="3"/>
      <c r="P618" s="3"/>
      <c r="Q618" s="3"/>
    </row>
    <row r="619" spans="1:17">
      <c r="A619" s="3"/>
      <c r="B619" s="3"/>
      <c r="C619" s="3"/>
      <c r="D619" s="3"/>
      <c r="E619" s="3"/>
      <c r="F619" s="23"/>
      <c r="G619" s="23"/>
      <c r="H619" s="23"/>
      <c r="I619" s="23"/>
      <c r="J619" s="3"/>
      <c r="K619" s="3"/>
      <c r="L619" s="3"/>
      <c r="M619" s="3"/>
      <c r="N619" s="3"/>
      <c r="O619" s="3"/>
      <c r="P619" s="3"/>
      <c r="Q619" s="3"/>
    </row>
    <row r="620" spans="1:17">
      <c r="A620" s="3"/>
      <c r="B620" s="3"/>
      <c r="C620" s="3"/>
      <c r="D620" s="3"/>
      <c r="E620" s="3"/>
      <c r="F620" s="23"/>
      <c r="G620" s="23"/>
      <c r="H620" s="23"/>
      <c r="I620" s="23"/>
      <c r="J620" s="3"/>
      <c r="K620" s="3"/>
      <c r="L620" s="3"/>
      <c r="M620" s="3"/>
      <c r="N620" s="3"/>
      <c r="O620" s="3"/>
      <c r="P620" s="3"/>
      <c r="Q620" s="3"/>
    </row>
    <row r="621" spans="1:17">
      <c r="A621" s="3"/>
      <c r="B621" s="3"/>
      <c r="C621" s="3"/>
      <c r="D621" s="3"/>
      <c r="E621" s="3"/>
      <c r="F621" s="23"/>
      <c r="G621" s="23"/>
      <c r="H621" s="23"/>
      <c r="I621" s="23"/>
      <c r="J621" s="3"/>
      <c r="K621" s="3"/>
      <c r="L621" s="3"/>
      <c r="M621" s="3"/>
      <c r="N621" s="3"/>
      <c r="O621" s="3"/>
      <c r="P621" s="3"/>
      <c r="Q621" s="3"/>
    </row>
    <row r="622" spans="1:17">
      <c r="A622" s="3"/>
      <c r="B622" s="3"/>
      <c r="C622" s="3"/>
      <c r="D622" s="3"/>
      <c r="E622" s="3"/>
      <c r="F622" s="23"/>
      <c r="G622" s="23"/>
      <c r="H622" s="23"/>
      <c r="I622" s="23"/>
      <c r="J622" s="3"/>
      <c r="K622" s="3"/>
      <c r="L622" s="3"/>
      <c r="M622" s="3"/>
      <c r="N622" s="3"/>
      <c r="O622" s="3"/>
      <c r="P622" s="3"/>
      <c r="Q622" s="3"/>
    </row>
    <row r="623" spans="1:17">
      <c r="A623" s="3"/>
      <c r="B623" s="3"/>
      <c r="C623" s="3"/>
      <c r="D623" s="3"/>
      <c r="E623" s="3"/>
      <c r="F623" s="23"/>
      <c r="G623" s="23"/>
      <c r="H623" s="23"/>
      <c r="I623" s="23"/>
      <c r="J623" s="3"/>
      <c r="K623" s="3"/>
      <c r="L623" s="3"/>
      <c r="M623" s="3"/>
      <c r="N623" s="3"/>
      <c r="O623" s="3"/>
      <c r="P623" s="3"/>
      <c r="Q623" s="3"/>
    </row>
    <row r="624" spans="1:17">
      <c r="A624" s="3"/>
      <c r="B624" s="3"/>
      <c r="C624" s="3"/>
      <c r="D624" s="3"/>
      <c r="E624" s="3"/>
      <c r="F624" s="23"/>
      <c r="G624" s="23"/>
      <c r="H624" s="23"/>
      <c r="I624" s="23"/>
      <c r="J624" s="3"/>
      <c r="K624" s="3"/>
      <c r="L624" s="3"/>
      <c r="M624" s="3"/>
      <c r="N624" s="3"/>
      <c r="O624" s="3"/>
      <c r="P624" s="3"/>
      <c r="Q624" s="3"/>
    </row>
    <row r="625" spans="1:17">
      <c r="A625" s="3"/>
      <c r="B625" s="3"/>
      <c r="C625" s="3"/>
      <c r="D625" s="3"/>
      <c r="E625" s="3"/>
      <c r="F625" s="23"/>
      <c r="G625" s="23"/>
      <c r="H625" s="23"/>
      <c r="I625" s="23"/>
      <c r="J625" s="3"/>
      <c r="K625" s="3"/>
      <c r="L625" s="3"/>
      <c r="M625" s="3"/>
      <c r="N625" s="3"/>
      <c r="O625" s="3"/>
      <c r="P625" s="3"/>
      <c r="Q625" s="3"/>
    </row>
    <row r="626" spans="1:17">
      <c r="A626" s="3"/>
      <c r="B626" s="3"/>
      <c r="C626" s="3"/>
      <c r="D626" s="3"/>
      <c r="E626" s="3"/>
      <c r="F626" s="23"/>
      <c r="G626" s="23"/>
      <c r="H626" s="23"/>
      <c r="I626" s="23"/>
      <c r="J626" s="3"/>
      <c r="K626" s="3"/>
      <c r="L626" s="3"/>
      <c r="M626" s="3"/>
      <c r="N626" s="3"/>
      <c r="O626" s="3"/>
      <c r="P626" s="3"/>
      <c r="Q626" s="3"/>
    </row>
    <row r="627" spans="1:17">
      <c r="A627" s="3"/>
      <c r="B627" s="3"/>
      <c r="C627" s="3"/>
      <c r="D627" s="3"/>
      <c r="E627" s="3"/>
      <c r="F627" s="23"/>
      <c r="G627" s="23"/>
      <c r="H627" s="23"/>
      <c r="I627" s="23"/>
      <c r="J627" s="3"/>
      <c r="K627" s="3"/>
      <c r="L627" s="3"/>
      <c r="M627" s="3"/>
      <c r="N627" s="3"/>
      <c r="O627" s="3"/>
      <c r="P627" s="3"/>
      <c r="Q627" s="3"/>
    </row>
    <row r="628" spans="1:17">
      <c r="A628" s="3"/>
      <c r="B628" s="3"/>
      <c r="C628" s="3"/>
      <c r="D628" s="3"/>
      <c r="E628" s="3"/>
      <c r="F628" s="23"/>
      <c r="G628" s="23"/>
      <c r="H628" s="23"/>
      <c r="I628" s="23"/>
      <c r="J628" s="3"/>
      <c r="K628" s="3"/>
      <c r="L628" s="3"/>
      <c r="M628" s="3"/>
      <c r="N628" s="3"/>
      <c r="O628" s="3"/>
      <c r="P628" s="3"/>
      <c r="Q628" s="3"/>
    </row>
    <row r="629" spans="1:17">
      <c r="A629" s="3"/>
      <c r="B629" s="3"/>
      <c r="C629" s="3"/>
      <c r="D629" s="3"/>
      <c r="E629" s="3"/>
      <c r="F629" s="23"/>
      <c r="G629" s="23"/>
      <c r="H629" s="23"/>
      <c r="I629" s="23"/>
      <c r="J629" s="3"/>
      <c r="K629" s="3"/>
      <c r="L629" s="3"/>
      <c r="M629" s="3"/>
      <c r="N629" s="3"/>
      <c r="O629" s="3"/>
      <c r="P629" s="3"/>
      <c r="Q629" s="3"/>
    </row>
    <row r="630" spans="1:17">
      <c r="A630" s="3"/>
      <c r="B630" s="3"/>
      <c r="C630" s="3"/>
      <c r="D630" s="3"/>
      <c r="E630" s="3"/>
      <c r="F630" s="23"/>
      <c r="G630" s="23"/>
      <c r="H630" s="23"/>
      <c r="I630" s="23"/>
      <c r="J630" s="3"/>
      <c r="K630" s="3"/>
      <c r="L630" s="3"/>
      <c r="M630" s="3"/>
      <c r="N630" s="3"/>
      <c r="O630" s="3"/>
      <c r="P630" s="3"/>
      <c r="Q630" s="3"/>
    </row>
    <row r="631" spans="1:17">
      <c r="A631" s="3"/>
      <c r="B631" s="3"/>
      <c r="C631" s="3"/>
      <c r="D631" s="3"/>
      <c r="E631" s="3"/>
      <c r="F631" s="23"/>
      <c r="G631" s="23"/>
      <c r="H631" s="23"/>
      <c r="I631" s="23"/>
      <c r="J631" s="3"/>
      <c r="K631" s="3"/>
      <c r="L631" s="3"/>
      <c r="M631" s="3"/>
      <c r="N631" s="3"/>
      <c r="O631" s="3"/>
      <c r="P631" s="3"/>
      <c r="Q631" s="3"/>
    </row>
    <row r="632" spans="1:17">
      <c r="A632" s="3"/>
      <c r="B632" s="3"/>
      <c r="C632" s="3"/>
      <c r="D632" s="3"/>
      <c r="E632" s="3"/>
      <c r="F632" s="23"/>
      <c r="G632" s="23"/>
      <c r="H632" s="23"/>
      <c r="I632" s="23"/>
      <c r="J632" s="3"/>
      <c r="K632" s="3"/>
      <c r="L632" s="3"/>
      <c r="M632" s="3"/>
      <c r="N632" s="3"/>
      <c r="O632" s="3"/>
      <c r="P632" s="3"/>
      <c r="Q632" s="3"/>
    </row>
    <row r="633" spans="1:17">
      <c r="A633" s="3"/>
      <c r="B633" s="3"/>
      <c r="C633" s="3"/>
      <c r="D633" s="3"/>
      <c r="E633" s="3"/>
      <c r="F633" s="23"/>
      <c r="G633" s="23"/>
      <c r="H633" s="23"/>
      <c r="I633" s="23"/>
      <c r="J633" s="3"/>
      <c r="K633" s="3"/>
      <c r="L633" s="3"/>
      <c r="M633" s="3"/>
      <c r="N633" s="3"/>
      <c r="O633" s="3"/>
      <c r="P633" s="3"/>
      <c r="Q633" s="3"/>
    </row>
    <row r="634" spans="1:17">
      <c r="A634" s="3"/>
      <c r="B634" s="3"/>
      <c r="C634" s="3"/>
      <c r="D634" s="3"/>
      <c r="E634" s="3"/>
      <c r="F634" s="23"/>
      <c r="G634" s="23"/>
      <c r="H634" s="23"/>
      <c r="I634" s="23"/>
      <c r="J634" s="3"/>
      <c r="K634" s="3"/>
      <c r="L634" s="3"/>
      <c r="M634" s="3"/>
      <c r="N634" s="3"/>
      <c r="O634" s="3"/>
      <c r="P634" s="3"/>
      <c r="Q634" s="3"/>
    </row>
    <row r="635" spans="1:17">
      <c r="A635" s="3"/>
      <c r="B635" s="3"/>
      <c r="C635" s="3"/>
      <c r="D635" s="3"/>
      <c r="E635" s="3"/>
      <c r="F635" s="23"/>
      <c r="G635" s="23"/>
      <c r="H635" s="23"/>
      <c r="I635" s="23"/>
      <c r="J635" s="3"/>
      <c r="K635" s="3"/>
      <c r="L635" s="3"/>
      <c r="M635" s="3"/>
      <c r="N635" s="3"/>
      <c r="O635" s="3"/>
      <c r="P635" s="3"/>
      <c r="Q635" s="3"/>
    </row>
    <row r="636" spans="1:17">
      <c r="A636" s="3"/>
      <c r="B636" s="3"/>
      <c r="C636" s="3"/>
      <c r="D636" s="3"/>
      <c r="E636" s="3"/>
      <c r="F636" s="23"/>
      <c r="G636" s="23"/>
      <c r="H636" s="23"/>
      <c r="I636" s="23"/>
      <c r="J636" s="3"/>
      <c r="K636" s="3"/>
      <c r="L636" s="3"/>
      <c r="M636" s="3"/>
      <c r="N636" s="3"/>
      <c r="O636" s="3"/>
      <c r="P636" s="3"/>
      <c r="Q636" s="3"/>
    </row>
    <row r="637" spans="1:17">
      <c r="A637" s="3"/>
      <c r="B637" s="3"/>
      <c r="C637" s="3"/>
      <c r="D637" s="3"/>
      <c r="E637" s="3"/>
      <c r="F637" s="23"/>
      <c r="G637" s="23"/>
      <c r="H637" s="23"/>
      <c r="I637" s="23"/>
      <c r="J637" s="3"/>
      <c r="K637" s="3"/>
      <c r="L637" s="3"/>
      <c r="M637" s="3"/>
      <c r="N637" s="3"/>
      <c r="O637" s="3"/>
      <c r="P637" s="3"/>
      <c r="Q637" s="3"/>
    </row>
    <row r="638" spans="1:17">
      <c r="A638" s="3"/>
      <c r="B638" s="3"/>
      <c r="C638" s="3"/>
      <c r="D638" s="3"/>
      <c r="E638" s="3"/>
      <c r="F638" s="23"/>
      <c r="G638" s="23"/>
      <c r="H638" s="23"/>
      <c r="I638" s="23"/>
      <c r="J638" s="3"/>
      <c r="K638" s="3"/>
      <c r="L638" s="3"/>
      <c r="M638" s="3"/>
      <c r="N638" s="3"/>
      <c r="O638" s="3"/>
      <c r="P638" s="3"/>
      <c r="Q638" s="3"/>
    </row>
    <row r="639" spans="1:17">
      <c r="A639" s="3"/>
      <c r="B639" s="3"/>
      <c r="C639" s="3"/>
      <c r="D639" s="3"/>
      <c r="E639" s="3"/>
      <c r="F639" s="23"/>
      <c r="G639" s="23"/>
      <c r="H639" s="23"/>
      <c r="I639" s="23"/>
      <c r="J639" s="3"/>
      <c r="K639" s="3"/>
      <c r="L639" s="3"/>
      <c r="M639" s="3"/>
      <c r="N639" s="3"/>
      <c r="O639" s="3"/>
      <c r="P639" s="3"/>
      <c r="Q639" s="3"/>
    </row>
    <row r="640" spans="1:17">
      <c r="A640" s="3"/>
      <c r="B640" s="3"/>
      <c r="C640" s="3"/>
      <c r="D640" s="3"/>
      <c r="E640" s="3"/>
      <c r="F640" s="23"/>
      <c r="G640" s="23"/>
      <c r="H640" s="23"/>
      <c r="I640" s="23"/>
      <c r="J640" s="3"/>
      <c r="K640" s="3"/>
      <c r="L640" s="3"/>
      <c r="M640" s="3"/>
      <c r="N640" s="3"/>
      <c r="O640" s="3"/>
      <c r="P640" s="3"/>
      <c r="Q640" s="3"/>
    </row>
    <row r="641" spans="1:17">
      <c r="A641" s="3"/>
      <c r="B641" s="3"/>
      <c r="C641" s="3"/>
      <c r="D641" s="3"/>
      <c r="E641" s="3"/>
      <c r="F641" s="23"/>
      <c r="G641" s="23"/>
      <c r="H641" s="23"/>
      <c r="I641" s="23"/>
      <c r="J641" s="3"/>
      <c r="K641" s="3"/>
      <c r="L641" s="3"/>
      <c r="M641" s="3"/>
      <c r="N641" s="3"/>
      <c r="O641" s="3"/>
      <c r="P641" s="3"/>
      <c r="Q641" s="3"/>
    </row>
    <row r="642" spans="1:17">
      <c r="A642" s="3"/>
      <c r="B642" s="3"/>
      <c r="C642" s="3"/>
      <c r="D642" s="3"/>
      <c r="E642" s="3"/>
      <c r="F642" s="23"/>
      <c r="G642" s="23"/>
      <c r="H642" s="23"/>
      <c r="I642" s="23"/>
      <c r="J642" s="3"/>
      <c r="K642" s="3"/>
      <c r="L642" s="3"/>
      <c r="M642" s="3"/>
      <c r="N642" s="3"/>
      <c r="O642" s="3"/>
      <c r="P642" s="3"/>
      <c r="Q642" s="3"/>
    </row>
    <row r="643" spans="1:17">
      <c r="A643" s="3"/>
      <c r="B643" s="3"/>
      <c r="C643" s="3"/>
      <c r="D643" s="3"/>
      <c r="E643" s="3"/>
      <c r="F643" s="23"/>
      <c r="G643" s="23"/>
      <c r="H643" s="23"/>
      <c r="I643" s="23"/>
      <c r="J643" s="3"/>
      <c r="K643" s="3"/>
      <c r="L643" s="3"/>
      <c r="M643" s="3"/>
      <c r="N643" s="3"/>
      <c r="O643" s="3"/>
      <c r="P643" s="3"/>
      <c r="Q643" s="3"/>
    </row>
    <row r="644" spans="1:17">
      <c r="A644" s="3"/>
      <c r="B644" s="3"/>
      <c r="C644" s="3"/>
      <c r="D644" s="3"/>
      <c r="E644" s="3"/>
      <c r="F644" s="23"/>
      <c r="G644" s="23"/>
      <c r="H644" s="23"/>
      <c r="I644" s="23"/>
      <c r="J644" s="3"/>
      <c r="K644" s="3"/>
      <c r="L644" s="3"/>
      <c r="M644" s="3"/>
      <c r="N644" s="3"/>
      <c r="O644" s="3"/>
      <c r="P644" s="3"/>
      <c r="Q644" s="3"/>
    </row>
    <row r="645" spans="1:17">
      <c r="A645" s="3"/>
      <c r="B645" s="3"/>
      <c r="C645" s="3"/>
      <c r="D645" s="3"/>
      <c r="E645" s="3"/>
      <c r="F645" s="23"/>
      <c r="G645" s="23"/>
      <c r="H645" s="23"/>
      <c r="I645" s="23"/>
      <c r="J645" s="3"/>
      <c r="K645" s="3"/>
      <c r="L645" s="3"/>
      <c r="M645" s="3"/>
      <c r="N645" s="3"/>
      <c r="O645" s="3"/>
      <c r="P645" s="3"/>
      <c r="Q645" s="3"/>
    </row>
    <row r="646" spans="1:17">
      <c r="A646" s="3"/>
      <c r="B646" s="3"/>
      <c r="C646" s="3"/>
      <c r="D646" s="3"/>
      <c r="E646" s="3"/>
      <c r="F646" s="23"/>
      <c r="G646" s="23"/>
      <c r="H646" s="23"/>
      <c r="I646" s="23"/>
      <c r="J646" s="3"/>
      <c r="K646" s="3"/>
      <c r="L646" s="3"/>
      <c r="M646" s="3"/>
      <c r="N646" s="3"/>
      <c r="O646" s="3"/>
      <c r="P646" s="3"/>
      <c r="Q646" s="3"/>
    </row>
    <row r="647" spans="1:17">
      <c r="A647" s="3"/>
      <c r="B647" s="3"/>
      <c r="C647" s="3"/>
      <c r="D647" s="3"/>
      <c r="E647" s="3"/>
      <c r="F647" s="23"/>
      <c r="G647" s="23"/>
      <c r="H647" s="23"/>
      <c r="I647" s="23"/>
      <c r="J647" s="3"/>
      <c r="K647" s="3"/>
      <c r="L647" s="3"/>
      <c r="M647" s="3"/>
      <c r="N647" s="3"/>
      <c r="O647" s="3"/>
      <c r="P647" s="3"/>
      <c r="Q647" s="3"/>
    </row>
    <row r="648" spans="1:17">
      <c r="A648" s="3"/>
      <c r="B648" s="3"/>
      <c r="C648" s="3"/>
      <c r="D648" s="3"/>
      <c r="E648" s="3"/>
      <c r="F648" s="23"/>
      <c r="G648" s="23"/>
      <c r="H648" s="23"/>
      <c r="I648" s="23"/>
      <c r="J648" s="3"/>
      <c r="K648" s="3"/>
      <c r="L648" s="3"/>
      <c r="M648" s="3"/>
      <c r="N648" s="3"/>
      <c r="O648" s="3"/>
      <c r="P648" s="3"/>
      <c r="Q648" s="3"/>
    </row>
    <row r="649" spans="1:17">
      <c r="A649" s="3"/>
      <c r="B649" s="3"/>
      <c r="C649" s="3"/>
      <c r="D649" s="3"/>
      <c r="E649" s="3"/>
      <c r="F649" s="23"/>
      <c r="G649" s="23"/>
      <c r="H649" s="23"/>
      <c r="I649" s="23"/>
      <c r="J649" s="3"/>
      <c r="K649" s="3"/>
      <c r="L649" s="3"/>
      <c r="M649" s="3"/>
      <c r="N649" s="3"/>
      <c r="O649" s="3"/>
      <c r="P649" s="3"/>
      <c r="Q649" s="3"/>
    </row>
    <row r="650" spans="1:17">
      <c r="A650" s="3"/>
      <c r="B650" s="3"/>
      <c r="C650" s="3"/>
      <c r="D650" s="3"/>
      <c r="E650" s="3"/>
      <c r="F650" s="23"/>
      <c r="G650" s="23"/>
      <c r="H650" s="23"/>
      <c r="I650" s="23"/>
      <c r="J650" s="3"/>
      <c r="K650" s="3"/>
      <c r="L650" s="3"/>
      <c r="M650" s="3"/>
      <c r="N650" s="3"/>
      <c r="O650" s="3"/>
      <c r="P650" s="3"/>
      <c r="Q650" s="3"/>
    </row>
    <row r="651" spans="1:17">
      <c r="A651" s="3"/>
      <c r="B651" s="3"/>
      <c r="C651" s="3"/>
      <c r="D651" s="3"/>
      <c r="E651" s="3"/>
      <c r="F651" s="23"/>
      <c r="G651" s="23"/>
      <c r="H651" s="23"/>
      <c r="I651" s="23"/>
      <c r="J651" s="3"/>
      <c r="K651" s="3"/>
      <c r="L651" s="3"/>
      <c r="M651" s="3"/>
      <c r="N651" s="3"/>
      <c r="O651" s="3"/>
      <c r="P651" s="3"/>
      <c r="Q651" s="3"/>
    </row>
    <row r="652" spans="1:17">
      <c r="A652" s="3"/>
      <c r="B652" s="3"/>
      <c r="C652" s="3"/>
      <c r="D652" s="3"/>
      <c r="E652" s="3"/>
      <c r="F652" s="23"/>
      <c r="G652" s="23"/>
      <c r="H652" s="23"/>
      <c r="I652" s="23"/>
      <c r="J652" s="3"/>
      <c r="K652" s="3"/>
      <c r="L652" s="3"/>
      <c r="M652" s="3"/>
      <c r="N652" s="3"/>
      <c r="O652" s="3"/>
      <c r="P652" s="3"/>
      <c r="Q652" s="3"/>
    </row>
    <row r="653" spans="1:17">
      <c r="A653" s="3"/>
      <c r="B653" s="3"/>
      <c r="C653" s="3"/>
      <c r="D653" s="3"/>
      <c r="E653" s="3"/>
      <c r="F653" s="23"/>
      <c r="G653" s="23"/>
      <c r="H653" s="23"/>
      <c r="I653" s="23"/>
      <c r="J653" s="3"/>
      <c r="K653" s="3"/>
      <c r="L653" s="3"/>
      <c r="M653" s="3"/>
      <c r="N653" s="3"/>
      <c r="O653" s="3"/>
      <c r="P653" s="3"/>
      <c r="Q653" s="3"/>
    </row>
    <row r="654" spans="1:17">
      <c r="A654" s="3"/>
      <c r="B654" s="3"/>
      <c r="C654" s="3"/>
      <c r="D654" s="3"/>
      <c r="E654" s="3"/>
      <c r="F654" s="23"/>
      <c r="G654" s="23"/>
      <c r="H654" s="23"/>
      <c r="I654" s="23"/>
      <c r="J654" s="3"/>
      <c r="K654" s="3"/>
      <c r="L654" s="3"/>
      <c r="M654" s="3"/>
      <c r="N654" s="3"/>
      <c r="O654" s="3"/>
      <c r="P654" s="3"/>
      <c r="Q654" s="3"/>
    </row>
    <row r="655" spans="1:17">
      <c r="A655" s="3"/>
      <c r="B655" s="3"/>
      <c r="C655" s="3"/>
      <c r="D655" s="3"/>
      <c r="E655" s="3"/>
      <c r="F655" s="23"/>
      <c r="G655" s="23"/>
      <c r="H655" s="23"/>
      <c r="I655" s="23"/>
      <c r="J655" s="3"/>
      <c r="K655" s="3"/>
      <c r="L655" s="3"/>
      <c r="M655" s="3"/>
      <c r="N655" s="3"/>
      <c r="O655" s="3"/>
      <c r="P655" s="3"/>
      <c r="Q655" s="3"/>
    </row>
    <row r="656" spans="1:17">
      <c r="A656" s="3"/>
      <c r="B656" s="3"/>
      <c r="C656" s="3"/>
      <c r="D656" s="3"/>
      <c r="E656" s="3"/>
      <c r="F656" s="23"/>
      <c r="G656" s="23"/>
      <c r="H656" s="23"/>
      <c r="I656" s="23"/>
      <c r="J656" s="3"/>
      <c r="K656" s="3"/>
      <c r="L656" s="3"/>
      <c r="M656" s="3"/>
      <c r="N656" s="3"/>
      <c r="O656" s="3"/>
      <c r="P656" s="3"/>
      <c r="Q656" s="3"/>
    </row>
    <row r="657" spans="1:17">
      <c r="A657" s="3"/>
      <c r="B657" s="3"/>
      <c r="C657" s="3"/>
      <c r="D657" s="3"/>
      <c r="E657" s="3"/>
      <c r="F657" s="23"/>
      <c r="G657" s="23"/>
      <c r="H657" s="23"/>
      <c r="I657" s="23"/>
      <c r="J657" s="3"/>
      <c r="K657" s="3"/>
      <c r="L657" s="3"/>
      <c r="M657" s="3"/>
      <c r="N657" s="3"/>
      <c r="O657" s="3"/>
      <c r="P657" s="3"/>
      <c r="Q657" s="3"/>
    </row>
    <row r="658" spans="1:17">
      <c r="A658" s="3"/>
      <c r="B658" s="3"/>
      <c r="C658" s="3"/>
      <c r="D658" s="3"/>
      <c r="E658" s="3"/>
      <c r="F658" s="23"/>
      <c r="G658" s="23"/>
      <c r="H658" s="23"/>
      <c r="I658" s="23"/>
      <c r="J658" s="3"/>
      <c r="K658" s="3"/>
      <c r="L658" s="3"/>
      <c r="M658" s="3"/>
      <c r="N658" s="3"/>
      <c r="O658" s="3"/>
      <c r="P658" s="3"/>
      <c r="Q658" s="3"/>
    </row>
    <row r="659" spans="1:17">
      <c r="A659" s="3"/>
      <c r="B659" s="3"/>
      <c r="C659" s="3"/>
      <c r="D659" s="3"/>
      <c r="E659" s="3"/>
      <c r="F659" s="23"/>
      <c r="G659" s="23"/>
      <c r="H659" s="23"/>
      <c r="I659" s="23"/>
      <c r="J659" s="3"/>
      <c r="K659" s="3"/>
      <c r="L659" s="3"/>
      <c r="M659" s="3"/>
      <c r="N659" s="3"/>
      <c r="O659" s="3"/>
      <c r="P659" s="3"/>
      <c r="Q659" s="3"/>
    </row>
    <row r="660" spans="1:17">
      <c r="A660" s="3"/>
      <c r="B660" s="3"/>
      <c r="C660" s="3"/>
      <c r="D660" s="3"/>
      <c r="E660" s="3"/>
      <c r="F660" s="23"/>
      <c r="G660" s="23"/>
      <c r="H660" s="23"/>
      <c r="I660" s="23"/>
      <c r="J660" s="3"/>
      <c r="K660" s="3"/>
      <c r="L660" s="3"/>
      <c r="M660" s="3"/>
      <c r="N660" s="3"/>
      <c r="O660" s="3"/>
      <c r="P660" s="3"/>
      <c r="Q660" s="3"/>
    </row>
    <row r="661" spans="1:17">
      <c r="A661" s="3"/>
      <c r="B661" s="3"/>
      <c r="C661" s="3"/>
      <c r="D661" s="3"/>
      <c r="E661" s="3"/>
      <c r="F661" s="23"/>
      <c r="G661" s="23"/>
      <c r="H661" s="23"/>
      <c r="I661" s="23"/>
      <c r="J661" s="3"/>
      <c r="K661" s="3"/>
      <c r="L661" s="3"/>
      <c r="M661" s="3"/>
      <c r="N661" s="3"/>
      <c r="O661" s="3"/>
      <c r="P661" s="3"/>
      <c r="Q661" s="3"/>
    </row>
    <row r="662" spans="1:17">
      <c r="A662" s="3"/>
      <c r="B662" s="3"/>
      <c r="C662" s="3"/>
      <c r="D662" s="3"/>
      <c r="E662" s="3"/>
      <c r="F662" s="23"/>
      <c r="G662" s="23"/>
      <c r="H662" s="23"/>
      <c r="I662" s="23"/>
      <c r="J662" s="3"/>
      <c r="K662" s="3"/>
      <c r="L662" s="3"/>
      <c r="M662" s="3"/>
      <c r="N662" s="3"/>
      <c r="O662" s="3"/>
      <c r="P662" s="3"/>
      <c r="Q662" s="3"/>
    </row>
    <row r="663" spans="1:17">
      <c r="A663" s="3"/>
      <c r="B663" s="3"/>
      <c r="C663" s="3"/>
      <c r="D663" s="3"/>
      <c r="E663" s="3"/>
      <c r="F663" s="23"/>
      <c r="G663" s="23"/>
      <c r="H663" s="23"/>
      <c r="I663" s="23"/>
      <c r="J663" s="3"/>
      <c r="K663" s="3"/>
      <c r="L663" s="3"/>
      <c r="M663" s="3"/>
      <c r="N663" s="3"/>
      <c r="O663" s="3"/>
      <c r="P663" s="3"/>
      <c r="Q663" s="3"/>
    </row>
    <row r="664" spans="1:17">
      <c r="A664" s="3"/>
      <c r="B664" s="3"/>
      <c r="C664" s="3"/>
      <c r="D664" s="3"/>
      <c r="E664" s="3"/>
      <c r="F664" s="23"/>
      <c r="G664" s="23"/>
      <c r="H664" s="23"/>
      <c r="I664" s="23"/>
      <c r="J664" s="3"/>
      <c r="K664" s="3"/>
      <c r="L664" s="3"/>
      <c r="M664" s="3"/>
      <c r="N664" s="3"/>
      <c r="O664" s="3"/>
      <c r="P664" s="3"/>
      <c r="Q664" s="3"/>
    </row>
    <row r="665" spans="1:17">
      <c r="A665" s="3"/>
      <c r="B665" s="3"/>
      <c r="C665" s="3"/>
      <c r="D665" s="3"/>
      <c r="E665" s="3"/>
      <c r="F665" s="23"/>
      <c r="G665" s="23"/>
      <c r="H665" s="23"/>
      <c r="I665" s="23"/>
      <c r="J665" s="3"/>
      <c r="K665" s="3"/>
      <c r="L665" s="3"/>
      <c r="M665" s="3"/>
      <c r="N665" s="3"/>
      <c r="O665" s="3"/>
      <c r="P665" s="3"/>
      <c r="Q665" s="3"/>
    </row>
    <row r="666" spans="1:17">
      <c r="A666" s="3"/>
      <c r="B666" s="3"/>
      <c r="C666" s="3"/>
      <c r="D666" s="3"/>
      <c r="E666" s="3"/>
      <c r="F666" s="23"/>
      <c r="G666" s="23"/>
      <c r="H666" s="23"/>
      <c r="I666" s="23"/>
      <c r="J666" s="3"/>
      <c r="K666" s="3"/>
      <c r="L666" s="3"/>
      <c r="M666" s="3"/>
      <c r="N666" s="3"/>
      <c r="O666" s="3"/>
      <c r="P666" s="3"/>
      <c r="Q666" s="3"/>
    </row>
    <row r="667" spans="1:17">
      <c r="A667" s="3"/>
      <c r="B667" s="3"/>
      <c r="C667" s="3"/>
      <c r="D667" s="3"/>
      <c r="E667" s="3"/>
      <c r="F667" s="23"/>
      <c r="G667" s="23"/>
      <c r="H667" s="23"/>
      <c r="I667" s="23"/>
      <c r="J667" s="3"/>
      <c r="K667" s="3"/>
      <c r="L667" s="3"/>
      <c r="M667" s="3"/>
      <c r="N667" s="3"/>
      <c r="O667" s="3"/>
      <c r="P667" s="3"/>
      <c r="Q667" s="3"/>
    </row>
    <row r="668" spans="1:17">
      <c r="A668" s="3"/>
      <c r="B668" s="3"/>
      <c r="C668" s="3"/>
      <c r="D668" s="3"/>
      <c r="E668" s="3"/>
      <c r="F668" s="23"/>
      <c r="G668" s="23"/>
      <c r="H668" s="23"/>
      <c r="I668" s="23"/>
      <c r="J668" s="3"/>
      <c r="K668" s="3"/>
      <c r="L668" s="3"/>
      <c r="M668" s="3"/>
      <c r="N668" s="3"/>
      <c r="O668" s="3"/>
      <c r="P668" s="3"/>
      <c r="Q668" s="3"/>
    </row>
    <row r="669" spans="1:17">
      <c r="A669" s="3"/>
      <c r="B669" s="3"/>
      <c r="C669" s="3"/>
      <c r="D669" s="3"/>
      <c r="E669" s="3"/>
      <c r="F669" s="23"/>
      <c r="G669" s="23"/>
      <c r="H669" s="23"/>
      <c r="I669" s="23"/>
      <c r="J669" s="3"/>
      <c r="K669" s="3"/>
      <c r="L669" s="3"/>
      <c r="M669" s="3"/>
      <c r="N669" s="3"/>
      <c r="O669" s="3"/>
      <c r="P669" s="3"/>
      <c r="Q669" s="3"/>
    </row>
    <row r="670" spans="1:17">
      <c r="A670" s="3"/>
      <c r="B670" s="3"/>
      <c r="C670" s="3"/>
      <c r="D670" s="3"/>
      <c r="E670" s="3"/>
      <c r="F670" s="23"/>
      <c r="G670" s="23"/>
      <c r="H670" s="23"/>
      <c r="I670" s="23"/>
      <c r="J670" s="3"/>
      <c r="K670" s="3"/>
      <c r="L670" s="3"/>
      <c r="M670" s="3"/>
      <c r="N670" s="3"/>
      <c r="O670" s="3"/>
      <c r="P670" s="3"/>
      <c r="Q670" s="3"/>
    </row>
    <row r="671" spans="1:17">
      <c r="A671" s="3"/>
      <c r="B671" s="3"/>
      <c r="C671" s="3"/>
      <c r="D671" s="3"/>
      <c r="E671" s="3"/>
      <c r="F671" s="23"/>
      <c r="G671" s="23"/>
      <c r="H671" s="23"/>
      <c r="I671" s="23"/>
      <c r="J671" s="3"/>
      <c r="K671" s="3"/>
      <c r="L671" s="3"/>
      <c r="M671" s="3"/>
      <c r="N671" s="3"/>
      <c r="O671" s="3"/>
      <c r="P671" s="3"/>
      <c r="Q671" s="3"/>
    </row>
    <row r="672" spans="1:17">
      <c r="A672" s="3"/>
      <c r="B672" s="3"/>
      <c r="C672" s="3"/>
      <c r="D672" s="3"/>
      <c r="E672" s="3"/>
      <c r="F672" s="23"/>
      <c r="G672" s="23"/>
      <c r="H672" s="23"/>
      <c r="I672" s="23"/>
      <c r="J672" s="3"/>
      <c r="K672" s="3"/>
      <c r="L672" s="3"/>
      <c r="M672" s="3"/>
      <c r="N672" s="3"/>
      <c r="O672" s="3"/>
      <c r="P672" s="3"/>
      <c r="Q672" s="3"/>
    </row>
    <row r="673" spans="1:17">
      <c r="A673" s="3"/>
      <c r="B673" s="3"/>
      <c r="C673" s="3"/>
      <c r="D673" s="3"/>
      <c r="E673" s="3"/>
      <c r="F673" s="23"/>
      <c r="G673" s="23"/>
      <c r="H673" s="23"/>
      <c r="I673" s="23"/>
      <c r="J673" s="3"/>
      <c r="K673" s="3"/>
      <c r="L673" s="3"/>
      <c r="M673" s="3"/>
      <c r="N673" s="3"/>
      <c r="O673" s="3"/>
      <c r="P673" s="3"/>
      <c r="Q673" s="3"/>
    </row>
    <row r="674" spans="1:17">
      <c r="A674" s="3"/>
      <c r="B674" s="3"/>
      <c r="C674" s="3"/>
      <c r="D674" s="3"/>
      <c r="E674" s="3"/>
      <c r="F674" s="23"/>
      <c r="G674" s="23"/>
      <c r="H674" s="23"/>
      <c r="I674" s="23"/>
      <c r="J674" s="3"/>
      <c r="K674" s="3"/>
      <c r="L674" s="3"/>
      <c r="M674" s="3"/>
      <c r="N674" s="3"/>
      <c r="O674" s="3"/>
      <c r="P674" s="3"/>
      <c r="Q674" s="3"/>
    </row>
    <row r="675" spans="1:17">
      <c r="A675" s="3"/>
      <c r="B675" s="3"/>
      <c r="C675" s="3"/>
      <c r="D675" s="3"/>
      <c r="E675" s="3"/>
      <c r="F675" s="23"/>
      <c r="G675" s="23"/>
      <c r="H675" s="23"/>
      <c r="I675" s="23"/>
      <c r="J675" s="3"/>
      <c r="K675" s="3"/>
      <c r="L675" s="3"/>
      <c r="M675" s="3"/>
      <c r="N675" s="3"/>
      <c r="O675" s="3"/>
      <c r="P675" s="3"/>
      <c r="Q675" s="3"/>
    </row>
    <row r="676" spans="1:17">
      <c r="A676" s="3"/>
      <c r="B676" s="3"/>
      <c r="C676" s="3"/>
      <c r="D676" s="3"/>
      <c r="E676" s="3"/>
      <c r="F676" s="23"/>
      <c r="G676" s="23"/>
      <c r="H676" s="23"/>
      <c r="I676" s="23"/>
      <c r="J676" s="3"/>
      <c r="K676" s="3"/>
      <c r="L676" s="3"/>
      <c r="M676" s="3"/>
      <c r="N676" s="3"/>
      <c r="O676" s="3"/>
      <c r="P676" s="3"/>
      <c r="Q676" s="3"/>
    </row>
    <row r="677" spans="1:17">
      <c r="A677" s="3"/>
      <c r="B677" s="3"/>
      <c r="C677" s="3"/>
      <c r="D677" s="3"/>
      <c r="E677" s="3"/>
      <c r="F677" s="23"/>
      <c r="G677" s="23"/>
      <c r="H677" s="23"/>
      <c r="I677" s="23"/>
      <c r="J677" s="3"/>
      <c r="K677" s="3"/>
      <c r="L677" s="3"/>
      <c r="M677" s="3"/>
      <c r="N677" s="3"/>
      <c r="O677" s="3"/>
      <c r="P677" s="3"/>
      <c r="Q677" s="3"/>
    </row>
    <row r="678" spans="1:17">
      <c r="A678" s="3"/>
      <c r="B678" s="3"/>
      <c r="C678" s="3"/>
      <c r="D678" s="3"/>
      <c r="E678" s="3"/>
      <c r="F678" s="23"/>
      <c r="G678" s="23"/>
      <c r="H678" s="23"/>
      <c r="I678" s="23"/>
      <c r="J678" s="3"/>
      <c r="K678" s="3"/>
      <c r="L678" s="3"/>
      <c r="M678" s="3"/>
      <c r="N678" s="3"/>
      <c r="O678" s="3"/>
      <c r="P678" s="3"/>
      <c r="Q678" s="3"/>
    </row>
    <row r="679" spans="1:17">
      <c r="A679" s="3"/>
      <c r="B679" s="3"/>
      <c r="C679" s="3"/>
      <c r="D679" s="3"/>
      <c r="E679" s="3"/>
      <c r="F679" s="23"/>
      <c r="G679" s="23"/>
      <c r="H679" s="23"/>
      <c r="I679" s="23"/>
      <c r="J679" s="3"/>
      <c r="K679" s="3"/>
      <c r="L679" s="3"/>
      <c r="M679" s="3"/>
      <c r="N679" s="3"/>
      <c r="O679" s="3"/>
      <c r="P679" s="3"/>
      <c r="Q679" s="3"/>
    </row>
    <row r="680" spans="1:17">
      <c r="A680" s="3"/>
      <c r="B680" s="3"/>
      <c r="C680" s="3"/>
      <c r="D680" s="3"/>
      <c r="E680" s="3"/>
      <c r="F680" s="23"/>
      <c r="G680" s="23"/>
      <c r="H680" s="23"/>
      <c r="I680" s="23"/>
      <c r="J680" s="3"/>
      <c r="K680" s="3"/>
      <c r="L680" s="3"/>
      <c r="M680" s="3"/>
      <c r="N680" s="3"/>
      <c r="O680" s="3"/>
      <c r="P680" s="3"/>
      <c r="Q680" s="3"/>
    </row>
    <row r="681" spans="1:17">
      <c r="A681" s="3"/>
      <c r="B681" s="3"/>
      <c r="C681" s="3"/>
      <c r="D681" s="3"/>
      <c r="E681" s="3"/>
      <c r="F681" s="23"/>
      <c r="G681" s="23"/>
      <c r="H681" s="23"/>
      <c r="I681" s="23"/>
      <c r="J681" s="3"/>
      <c r="K681" s="3"/>
      <c r="L681" s="3"/>
      <c r="M681" s="3"/>
      <c r="N681" s="3"/>
      <c r="O681" s="3"/>
      <c r="P681" s="3"/>
      <c r="Q681" s="3"/>
    </row>
    <row r="682" spans="1:17">
      <c r="A682" s="3"/>
      <c r="B682" s="3"/>
      <c r="C682" s="3"/>
      <c r="D682" s="3"/>
      <c r="E682" s="3"/>
      <c r="F682" s="23"/>
      <c r="G682" s="23"/>
      <c r="H682" s="23"/>
      <c r="I682" s="23"/>
      <c r="J682" s="3"/>
      <c r="K682" s="3"/>
      <c r="L682" s="3"/>
      <c r="M682" s="3"/>
      <c r="N682" s="3"/>
      <c r="O682" s="3"/>
      <c r="P682" s="3"/>
      <c r="Q682" s="3"/>
    </row>
    <row r="683" spans="1:17">
      <c r="A683" s="3"/>
      <c r="B683" s="3"/>
      <c r="C683" s="3"/>
      <c r="D683" s="3"/>
      <c r="E683" s="3"/>
      <c r="F683" s="23"/>
      <c r="G683" s="23"/>
      <c r="H683" s="23"/>
      <c r="I683" s="23"/>
      <c r="J683" s="3"/>
      <c r="K683" s="3"/>
      <c r="L683" s="3"/>
      <c r="M683" s="3"/>
      <c r="N683" s="3"/>
      <c r="O683" s="3"/>
      <c r="P683" s="3"/>
      <c r="Q683" s="3"/>
    </row>
    <row r="684" spans="1:17">
      <c r="A684" s="3"/>
      <c r="B684" s="3"/>
      <c r="C684" s="3"/>
      <c r="D684" s="3"/>
      <c r="E684" s="3"/>
      <c r="F684" s="23"/>
      <c r="G684" s="23"/>
      <c r="H684" s="23"/>
      <c r="I684" s="23"/>
      <c r="J684" s="3"/>
      <c r="K684" s="3"/>
      <c r="L684" s="3"/>
      <c r="M684" s="3"/>
      <c r="N684" s="3"/>
      <c r="O684" s="3"/>
      <c r="P684" s="3"/>
      <c r="Q684" s="3"/>
    </row>
    <row r="685" spans="1:17">
      <c r="A685" s="3"/>
      <c r="B685" s="3"/>
      <c r="C685" s="3"/>
      <c r="D685" s="3"/>
      <c r="E685" s="3"/>
      <c r="F685" s="23"/>
      <c r="G685" s="23"/>
      <c r="H685" s="23"/>
      <c r="I685" s="23"/>
      <c r="J685" s="3"/>
      <c r="K685" s="3"/>
      <c r="L685" s="3"/>
      <c r="M685" s="3"/>
      <c r="N685" s="3"/>
      <c r="O685" s="3"/>
      <c r="P685" s="3"/>
      <c r="Q685" s="3"/>
    </row>
    <row r="686" spans="1:17">
      <c r="A686" s="3"/>
      <c r="B686" s="3"/>
      <c r="C686" s="3"/>
      <c r="D686" s="3"/>
      <c r="E686" s="3"/>
      <c r="F686" s="23"/>
      <c r="G686" s="23"/>
      <c r="H686" s="23"/>
      <c r="I686" s="23"/>
      <c r="J686" s="3"/>
      <c r="K686" s="3"/>
      <c r="L686" s="3"/>
      <c r="M686" s="3"/>
      <c r="N686" s="3"/>
      <c r="O686" s="3"/>
      <c r="P686" s="3"/>
      <c r="Q686" s="3"/>
    </row>
    <row r="687" spans="1:17">
      <c r="A687" s="3"/>
      <c r="B687" s="3"/>
      <c r="C687" s="3"/>
      <c r="D687" s="3"/>
      <c r="E687" s="3"/>
      <c r="F687" s="23"/>
      <c r="G687" s="23"/>
      <c r="H687" s="23"/>
      <c r="I687" s="23"/>
      <c r="J687" s="3"/>
      <c r="K687" s="3"/>
      <c r="L687" s="3"/>
      <c r="M687" s="3"/>
      <c r="N687" s="3"/>
      <c r="O687" s="3"/>
      <c r="P687" s="3"/>
      <c r="Q687" s="3"/>
    </row>
    <row r="688" spans="1:17">
      <c r="A688" s="3"/>
      <c r="B688" s="3"/>
      <c r="C688" s="3"/>
      <c r="D688" s="3"/>
      <c r="E688" s="3"/>
      <c r="F688" s="23"/>
      <c r="G688" s="23"/>
      <c r="H688" s="23"/>
      <c r="I688" s="23"/>
      <c r="J688" s="3"/>
      <c r="K688" s="3"/>
      <c r="L688" s="3"/>
      <c r="M688" s="3"/>
      <c r="N688" s="3"/>
      <c r="O688" s="3"/>
      <c r="P688" s="3"/>
      <c r="Q688" s="3"/>
    </row>
    <row r="689" spans="1:17">
      <c r="A689" s="3"/>
      <c r="B689" s="3"/>
      <c r="C689" s="3"/>
      <c r="D689" s="3"/>
      <c r="E689" s="3"/>
      <c r="F689" s="23"/>
      <c r="G689" s="23"/>
      <c r="H689" s="23"/>
      <c r="I689" s="23"/>
      <c r="J689" s="3"/>
      <c r="K689" s="3"/>
      <c r="L689" s="3"/>
      <c r="M689" s="3"/>
      <c r="N689" s="3"/>
      <c r="O689" s="3"/>
      <c r="P689" s="3"/>
      <c r="Q689" s="3"/>
    </row>
    <row r="690" spans="1:17">
      <c r="A690" s="3"/>
      <c r="B690" s="3"/>
      <c r="C690" s="3"/>
      <c r="D690" s="3"/>
      <c r="E690" s="3"/>
      <c r="F690" s="23"/>
      <c r="G690" s="23"/>
      <c r="H690" s="23"/>
      <c r="I690" s="23"/>
      <c r="J690" s="3"/>
      <c r="K690" s="3"/>
      <c r="L690" s="3"/>
      <c r="M690" s="3"/>
      <c r="N690" s="3"/>
      <c r="O690" s="3"/>
      <c r="P690" s="3"/>
      <c r="Q690" s="3"/>
    </row>
    <row r="691" spans="1:17">
      <c r="A691" s="3"/>
      <c r="B691" s="3"/>
      <c r="C691" s="3"/>
      <c r="D691" s="3"/>
      <c r="E691" s="3"/>
      <c r="F691" s="23"/>
      <c r="G691" s="23"/>
      <c r="H691" s="23"/>
      <c r="I691" s="23"/>
      <c r="J691" s="3"/>
      <c r="K691" s="3"/>
      <c r="L691" s="3"/>
      <c r="M691" s="3"/>
      <c r="N691" s="3"/>
      <c r="O691" s="3"/>
      <c r="P691" s="3"/>
      <c r="Q691" s="3"/>
    </row>
    <row r="692" spans="1:17">
      <c r="A692" s="3"/>
      <c r="B692" s="3"/>
      <c r="C692" s="3"/>
      <c r="D692" s="3"/>
      <c r="E692" s="3"/>
      <c r="F692" s="23"/>
      <c r="G692" s="23"/>
      <c r="H692" s="23"/>
      <c r="I692" s="23"/>
      <c r="J692" s="3"/>
      <c r="K692" s="3"/>
      <c r="L692" s="3"/>
      <c r="M692" s="3"/>
      <c r="N692" s="3"/>
      <c r="O692" s="3"/>
      <c r="P692" s="3"/>
      <c r="Q692" s="3"/>
    </row>
    <row r="693" spans="1:17">
      <c r="A693" s="3"/>
      <c r="B693" s="3"/>
      <c r="C693" s="3"/>
      <c r="D693" s="3"/>
      <c r="E693" s="3"/>
      <c r="F693" s="23"/>
      <c r="G693" s="23"/>
      <c r="H693" s="23"/>
      <c r="I693" s="23"/>
      <c r="J693" s="3"/>
      <c r="K693" s="3"/>
      <c r="L693" s="3"/>
      <c r="M693" s="3"/>
      <c r="N693" s="3"/>
      <c r="O693" s="3"/>
      <c r="P693" s="3"/>
      <c r="Q693" s="3"/>
    </row>
    <row r="694" spans="1:17">
      <c r="A694" s="3"/>
      <c r="B694" s="3"/>
      <c r="C694" s="3"/>
      <c r="D694" s="3"/>
      <c r="E694" s="3"/>
      <c r="F694" s="23"/>
      <c r="G694" s="23"/>
      <c r="H694" s="23"/>
      <c r="I694" s="23"/>
      <c r="J694" s="3"/>
      <c r="K694" s="3"/>
      <c r="L694" s="3"/>
      <c r="M694" s="3"/>
      <c r="N694" s="3"/>
      <c r="O694" s="3"/>
      <c r="P694" s="3"/>
      <c r="Q694" s="3"/>
    </row>
    <row r="695" spans="1:17">
      <c r="A695" s="3"/>
      <c r="B695" s="3"/>
      <c r="C695" s="3"/>
      <c r="D695" s="3"/>
      <c r="E695" s="3"/>
      <c r="F695" s="23"/>
      <c r="G695" s="23"/>
      <c r="H695" s="23"/>
      <c r="I695" s="23"/>
      <c r="J695" s="3"/>
      <c r="K695" s="3"/>
      <c r="L695" s="3"/>
      <c r="M695" s="3"/>
      <c r="N695" s="3"/>
      <c r="O695" s="3"/>
      <c r="P695" s="3"/>
      <c r="Q695" s="3"/>
    </row>
    <row r="696" spans="1:17">
      <c r="A696" s="3"/>
      <c r="B696" s="3"/>
      <c r="C696" s="3"/>
      <c r="D696" s="3"/>
      <c r="E696" s="3"/>
      <c r="F696" s="23"/>
      <c r="G696" s="23"/>
      <c r="H696" s="23"/>
      <c r="I696" s="23"/>
      <c r="J696" s="3"/>
      <c r="K696" s="3"/>
      <c r="L696" s="3"/>
      <c r="M696" s="3"/>
      <c r="N696" s="3"/>
      <c r="O696" s="3"/>
      <c r="P696" s="3"/>
      <c r="Q696" s="3"/>
    </row>
    <row r="697" spans="1:17">
      <c r="A697" s="3"/>
      <c r="B697" s="3"/>
      <c r="C697" s="3"/>
      <c r="D697" s="3"/>
      <c r="E697" s="3"/>
      <c r="F697" s="23"/>
      <c r="G697" s="23"/>
      <c r="H697" s="23"/>
      <c r="I697" s="23"/>
      <c r="J697" s="3"/>
      <c r="K697" s="3"/>
      <c r="L697" s="3"/>
      <c r="M697" s="3"/>
      <c r="N697" s="3"/>
      <c r="O697" s="3"/>
      <c r="P697" s="3"/>
      <c r="Q697" s="3"/>
    </row>
    <row r="698" spans="1:17">
      <c r="A698" s="3"/>
      <c r="B698" s="3"/>
      <c r="C698" s="3"/>
      <c r="D698" s="3"/>
      <c r="E698" s="3"/>
      <c r="F698" s="23"/>
      <c r="G698" s="23"/>
      <c r="H698" s="23"/>
      <c r="I698" s="23"/>
      <c r="J698" s="3"/>
      <c r="K698" s="3"/>
      <c r="L698" s="3"/>
      <c r="M698" s="3"/>
      <c r="N698" s="3"/>
      <c r="O698" s="3"/>
      <c r="P698" s="3"/>
      <c r="Q698" s="3"/>
    </row>
    <row r="699" spans="1:17">
      <c r="A699" s="3"/>
      <c r="B699" s="3"/>
      <c r="C699" s="3"/>
      <c r="D699" s="3"/>
      <c r="E699" s="3"/>
      <c r="F699" s="23"/>
      <c r="G699" s="23"/>
      <c r="H699" s="23"/>
      <c r="I699" s="23"/>
      <c r="J699" s="3"/>
      <c r="K699" s="3"/>
      <c r="L699" s="3"/>
      <c r="M699" s="3"/>
      <c r="N699" s="3"/>
      <c r="O699" s="3"/>
      <c r="P699" s="3"/>
      <c r="Q699" s="3"/>
    </row>
    <row r="700" spans="1:17">
      <c r="A700" s="3"/>
      <c r="B700" s="3"/>
      <c r="C700" s="3"/>
      <c r="D700" s="3"/>
      <c r="E700" s="3"/>
      <c r="F700" s="23"/>
      <c r="G700" s="23"/>
      <c r="H700" s="23"/>
      <c r="I700" s="23"/>
      <c r="J700" s="3"/>
      <c r="K700" s="3"/>
      <c r="L700" s="3"/>
      <c r="M700" s="3"/>
      <c r="N700" s="3"/>
      <c r="O700" s="3"/>
      <c r="P700" s="3"/>
      <c r="Q700" s="3"/>
    </row>
    <row r="701" spans="1:17">
      <c r="A701" s="3"/>
      <c r="B701" s="3"/>
      <c r="C701" s="3"/>
      <c r="D701" s="3"/>
      <c r="E701" s="3"/>
      <c r="F701" s="23"/>
      <c r="G701" s="23"/>
      <c r="H701" s="23"/>
      <c r="I701" s="23"/>
      <c r="J701" s="3"/>
      <c r="K701" s="3"/>
      <c r="L701" s="3"/>
      <c r="M701" s="3"/>
      <c r="N701" s="3"/>
      <c r="O701" s="3"/>
      <c r="P701" s="3"/>
      <c r="Q701" s="3"/>
    </row>
    <row r="702" spans="1:17">
      <c r="A702" s="3"/>
      <c r="B702" s="3"/>
      <c r="C702" s="3"/>
      <c r="D702" s="3"/>
      <c r="E702" s="3"/>
      <c r="F702" s="23"/>
      <c r="G702" s="23"/>
      <c r="H702" s="23"/>
      <c r="I702" s="23"/>
      <c r="J702" s="3"/>
      <c r="K702" s="3"/>
      <c r="L702" s="3"/>
      <c r="M702" s="3"/>
      <c r="N702" s="3"/>
      <c r="O702" s="3"/>
      <c r="P702" s="3"/>
      <c r="Q702" s="3"/>
    </row>
    <row r="703" spans="1:17">
      <c r="A703" s="3"/>
      <c r="B703" s="3"/>
      <c r="C703" s="3"/>
      <c r="D703" s="3"/>
      <c r="E703" s="3"/>
      <c r="F703" s="23"/>
      <c r="G703" s="23"/>
      <c r="H703" s="23"/>
      <c r="I703" s="23"/>
      <c r="J703" s="3"/>
      <c r="K703" s="3"/>
      <c r="L703" s="3"/>
      <c r="M703" s="3"/>
      <c r="N703" s="3"/>
      <c r="O703" s="3"/>
      <c r="P703" s="3"/>
      <c r="Q703" s="3"/>
    </row>
    <row r="704" spans="1:17">
      <c r="A704" s="3"/>
      <c r="B704" s="3"/>
      <c r="C704" s="3"/>
      <c r="D704" s="3"/>
      <c r="E704" s="3"/>
      <c r="F704" s="23"/>
      <c r="G704" s="23"/>
      <c r="H704" s="23"/>
      <c r="I704" s="23"/>
      <c r="J704" s="3"/>
      <c r="K704" s="3"/>
      <c r="L704" s="3"/>
      <c r="M704" s="3"/>
      <c r="N704" s="3"/>
      <c r="O704" s="3"/>
      <c r="P704" s="3"/>
      <c r="Q704" s="3"/>
    </row>
    <row r="705" spans="1:17">
      <c r="A705" s="3"/>
      <c r="B705" s="3"/>
      <c r="C705" s="3"/>
      <c r="D705" s="3"/>
      <c r="E705" s="3"/>
      <c r="F705" s="23"/>
      <c r="G705" s="23"/>
      <c r="H705" s="23"/>
      <c r="I705" s="23"/>
      <c r="J705" s="3"/>
      <c r="K705" s="3"/>
      <c r="L705" s="3"/>
      <c r="M705" s="3"/>
      <c r="N705" s="3"/>
      <c r="O705" s="3"/>
      <c r="P705" s="3"/>
      <c r="Q705" s="3"/>
    </row>
    <row r="706" spans="1:17">
      <c r="A706" s="3"/>
      <c r="B706" s="3"/>
      <c r="C706" s="3"/>
      <c r="D706" s="3"/>
      <c r="E706" s="3"/>
      <c r="F706" s="23"/>
      <c r="G706" s="23"/>
      <c r="H706" s="23"/>
      <c r="I706" s="23"/>
      <c r="J706" s="3"/>
      <c r="K706" s="3"/>
      <c r="L706" s="3"/>
      <c r="M706" s="3"/>
      <c r="N706" s="3"/>
      <c r="O706" s="3"/>
      <c r="P706" s="3"/>
      <c r="Q706" s="3"/>
    </row>
    <row r="707" spans="1:17">
      <c r="A707" s="3"/>
      <c r="B707" s="3"/>
      <c r="C707" s="3"/>
      <c r="D707" s="3"/>
      <c r="E707" s="3"/>
      <c r="F707" s="23"/>
      <c r="G707" s="23"/>
      <c r="H707" s="23"/>
      <c r="I707" s="23"/>
      <c r="J707" s="3"/>
      <c r="K707" s="3"/>
      <c r="L707" s="3"/>
      <c r="M707" s="3"/>
      <c r="N707" s="3"/>
      <c r="O707" s="3"/>
      <c r="P707" s="3"/>
      <c r="Q707" s="3"/>
    </row>
    <row r="708" spans="1:17">
      <c r="A708" s="3"/>
      <c r="B708" s="3"/>
      <c r="C708" s="3"/>
      <c r="D708" s="3"/>
      <c r="E708" s="3"/>
      <c r="F708" s="23"/>
      <c r="G708" s="23"/>
      <c r="H708" s="23"/>
      <c r="I708" s="23"/>
      <c r="J708" s="3"/>
      <c r="K708" s="3"/>
      <c r="L708" s="3"/>
      <c r="M708" s="3"/>
      <c r="N708" s="3"/>
      <c r="O708" s="3"/>
      <c r="P708" s="3"/>
      <c r="Q708" s="3"/>
    </row>
    <row r="709" spans="1:17">
      <c r="A709" s="3"/>
      <c r="B709" s="3"/>
      <c r="C709" s="3"/>
      <c r="D709" s="3"/>
      <c r="E709" s="3"/>
      <c r="F709" s="23"/>
      <c r="G709" s="23"/>
      <c r="H709" s="23"/>
      <c r="I709" s="23"/>
      <c r="J709" s="3"/>
      <c r="K709" s="3"/>
      <c r="L709" s="3"/>
      <c r="M709" s="3"/>
      <c r="N709" s="3"/>
      <c r="O709" s="3"/>
      <c r="P709" s="3"/>
      <c r="Q709" s="3"/>
    </row>
    <row r="710" spans="1:17">
      <c r="A710" s="3"/>
      <c r="B710" s="3"/>
      <c r="C710" s="3"/>
      <c r="D710" s="3"/>
      <c r="E710" s="3"/>
      <c r="F710" s="23"/>
      <c r="G710" s="23"/>
      <c r="H710" s="23"/>
      <c r="I710" s="23"/>
      <c r="J710" s="3"/>
      <c r="K710" s="3"/>
      <c r="L710" s="3"/>
      <c r="M710" s="3"/>
      <c r="N710" s="3"/>
      <c r="O710" s="3"/>
      <c r="P710" s="3"/>
      <c r="Q710" s="3"/>
    </row>
    <row r="711" spans="1:17">
      <c r="A711" s="3"/>
      <c r="B711" s="3"/>
      <c r="C711" s="3"/>
      <c r="D711" s="3"/>
      <c r="E711" s="3"/>
      <c r="F711" s="23"/>
      <c r="G711" s="23"/>
      <c r="H711" s="23"/>
      <c r="I711" s="23"/>
      <c r="J711" s="3"/>
      <c r="K711" s="3"/>
      <c r="L711" s="3"/>
      <c r="M711" s="3"/>
      <c r="N711" s="3"/>
      <c r="O711" s="3"/>
      <c r="P711" s="3"/>
      <c r="Q711" s="3"/>
    </row>
    <row r="712" spans="1:17">
      <c r="A712" s="3"/>
      <c r="B712" s="3"/>
      <c r="C712" s="3"/>
      <c r="D712" s="3"/>
      <c r="E712" s="3"/>
      <c r="F712" s="23"/>
      <c r="G712" s="23"/>
      <c r="H712" s="23"/>
      <c r="I712" s="23"/>
      <c r="J712" s="3"/>
      <c r="K712" s="3"/>
      <c r="L712" s="3"/>
      <c r="M712" s="3"/>
      <c r="N712" s="3"/>
      <c r="O712" s="3"/>
      <c r="P712" s="3"/>
      <c r="Q712" s="3"/>
    </row>
    <row r="713" spans="1:17">
      <c r="A713" s="3"/>
      <c r="B713" s="3"/>
      <c r="C713" s="3"/>
      <c r="D713" s="3"/>
      <c r="E713" s="3"/>
      <c r="F713" s="23"/>
      <c r="G713" s="23"/>
      <c r="H713" s="23"/>
      <c r="I713" s="23"/>
      <c r="J713" s="3"/>
      <c r="K713" s="3"/>
      <c r="L713" s="3"/>
      <c r="M713" s="3"/>
      <c r="N713" s="3"/>
      <c r="O713" s="3"/>
      <c r="P713" s="3"/>
      <c r="Q713" s="3"/>
    </row>
    <row r="714" spans="1:17">
      <c r="A714" s="3"/>
      <c r="B714" s="3"/>
      <c r="C714" s="3"/>
      <c r="D714" s="3"/>
      <c r="E714" s="3"/>
      <c r="F714" s="23"/>
      <c r="G714" s="23"/>
      <c r="H714" s="23"/>
      <c r="I714" s="23"/>
      <c r="J714" s="3"/>
      <c r="K714" s="3"/>
      <c r="L714" s="3"/>
      <c r="M714" s="3"/>
      <c r="N714" s="3"/>
      <c r="O714" s="3"/>
      <c r="P714" s="3"/>
      <c r="Q714" s="3"/>
    </row>
    <row r="715" spans="1:17">
      <c r="A715" s="3"/>
      <c r="B715" s="3"/>
      <c r="C715" s="3"/>
      <c r="D715" s="3"/>
      <c r="E715" s="3"/>
      <c r="F715" s="23"/>
      <c r="G715" s="23"/>
      <c r="H715" s="23"/>
      <c r="I715" s="23"/>
      <c r="J715" s="3"/>
      <c r="K715" s="3"/>
      <c r="L715" s="3"/>
      <c r="M715" s="3"/>
      <c r="N715" s="3"/>
      <c r="O715" s="3"/>
      <c r="P715" s="3"/>
      <c r="Q715" s="3"/>
    </row>
    <row r="716" spans="1:17">
      <c r="A716" s="3"/>
      <c r="B716" s="3"/>
      <c r="C716" s="3"/>
      <c r="D716" s="3"/>
      <c r="E716" s="3"/>
      <c r="F716" s="23"/>
      <c r="G716" s="23"/>
      <c r="H716" s="23"/>
      <c r="I716" s="23"/>
      <c r="J716" s="3"/>
      <c r="K716" s="3"/>
      <c r="L716" s="3"/>
      <c r="M716" s="3"/>
      <c r="N716" s="3"/>
      <c r="O716" s="3"/>
      <c r="P716" s="3"/>
      <c r="Q716" s="3"/>
    </row>
    <row r="717" spans="1:17">
      <c r="A717" s="3"/>
      <c r="B717" s="3"/>
      <c r="C717" s="3"/>
      <c r="D717" s="3"/>
      <c r="E717" s="3"/>
      <c r="F717" s="23"/>
      <c r="G717" s="23"/>
      <c r="H717" s="23"/>
      <c r="I717" s="23"/>
      <c r="J717" s="3"/>
      <c r="K717" s="3"/>
      <c r="L717" s="3"/>
      <c r="M717" s="3"/>
      <c r="N717" s="3"/>
      <c r="O717" s="3"/>
      <c r="P717" s="3"/>
      <c r="Q717" s="3"/>
    </row>
    <row r="718" spans="1:17">
      <c r="A718" s="3"/>
      <c r="B718" s="3"/>
      <c r="C718" s="3"/>
      <c r="D718" s="3"/>
      <c r="E718" s="3"/>
      <c r="F718" s="23"/>
      <c r="G718" s="23"/>
      <c r="H718" s="23"/>
      <c r="I718" s="23"/>
      <c r="J718" s="3"/>
      <c r="K718" s="3"/>
      <c r="L718" s="3"/>
      <c r="M718" s="3"/>
      <c r="N718" s="3"/>
      <c r="O718" s="3"/>
      <c r="P718" s="3"/>
      <c r="Q718" s="3"/>
    </row>
    <row r="719" spans="1:17">
      <c r="A719" s="3"/>
      <c r="B719" s="3"/>
      <c r="C719" s="3"/>
      <c r="D719" s="3"/>
      <c r="E719" s="3"/>
      <c r="F719" s="23"/>
      <c r="G719" s="23"/>
      <c r="H719" s="23"/>
      <c r="I719" s="23"/>
      <c r="J719" s="3"/>
      <c r="K719" s="3"/>
      <c r="L719" s="3"/>
      <c r="M719" s="3"/>
      <c r="N719" s="3"/>
      <c r="O719" s="3"/>
      <c r="P719" s="3"/>
      <c r="Q719" s="3"/>
    </row>
    <row r="720" spans="1:17">
      <c r="A720" s="3"/>
      <c r="B720" s="3"/>
      <c r="C720" s="3"/>
      <c r="D720" s="3"/>
      <c r="E720" s="3"/>
      <c r="F720" s="23"/>
      <c r="G720" s="23"/>
      <c r="H720" s="23"/>
      <c r="I720" s="23"/>
      <c r="J720" s="3"/>
      <c r="K720" s="3"/>
      <c r="L720" s="3"/>
      <c r="M720" s="3"/>
      <c r="N720" s="3"/>
      <c r="O720" s="3"/>
      <c r="P720" s="3"/>
      <c r="Q720" s="3"/>
    </row>
    <row r="721" spans="1:17">
      <c r="A721" s="3"/>
      <c r="B721" s="3"/>
      <c r="C721" s="3"/>
      <c r="D721" s="3"/>
      <c r="E721" s="3"/>
      <c r="F721" s="23"/>
      <c r="G721" s="23"/>
      <c r="H721" s="23"/>
      <c r="I721" s="23"/>
      <c r="J721" s="3"/>
      <c r="K721" s="3"/>
      <c r="L721" s="3"/>
      <c r="M721" s="3"/>
      <c r="N721" s="3"/>
      <c r="O721" s="3"/>
      <c r="P721" s="3"/>
      <c r="Q721" s="3"/>
    </row>
    <row r="722" spans="1:17">
      <c r="A722" s="3"/>
      <c r="B722" s="3"/>
      <c r="C722" s="3"/>
      <c r="D722" s="3"/>
      <c r="E722" s="3"/>
      <c r="F722" s="23"/>
      <c r="G722" s="23"/>
      <c r="H722" s="23"/>
      <c r="I722" s="23"/>
      <c r="J722" s="3"/>
      <c r="K722" s="3"/>
      <c r="L722" s="3"/>
      <c r="M722" s="3"/>
      <c r="N722" s="3"/>
      <c r="O722" s="3"/>
      <c r="P722" s="3"/>
      <c r="Q722" s="3"/>
    </row>
    <row r="723" spans="1:17">
      <c r="A723" s="3"/>
      <c r="B723" s="3"/>
      <c r="C723" s="3"/>
      <c r="D723" s="3"/>
      <c r="E723" s="3"/>
      <c r="F723" s="23"/>
      <c r="G723" s="23"/>
      <c r="H723" s="23"/>
      <c r="I723" s="23"/>
      <c r="J723" s="3"/>
      <c r="K723" s="3"/>
      <c r="L723" s="3"/>
      <c r="M723" s="3"/>
      <c r="N723" s="3"/>
      <c r="O723" s="3"/>
      <c r="P723" s="3"/>
      <c r="Q723" s="3"/>
    </row>
    <row r="724" spans="1:17">
      <c r="A724" s="3"/>
      <c r="B724" s="3"/>
      <c r="C724" s="3"/>
      <c r="D724" s="3"/>
      <c r="E724" s="3"/>
      <c r="F724" s="23"/>
      <c r="G724" s="23"/>
      <c r="H724" s="23"/>
      <c r="I724" s="23"/>
      <c r="J724" s="3"/>
      <c r="K724" s="3"/>
      <c r="L724" s="3"/>
      <c r="M724" s="3"/>
      <c r="N724" s="3"/>
      <c r="O724" s="3"/>
      <c r="P724" s="3"/>
      <c r="Q724" s="3"/>
    </row>
    <row r="725" spans="1:17">
      <c r="A725" s="3"/>
      <c r="B725" s="3"/>
      <c r="C725" s="3"/>
      <c r="D725" s="3"/>
      <c r="E725" s="3"/>
      <c r="F725" s="23"/>
      <c r="G725" s="23"/>
      <c r="H725" s="23"/>
      <c r="I725" s="23"/>
      <c r="J725" s="3"/>
      <c r="K725" s="3"/>
      <c r="L725" s="3"/>
      <c r="M725" s="3"/>
      <c r="N725" s="3"/>
      <c r="O725" s="3"/>
      <c r="P725" s="3"/>
      <c r="Q725" s="3"/>
    </row>
    <row r="726" spans="1:17">
      <c r="A726" s="3"/>
      <c r="B726" s="3"/>
      <c r="C726" s="3"/>
      <c r="D726" s="3"/>
      <c r="E726" s="3"/>
      <c r="F726" s="23"/>
      <c r="G726" s="23"/>
      <c r="H726" s="23"/>
      <c r="I726" s="23"/>
      <c r="J726" s="3"/>
      <c r="K726" s="3"/>
      <c r="L726" s="3"/>
      <c r="M726" s="3"/>
      <c r="N726" s="3"/>
      <c r="O726" s="3"/>
      <c r="P726" s="3"/>
      <c r="Q726" s="3"/>
    </row>
    <row r="727" spans="1:17">
      <c r="A727" s="3"/>
      <c r="B727" s="3"/>
      <c r="C727" s="3"/>
      <c r="D727" s="3"/>
      <c r="E727" s="3"/>
      <c r="F727" s="23"/>
      <c r="G727" s="23"/>
      <c r="H727" s="23"/>
      <c r="I727" s="23"/>
      <c r="J727" s="3"/>
      <c r="K727" s="3"/>
      <c r="L727" s="3"/>
      <c r="M727" s="3"/>
      <c r="N727" s="3"/>
      <c r="O727" s="3"/>
      <c r="P727" s="3"/>
      <c r="Q727" s="3"/>
    </row>
    <row r="728" spans="1:17">
      <c r="A728" s="3"/>
      <c r="B728" s="3"/>
      <c r="C728" s="3"/>
      <c r="D728" s="3"/>
      <c r="E728" s="3"/>
      <c r="F728" s="23"/>
      <c r="G728" s="23"/>
      <c r="H728" s="23"/>
      <c r="I728" s="23"/>
      <c r="J728" s="3"/>
      <c r="K728" s="3"/>
      <c r="L728" s="3"/>
      <c r="M728" s="3"/>
      <c r="N728" s="3"/>
      <c r="O728" s="3"/>
      <c r="P728" s="3"/>
      <c r="Q728" s="3"/>
    </row>
    <row r="729" spans="1:17">
      <c r="A729" s="3"/>
      <c r="B729" s="3"/>
      <c r="C729" s="3"/>
      <c r="D729" s="3"/>
      <c r="E729" s="3"/>
      <c r="F729" s="23"/>
      <c r="G729" s="23"/>
      <c r="H729" s="23"/>
      <c r="I729" s="23"/>
      <c r="J729" s="3"/>
      <c r="K729" s="3"/>
      <c r="L729" s="3"/>
      <c r="M729" s="3"/>
      <c r="N729" s="3"/>
      <c r="O729" s="3"/>
      <c r="P729" s="3"/>
      <c r="Q729" s="3"/>
    </row>
    <row r="730" spans="1:17">
      <c r="A730" s="3"/>
      <c r="B730" s="3"/>
      <c r="C730" s="3"/>
      <c r="D730" s="3"/>
      <c r="E730" s="3"/>
      <c r="F730" s="23"/>
      <c r="G730" s="23"/>
      <c r="H730" s="23"/>
      <c r="I730" s="23"/>
      <c r="J730" s="3"/>
      <c r="K730" s="3"/>
      <c r="L730" s="3"/>
      <c r="M730" s="3"/>
      <c r="N730" s="3"/>
      <c r="O730" s="3"/>
      <c r="P730" s="3"/>
      <c r="Q730" s="3"/>
    </row>
    <row r="731" spans="1:17">
      <c r="A731" s="3"/>
      <c r="B731" s="3"/>
      <c r="C731" s="3"/>
      <c r="D731" s="3"/>
      <c r="E731" s="3"/>
      <c r="F731" s="23"/>
      <c r="G731" s="23"/>
      <c r="H731" s="23"/>
      <c r="I731" s="23"/>
      <c r="J731" s="3"/>
      <c r="K731" s="3"/>
      <c r="L731" s="3"/>
      <c r="M731" s="3"/>
      <c r="N731" s="3"/>
      <c r="O731" s="3"/>
      <c r="P731" s="3"/>
      <c r="Q731" s="3"/>
    </row>
    <row r="732" spans="1:17">
      <c r="A732" s="3"/>
      <c r="B732" s="3"/>
      <c r="C732" s="3"/>
      <c r="D732" s="3"/>
      <c r="E732" s="3"/>
      <c r="F732" s="23"/>
      <c r="G732" s="23"/>
      <c r="H732" s="23"/>
      <c r="I732" s="23"/>
      <c r="J732" s="3"/>
      <c r="K732" s="3"/>
      <c r="L732" s="3"/>
      <c r="M732" s="3"/>
      <c r="N732" s="3"/>
      <c r="O732" s="3"/>
      <c r="P732" s="3"/>
      <c r="Q732" s="3"/>
    </row>
    <row r="733" spans="1:17">
      <c r="A733" s="3"/>
      <c r="B733" s="3"/>
      <c r="C733" s="3"/>
      <c r="D733" s="3"/>
      <c r="E733" s="3"/>
      <c r="F733" s="23"/>
      <c r="G733" s="23"/>
      <c r="H733" s="23"/>
      <c r="I733" s="23"/>
      <c r="J733" s="3"/>
      <c r="K733" s="3"/>
      <c r="L733" s="3"/>
      <c r="M733" s="3"/>
      <c r="N733" s="3"/>
      <c r="O733" s="3"/>
      <c r="P733" s="3"/>
      <c r="Q733" s="3"/>
    </row>
    <row r="734" spans="1:17">
      <c r="A734" s="3"/>
      <c r="B734" s="3"/>
      <c r="C734" s="3"/>
      <c r="D734" s="3"/>
      <c r="E734" s="3"/>
      <c r="F734" s="23"/>
      <c r="G734" s="23"/>
      <c r="H734" s="23"/>
      <c r="I734" s="23"/>
      <c r="J734" s="3"/>
      <c r="K734" s="3"/>
      <c r="L734" s="3"/>
      <c r="M734" s="3"/>
      <c r="N734" s="3"/>
      <c r="O734" s="3"/>
      <c r="P734" s="3"/>
      <c r="Q734" s="3"/>
    </row>
    <row r="735" spans="1:17">
      <c r="A735" s="3"/>
      <c r="B735" s="3"/>
      <c r="C735" s="3"/>
      <c r="D735" s="3"/>
      <c r="E735" s="3"/>
      <c r="F735" s="23"/>
      <c r="G735" s="23"/>
      <c r="H735" s="23"/>
      <c r="I735" s="23"/>
      <c r="J735" s="3"/>
      <c r="K735" s="3"/>
      <c r="L735" s="3"/>
      <c r="M735" s="3"/>
      <c r="N735" s="3"/>
      <c r="O735" s="3"/>
      <c r="P735" s="3"/>
      <c r="Q735" s="3"/>
    </row>
    <row r="736" spans="1:17">
      <c r="A736" s="3"/>
      <c r="B736" s="3"/>
      <c r="C736" s="3"/>
      <c r="D736" s="3"/>
      <c r="E736" s="3"/>
      <c r="F736" s="23"/>
      <c r="G736" s="23"/>
      <c r="H736" s="23"/>
      <c r="I736" s="23"/>
      <c r="J736" s="3"/>
      <c r="K736" s="3"/>
      <c r="L736" s="3"/>
      <c r="M736" s="3"/>
      <c r="N736" s="3"/>
      <c r="O736" s="3"/>
      <c r="P736" s="3"/>
      <c r="Q736" s="3"/>
    </row>
    <row r="737" spans="1:17">
      <c r="A737" s="3"/>
      <c r="B737" s="3"/>
      <c r="C737" s="3"/>
      <c r="D737" s="3"/>
      <c r="E737" s="3"/>
      <c r="F737" s="23"/>
      <c r="G737" s="23"/>
      <c r="H737" s="23"/>
      <c r="I737" s="23"/>
      <c r="J737" s="3"/>
      <c r="K737" s="3"/>
      <c r="L737" s="3"/>
      <c r="M737" s="3"/>
      <c r="N737" s="3"/>
      <c r="O737" s="3"/>
      <c r="P737" s="3"/>
      <c r="Q737" s="3"/>
    </row>
    <row r="738" spans="1:17">
      <c r="A738" s="3"/>
      <c r="B738" s="3"/>
      <c r="C738" s="3"/>
      <c r="D738" s="3"/>
      <c r="E738" s="3"/>
      <c r="F738" s="23"/>
      <c r="G738" s="23"/>
      <c r="H738" s="23"/>
      <c r="I738" s="23"/>
      <c r="J738" s="3"/>
      <c r="K738" s="3"/>
      <c r="L738" s="3"/>
      <c r="M738" s="3"/>
      <c r="N738" s="3"/>
      <c r="O738" s="3"/>
      <c r="P738" s="3"/>
      <c r="Q738" s="3"/>
    </row>
    <row r="739" spans="1:17">
      <c r="A739" s="3"/>
      <c r="B739" s="3"/>
      <c r="C739" s="3"/>
      <c r="D739" s="3"/>
      <c r="E739" s="3"/>
      <c r="F739" s="23"/>
      <c r="G739" s="23"/>
      <c r="H739" s="23"/>
      <c r="I739" s="23"/>
      <c r="J739" s="3"/>
      <c r="K739" s="3"/>
      <c r="L739" s="3"/>
      <c r="M739" s="3"/>
      <c r="N739" s="3"/>
      <c r="O739" s="3"/>
      <c r="P739" s="3"/>
      <c r="Q739" s="3"/>
    </row>
    <row r="740" spans="1:17">
      <c r="A740" s="3"/>
      <c r="B740" s="3"/>
      <c r="C740" s="3"/>
      <c r="D740" s="3"/>
      <c r="E740" s="3"/>
      <c r="F740" s="23"/>
      <c r="G740" s="23"/>
      <c r="H740" s="23"/>
      <c r="I740" s="23"/>
      <c r="J740" s="3"/>
      <c r="K740" s="3"/>
      <c r="L740" s="3"/>
      <c r="M740" s="3"/>
      <c r="N740" s="3"/>
      <c r="O740" s="3"/>
      <c r="P740" s="3"/>
      <c r="Q740" s="3"/>
    </row>
    <row r="741" spans="1:17">
      <c r="A741" s="3"/>
      <c r="B741" s="3"/>
      <c r="C741" s="3"/>
      <c r="D741" s="3"/>
      <c r="E741" s="3"/>
      <c r="F741" s="23"/>
      <c r="G741" s="23"/>
      <c r="H741" s="23"/>
      <c r="I741" s="23"/>
      <c r="J741" s="3"/>
      <c r="K741" s="3"/>
      <c r="L741" s="3"/>
      <c r="M741" s="3"/>
      <c r="N741" s="3"/>
      <c r="O741" s="3"/>
      <c r="P741" s="3"/>
      <c r="Q741" s="3"/>
    </row>
    <row r="742" spans="1:17">
      <c r="A742" s="3"/>
      <c r="B742" s="3"/>
      <c r="C742" s="3"/>
      <c r="D742" s="3"/>
      <c r="E742" s="3"/>
      <c r="F742" s="23"/>
      <c r="G742" s="23"/>
      <c r="H742" s="23"/>
      <c r="I742" s="23"/>
      <c r="J742" s="3"/>
      <c r="K742" s="3"/>
      <c r="L742" s="3"/>
      <c r="M742" s="3"/>
      <c r="N742" s="3"/>
      <c r="O742" s="3"/>
      <c r="P742" s="3"/>
      <c r="Q742" s="3"/>
    </row>
    <row r="743" spans="1:17">
      <c r="A743" s="3"/>
      <c r="B743" s="3"/>
      <c r="C743" s="3"/>
      <c r="D743" s="3"/>
      <c r="E743" s="3"/>
      <c r="F743" s="23"/>
      <c r="G743" s="23"/>
      <c r="H743" s="23"/>
      <c r="I743" s="23"/>
      <c r="J743" s="3"/>
      <c r="K743" s="3"/>
      <c r="L743" s="3"/>
      <c r="M743" s="3"/>
      <c r="N743" s="3"/>
      <c r="O743" s="3"/>
      <c r="P743" s="3"/>
      <c r="Q743" s="3"/>
    </row>
    <row r="744" spans="1:17">
      <c r="A744" s="3"/>
      <c r="B744" s="3"/>
      <c r="C744" s="3"/>
      <c r="D744" s="3"/>
      <c r="E744" s="3"/>
      <c r="F744" s="23"/>
      <c r="G744" s="23"/>
      <c r="H744" s="23"/>
      <c r="I744" s="23"/>
      <c r="J744" s="3"/>
      <c r="K744" s="3"/>
      <c r="L744" s="3"/>
      <c r="M744" s="3"/>
      <c r="N744" s="3"/>
      <c r="O744" s="3"/>
      <c r="P744" s="3"/>
      <c r="Q744" s="3"/>
    </row>
    <row r="745" spans="1:17">
      <c r="A745" s="3"/>
      <c r="B745" s="3"/>
      <c r="C745" s="3"/>
      <c r="D745" s="3"/>
      <c r="E745" s="3"/>
      <c r="J745" s="3"/>
      <c r="K745" s="3"/>
      <c r="L745" s="3"/>
      <c r="M745" s="3"/>
      <c r="N745" s="3"/>
      <c r="O745" s="3"/>
      <c r="P745" s="3"/>
      <c r="Q745" s="3"/>
    </row>
    <row r="746" spans="1:17">
      <c r="A746" s="3"/>
      <c r="B746" s="3"/>
      <c r="C746" s="3"/>
      <c r="D746" s="3"/>
      <c r="E746" s="3"/>
      <c r="J746" s="3"/>
      <c r="K746" s="3"/>
      <c r="L746" s="3"/>
      <c r="M746" s="3"/>
      <c r="N746" s="3"/>
      <c r="O746" s="3"/>
      <c r="P746" s="3"/>
      <c r="Q746" s="3"/>
    </row>
    <row r="747" spans="1:17">
      <c r="A747" s="3"/>
      <c r="B747" s="3"/>
      <c r="C747" s="3"/>
      <c r="D747" s="3"/>
      <c r="E747" s="3"/>
      <c r="J747" s="3"/>
      <c r="K747" s="3"/>
      <c r="L747" s="3"/>
      <c r="M747" s="3"/>
      <c r="N747" s="3"/>
      <c r="O747" s="3"/>
      <c r="P747" s="3"/>
      <c r="Q747" s="3"/>
    </row>
    <row r="748" spans="1:17">
      <c r="A748" s="3"/>
      <c r="B748" s="3"/>
      <c r="C748" s="3"/>
      <c r="D748" s="3"/>
      <c r="E748" s="3"/>
      <c r="J748" s="3"/>
      <c r="K748" s="3"/>
      <c r="L748" s="3"/>
      <c r="M748" s="3"/>
      <c r="N748" s="3"/>
      <c r="O748" s="3"/>
      <c r="P748" s="3"/>
      <c r="Q748" s="3"/>
    </row>
    <row r="749" spans="1:17">
      <c r="A749" s="3"/>
      <c r="B749" s="3"/>
      <c r="C749" s="3"/>
      <c r="D749" s="3"/>
      <c r="E749" s="3"/>
      <c r="J749" s="3"/>
      <c r="K749" s="3"/>
      <c r="L749" s="3"/>
      <c r="M749" s="3"/>
      <c r="N749" s="3"/>
      <c r="O749" s="3"/>
      <c r="P749" s="3"/>
      <c r="Q749" s="3"/>
    </row>
    <row r="750" spans="1:17">
      <c r="A750" s="3"/>
      <c r="B750" s="3"/>
      <c r="C750" s="3"/>
      <c r="D750" s="3"/>
      <c r="E750" s="3"/>
      <c r="J750" s="3"/>
      <c r="K750" s="3"/>
      <c r="L750" s="3"/>
      <c r="M750" s="3"/>
      <c r="N750" s="3"/>
      <c r="O750" s="3"/>
      <c r="P750" s="3"/>
      <c r="Q750" s="3"/>
    </row>
  </sheetData>
  <mergeCells count="42">
    <mergeCell ref="A23:Q23"/>
    <mergeCell ref="A364:Q364"/>
    <mergeCell ref="A368:Q368"/>
    <mergeCell ref="A369:Q369"/>
    <mergeCell ref="A288:Q288"/>
    <mergeCell ref="A296:Q296"/>
    <mergeCell ref="A303:Q303"/>
    <mergeCell ref="A309:Q309"/>
    <mergeCell ref="A272:Q272"/>
    <mergeCell ref="A219:Q219"/>
    <mergeCell ref="A227:Q227"/>
    <mergeCell ref="A127:Q127"/>
    <mergeCell ref="A53:Q53"/>
    <mergeCell ref="A211:Q211"/>
    <mergeCell ref="A62:Q62"/>
    <mergeCell ref="A88:Q88"/>
    <mergeCell ref="A1:Q1"/>
    <mergeCell ref="A3:Q3"/>
    <mergeCell ref="A9:Q9"/>
    <mergeCell ref="A10:Q10"/>
    <mergeCell ref="A22:Q22"/>
    <mergeCell ref="A92:Q92"/>
    <mergeCell ref="A94:Q94"/>
    <mergeCell ref="A95:Q95"/>
    <mergeCell ref="A116:Q116"/>
    <mergeCell ref="A148:Q148"/>
    <mergeCell ref="A165:Q165"/>
    <mergeCell ref="A180:Q180"/>
    <mergeCell ref="A190:Q190"/>
    <mergeCell ref="A202:Q202"/>
    <mergeCell ref="A356:Q356"/>
    <mergeCell ref="A233:Q233"/>
    <mergeCell ref="A239:Q239"/>
    <mergeCell ref="A245:Q245"/>
    <mergeCell ref="A253:Q253"/>
    <mergeCell ref="A254:Q254"/>
    <mergeCell ref="A258:Q258"/>
    <mergeCell ref="A319:Q319"/>
    <mergeCell ref="A332:Q332"/>
    <mergeCell ref="A343:Q343"/>
    <mergeCell ref="A350:Q350"/>
    <mergeCell ref="A354:Q354"/>
  </mergeCells>
  <conditionalFormatting sqref="F10:G21 F24:G126 F128:G201 F273:G279 F281:G318 F344:G363">
    <cfRule type="cellIs" dxfId="256" priority="321" operator="equal">
      <formula>2</formula>
    </cfRule>
    <cfRule type="cellIs" dxfId="255" priority="324" operator="equal">
      <formula>5</formula>
    </cfRule>
    <cfRule type="cellIs" dxfId="254" priority="323" operator="equal">
      <formula>4</formula>
    </cfRule>
    <cfRule type="cellIs" dxfId="253" priority="322" operator="equal">
      <formula>3</formula>
    </cfRule>
    <cfRule type="cellIs" dxfId="252" priority="320" operator="equal">
      <formula>1</formula>
    </cfRule>
  </conditionalFormatting>
  <conditionalFormatting sqref="F203:G210">
    <cfRule type="cellIs" dxfId="251" priority="311" operator="equal">
      <formula>2</formula>
    </cfRule>
    <cfRule type="cellIs" dxfId="250" priority="310" operator="equal">
      <formula>1</formula>
    </cfRule>
    <cfRule type="cellIs" dxfId="249" priority="314" operator="equal">
      <formula>5</formula>
    </cfRule>
    <cfRule type="cellIs" dxfId="248" priority="313" operator="equal">
      <formula>4</formula>
    </cfRule>
    <cfRule type="cellIs" dxfId="247" priority="312" operator="equal">
      <formula>3</formula>
    </cfRule>
  </conditionalFormatting>
  <conditionalFormatting sqref="F212:G218">
    <cfRule type="cellIs" dxfId="246" priority="309" operator="equal">
      <formula>5</formula>
    </cfRule>
    <cfRule type="cellIs" dxfId="245" priority="308" operator="equal">
      <formula>4</formula>
    </cfRule>
    <cfRule type="cellIs" dxfId="244" priority="305" operator="equal">
      <formula>1</formula>
    </cfRule>
    <cfRule type="cellIs" dxfId="243" priority="306" operator="equal">
      <formula>2</formula>
    </cfRule>
    <cfRule type="cellIs" dxfId="242" priority="307" operator="equal">
      <formula>3</formula>
    </cfRule>
  </conditionalFormatting>
  <conditionalFormatting sqref="F220:G227">
    <cfRule type="cellIs" dxfId="241" priority="301" operator="equal">
      <formula>2</formula>
    </cfRule>
    <cfRule type="cellIs" dxfId="240" priority="303" operator="equal">
      <formula>4</formula>
    </cfRule>
    <cfRule type="cellIs" dxfId="239" priority="304" operator="equal">
      <formula>5</formula>
    </cfRule>
    <cfRule type="cellIs" dxfId="238" priority="302" operator="equal">
      <formula>3</formula>
    </cfRule>
    <cfRule type="cellIs" dxfId="237" priority="300" operator="equal">
      <formula>1</formula>
    </cfRule>
  </conditionalFormatting>
  <conditionalFormatting sqref="F229:G239">
    <cfRule type="cellIs" dxfId="236" priority="107" operator="equal">
      <formula>3</formula>
    </cfRule>
    <cfRule type="cellIs" dxfId="235" priority="108" operator="equal">
      <formula>4</formula>
    </cfRule>
    <cfRule type="cellIs" dxfId="234" priority="109" operator="equal">
      <formula>5</formula>
    </cfRule>
    <cfRule type="cellIs" dxfId="233" priority="106" operator="equal">
      <formula>2</formula>
    </cfRule>
    <cfRule type="cellIs" dxfId="232" priority="105" operator="equal">
      <formula>1</formula>
    </cfRule>
  </conditionalFormatting>
  <conditionalFormatting sqref="F241:G244">
    <cfRule type="cellIs" dxfId="231" priority="299" operator="equal">
      <formula>5</formula>
    </cfRule>
    <cfRule type="cellIs" dxfId="230" priority="297" operator="equal">
      <formula>3</formula>
    </cfRule>
    <cfRule type="cellIs" dxfId="229" priority="295" operator="equal">
      <formula>1</formula>
    </cfRule>
    <cfRule type="cellIs" dxfId="228" priority="296" operator="equal">
      <formula>2</formula>
    </cfRule>
    <cfRule type="cellIs" dxfId="227" priority="298" operator="equal">
      <formula>4</formula>
    </cfRule>
  </conditionalFormatting>
  <conditionalFormatting sqref="F246:G246">
    <cfRule type="cellIs" dxfId="226" priority="294" operator="equal">
      <formula>5</formula>
    </cfRule>
    <cfRule type="cellIs" dxfId="225" priority="293" operator="equal">
      <formula>4</formula>
    </cfRule>
    <cfRule type="cellIs" dxfId="224" priority="292" operator="equal">
      <formula>3</formula>
    </cfRule>
    <cfRule type="cellIs" dxfId="223" priority="290" operator="equal">
      <formula>1</formula>
    </cfRule>
    <cfRule type="cellIs" dxfId="222" priority="291" operator="equal">
      <formula>2</formula>
    </cfRule>
  </conditionalFormatting>
  <conditionalFormatting sqref="F254:G271">
    <cfRule type="cellIs" dxfId="221" priority="180" operator="equal">
      <formula>1</formula>
    </cfRule>
    <cfRule type="cellIs" dxfId="220" priority="181" operator="equal">
      <formula>2</formula>
    </cfRule>
    <cfRule type="cellIs" dxfId="219" priority="183" operator="equal">
      <formula>4</formula>
    </cfRule>
    <cfRule type="cellIs" dxfId="218" priority="184" operator="equal">
      <formula>5</formula>
    </cfRule>
    <cfRule type="cellIs" dxfId="217" priority="182" operator="equal">
      <formula>3</formula>
    </cfRule>
  </conditionalFormatting>
  <conditionalFormatting sqref="F320:G331">
    <cfRule type="cellIs" dxfId="216" priority="159" operator="equal">
      <formula>5</formula>
    </cfRule>
    <cfRule type="cellIs" dxfId="215" priority="157" operator="equal">
      <formula>3</formula>
    </cfRule>
    <cfRule type="cellIs" dxfId="214" priority="156" operator="equal">
      <formula>2</formula>
    </cfRule>
    <cfRule type="cellIs" dxfId="213" priority="158" operator="equal">
      <formula>4</formula>
    </cfRule>
    <cfRule type="cellIs" dxfId="212" priority="155" operator="equal">
      <formula>1</formula>
    </cfRule>
  </conditionalFormatting>
  <conditionalFormatting sqref="F333:G342">
    <cfRule type="cellIs" dxfId="211" priority="151" operator="equal">
      <formula>2</formula>
    </cfRule>
    <cfRule type="cellIs" dxfId="210" priority="152" operator="equal">
      <formula>3</formula>
    </cfRule>
    <cfRule type="cellIs" dxfId="209" priority="153" operator="equal">
      <formula>4</formula>
    </cfRule>
    <cfRule type="cellIs" dxfId="208" priority="154" operator="equal">
      <formula>5</formula>
    </cfRule>
    <cfRule type="cellIs" dxfId="207" priority="150" operator="equal">
      <formula>1</formula>
    </cfRule>
  </conditionalFormatting>
  <conditionalFormatting sqref="F365:G367">
    <cfRule type="cellIs" dxfId="206" priority="138" operator="equal">
      <formula>4</formula>
    </cfRule>
    <cfRule type="cellIs" dxfId="205" priority="139" operator="equal">
      <formula>5</formula>
    </cfRule>
    <cfRule type="cellIs" dxfId="204" priority="137" operator="equal">
      <formula>3</formula>
    </cfRule>
    <cfRule type="cellIs" dxfId="203" priority="135" operator="equal">
      <formula>1</formula>
    </cfRule>
    <cfRule type="cellIs" dxfId="202" priority="136" operator="equal">
      <formula>2</formula>
    </cfRule>
  </conditionalFormatting>
  <conditionalFormatting sqref="G398:G422">
    <cfRule type="colorScale" priority="204">
      <colorScale>
        <cfvo type="min"/>
        <cfvo type="percentile" val="50"/>
        <cfvo type="max"/>
        <color rgb="FFF8696B"/>
        <color rgb="FFFFEB84"/>
        <color rgb="FF63BE7B"/>
      </colorScale>
    </cfRule>
    <cfRule type="colorScale" priority="203">
      <colorScale>
        <cfvo type="min"/>
        <cfvo type="percentile" val="50"/>
        <cfvo type="max"/>
        <color rgb="FF63BE7B"/>
        <color rgb="FFFFEB84"/>
        <color rgb="FFF8696B"/>
      </colorScale>
    </cfRule>
  </conditionalFormatting>
  <conditionalFormatting sqref="H24:H52 H53:I53 H54:H61 H62:I62 H63:H87 H88:I88 H89:H91 H92:I92 H93 H94:I95 H96:H115 H116:I116 H117:H126 H128:H147 H149:H164 H273:H279 H281:H287 H310:H318">
    <cfRule type="cellIs" dxfId="201" priority="185" operator="between">
      <formula>1</formula>
      <formula>2</formula>
    </cfRule>
    <cfRule type="cellIs" dxfId="200" priority="186" operator="between">
      <formula>3</formula>
      <formula>5</formula>
    </cfRule>
    <cfRule type="cellIs" dxfId="199" priority="187" operator="between">
      <formula>6</formula>
      <formula>10</formula>
    </cfRule>
    <cfRule type="cellIs" dxfId="198" priority="188" operator="between">
      <formula>12</formula>
      <formula>19</formula>
    </cfRule>
    <cfRule type="cellIs" dxfId="197" priority="189" operator="between">
      <formula>20</formula>
      <formula>25</formula>
    </cfRule>
    <cfRule type="cellIs" dxfId="196" priority="190" operator="between">
      <formula>21</formula>
      <formula>25</formula>
    </cfRule>
    <cfRule type="cellIs" dxfId="195" priority="191" operator="between">
      <formula>15</formula>
      <formula>20</formula>
    </cfRule>
    <cfRule type="cellIs" dxfId="194" priority="192" operator="between">
      <formula>10</formula>
      <formula>14</formula>
    </cfRule>
    <cfRule type="cellIs" dxfId="193" priority="193" operator="between">
      <formula>5</formula>
      <formula>9</formula>
    </cfRule>
    <cfRule type="cellIs" dxfId="192" priority="194" operator="between">
      <formula>1</formula>
      <formula>4</formula>
    </cfRule>
  </conditionalFormatting>
  <conditionalFormatting sqref="H181:H189">
    <cfRule type="cellIs" dxfId="191" priority="114" operator="between">
      <formula>20</formula>
      <formula>25</formula>
    </cfRule>
    <cfRule type="cellIs" dxfId="190" priority="110" operator="between">
      <formula>1</formula>
      <formula>2</formula>
    </cfRule>
    <cfRule type="cellIs" dxfId="189" priority="119" operator="between">
      <formula>1</formula>
      <formula>4</formula>
    </cfRule>
    <cfRule type="cellIs" dxfId="188" priority="117" operator="between">
      <formula>10</formula>
      <formula>14</formula>
    </cfRule>
    <cfRule type="cellIs" dxfId="187" priority="116" operator="between">
      <formula>15</formula>
      <formula>20</formula>
    </cfRule>
    <cfRule type="cellIs" dxfId="186" priority="115" operator="between">
      <formula>21</formula>
      <formula>25</formula>
    </cfRule>
    <cfRule type="cellIs" dxfId="185" priority="113" operator="between">
      <formula>12</formula>
      <formula>19</formula>
    </cfRule>
    <cfRule type="cellIs" dxfId="184" priority="112" operator="between">
      <formula>6</formula>
      <formula>10</formula>
    </cfRule>
    <cfRule type="cellIs" dxfId="183" priority="118" operator="between">
      <formula>5</formula>
      <formula>9</formula>
    </cfRule>
    <cfRule type="cellIs" dxfId="182" priority="111" operator="between">
      <formula>3</formula>
      <formula>5</formula>
    </cfRule>
  </conditionalFormatting>
  <conditionalFormatting sqref="H203:H210">
    <cfRule type="cellIs" dxfId="181" priority="267" operator="between">
      <formula>6</formula>
      <formula>10</formula>
    </cfRule>
    <cfRule type="cellIs" dxfId="180" priority="270" operator="between">
      <formula>21</formula>
      <formula>25</formula>
    </cfRule>
    <cfRule type="cellIs" dxfId="179" priority="272" operator="between">
      <formula>10</formula>
      <formula>14</formula>
    </cfRule>
    <cfRule type="cellIs" dxfId="178" priority="269" operator="between">
      <formula>20</formula>
      <formula>25</formula>
    </cfRule>
    <cfRule type="cellIs" dxfId="177" priority="273" operator="between">
      <formula>5</formula>
      <formula>9</formula>
    </cfRule>
    <cfRule type="cellIs" dxfId="176" priority="274" operator="between">
      <formula>1</formula>
      <formula>4</formula>
    </cfRule>
    <cfRule type="cellIs" dxfId="175" priority="266" operator="between">
      <formula>3</formula>
      <formula>5</formula>
    </cfRule>
    <cfRule type="cellIs" dxfId="174" priority="268" operator="between">
      <formula>12</formula>
      <formula>19</formula>
    </cfRule>
    <cfRule type="cellIs" dxfId="173" priority="265" operator="between">
      <formula>1</formula>
      <formula>2</formula>
    </cfRule>
    <cfRule type="cellIs" dxfId="172" priority="271" operator="between">
      <formula>15</formula>
      <formula>20</formula>
    </cfRule>
  </conditionalFormatting>
  <conditionalFormatting sqref="H212:H218">
    <cfRule type="cellIs" dxfId="171" priority="261" operator="between">
      <formula>15</formula>
      <formula>20</formula>
    </cfRule>
    <cfRule type="cellIs" dxfId="170" priority="259" operator="between">
      <formula>20</formula>
      <formula>25</formula>
    </cfRule>
    <cfRule type="cellIs" dxfId="169" priority="258" operator="between">
      <formula>12</formula>
      <formula>19</formula>
    </cfRule>
    <cfRule type="cellIs" dxfId="168" priority="257" operator="between">
      <formula>6</formula>
      <formula>10</formula>
    </cfRule>
    <cfRule type="cellIs" dxfId="167" priority="256" operator="between">
      <formula>3</formula>
      <formula>5</formula>
    </cfRule>
    <cfRule type="cellIs" dxfId="166" priority="255" operator="between">
      <formula>1</formula>
      <formula>2</formula>
    </cfRule>
    <cfRule type="cellIs" dxfId="165" priority="260" operator="between">
      <formula>21</formula>
      <formula>25</formula>
    </cfRule>
    <cfRule type="cellIs" dxfId="164" priority="264" operator="between">
      <formula>1</formula>
      <formula>4</formula>
    </cfRule>
    <cfRule type="cellIs" dxfId="163" priority="263" operator="between">
      <formula>5</formula>
      <formula>9</formula>
    </cfRule>
    <cfRule type="cellIs" dxfId="162" priority="262" operator="between">
      <formula>10</formula>
      <formula>14</formula>
    </cfRule>
  </conditionalFormatting>
  <conditionalFormatting sqref="H220:H226 H227:I227">
    <cfRule type="cellIs" dxfId="161" priority="249" operator="between">
      <formula>20</formula>
      <formula>25</formula>
    </cfRule>
    <cfRule type="cellIs" dxfId="160" priority="248" operator="between">
      <formula>12</formula>
      <formula>19</formula>
    </cfRule>
    <cfRule type="cellIs" dxfId="159" priority="247" operator="between">
      <formula>6</formula>
      <formula>10</formula>
    </cfRule>
    <cfRule type="cellIs" dxfId="158" priority="246" operator="between">
      <formula>3</formula>
      <formula>5</formula>
    </cfRule>
    <cfRule type="cellIs" dxfId="157" priority="245" operator="between">
      <formula>1</formula>
      <formula>2</formula>
    </cfRule>
    <cfRule type="cellIs" dxfId="156" priority="254" operator="between">
      <formula>1</formula>
      <formula>4</formula>
    </cfRule>
    <cfRule type="cellIs" dxfId="155" priority="253" operator="between">
      <formula>5</formula>
      <formula>9</formula>
    </cfRule>
    <cfRule type="cellIs" dxfId="154" priority="251" operator="between">
      <formula>15</formula>
      <formula>20</formula>
    </cfRule>
    <cfRule type="cellIs" dxfId="153" priority="250" operator="between">
      <formula>21</formula>
      <formula>25</formula>
    </cfRule>
    <cfRule type="cellIs" dxfId="152" priority="252" operator="between">
      <formula>10</formula>
      <formula>14</formula>
    </cfRule>
  </conditionalFormatting>
  <conditionalFormatting sqref="H229:H232">
    <cfRule type="cellIs" dxfId="151" priority="243" operator="between">
      <formula>5</formula>
      <formula>9</formula>
    </cfRule>
    <cfRule type="cellIs" dxfId="150" priority="242" operator="between">
      <formula>10</formula>
      <formula>14</formula>
    </cfRule>
    <cfRule type="cellIs" dxfId="149" priority="241" operator="between">
      <formula>15</formula>
      <formula>20</formula>
    </cfRule>
    <cfRule type="cellIs" dxfId="148" priority="240" operator="between">
      <formula>21</formula>
      <formula>25</formula>
    </cfRule>
    <cfRule type="cellIs" dxfId="147" priority="239" operator="between">
      <formula>20</formula>
      <formula>25</formula>
    </cfRule>
    <cfRule type="cellIs" dxfId="146" priority="238" operator="between">
      <formula>12</formula>
      <formula>19</formula>
    </cfRule>
    <cfRule type="cellIs" dxfId="145" priority="237" operator="between">
      <formula>6</formula>
      <formula>10</formula>
    </cfRule>
    <cfRule type="cellIs" dxfId="144" priority="236" operator="between">
      <formula>3</formula>
      <formula>5</formula>
    </cfRule>
    <cfRule type="cellIs" dxfId="143" priority="235" operator="between">
      <formula>1</formula>
      <formula>2</formula>
    </cfRule>
    <cfRule type="cellIs" dxfId="142" priority="244" operator="between">
      <formula>1</formula>
      <formula>4</formula>
    </cfRule>
  </conditionalFormatting>
  <conditionalFormatting sqref="H241:H244">
    <cfRule type="cellIs" dxfId="141" priority="233" operator="between">
      <formula>5</formula>
      <formula>9</formula>
    </cfRule>
    <cfRule type="cellIs" dxfId="140" priority="234" operator="between">
      <formula>1</formula>
      <formula>4</formula>
    </cfRule>
    <cfRule type="cellIs" dxfId="139" priority="225" operator="between">
      <formula>1</formula>
      <formula>2</formula>
    </cfRule>
    <cfRule type="cellIs" dxfId="138" priority="226" operator="between">
      <formula>3</formula>
      <formula>5</formula>
    </cfRule>
    <cfRule type="cellIs" dxfId="137" priority="227" operator="between">
      <formula>6</formula>
      <formula>10</formula>
    </cfRule>
    <cfRule type="cellIs" dxfId="136" priority="228" operator="between">
      <formula>12</formula>
      <formula>19</formula>
    </cfRule>
    <cfRule type="cellIs" dxfId="135" priority="229" operator="between">
      <formula>20</formula>
      <formula>25</formula>
    </cfRule>
    <cfRule type="cellIs" dxfId="134" priority="230" operator="between">
      <formula>21</formula>
      <formula>25</formula>
    </cfRule>
    <cfRule type="cellIs" dxfId="133" priority="231" operator="between">
      <formula>15</formula>
      <formula>20</formula>
    </cfRule>
    <cfRule type="cellIs" dxfId="132" priority="232" operator="between">
      <formula>10</formula>
      <formula>14</formula>
    </cfRule>
  </conditionalFormatting>
  <conditionalFormatting sqref="H246">
    <cfRule type="cellIs" dxfId="131" priority="217" operator="between">
      <formula>6</formula>
      <formula>10</formula>
    </cfRule>
    <cfRule type="cellIs" dxfId="130" priority="220" operator="between">
      <formula>21</formula>
      <formula>25</formula>
    </cfRule>
    <cfRule type="cellIs" dxfId="129" priority="223" operator="between">
      <formula>5</formula>
      <formula>9</formula>
    </cfRule>
    <cfRule type="cellIs" dxfId="128" priority="221" operator="between">
      <formula>15</formula>
      <formula>20</formula>
    </cfRule>
    <cfRule type="cellIs" dxfId="127" priority="222" operator="between">
      <formula>10</formula>
      <formula>14</formula>
    </cfRule>
    <cfRule type="cellIs" dxfId="126" priority="215" operator="between">
      <formula>1</formula>
      <formula>2</formula>
    </cfRule>
    <cfRule type="cellIs" dxfId="125" priority="216" operator="between">
      <formula>3</formula>
      <formula>5</formula>
    </cfRule>
    <cfRule type="cellIs" dxfId="124" priority="224" operator="between">
      <formula>1</formula>
      <formula>4</formula>
    </cfRule>
    <cfRule type="cellIs" dxfId="123" priority="218" operator="between">
      <formula>12</formula>
      <formula>19</formula>
    </cfRule>
    <cfRule type="cellIs" dxfId="122" priority="219" operator="between">
      <formula>20</formula>
      <formula>25</formula>
    </cfRule>
  </conditionalFormatting>
  <conditionalFormatting sqref="H320:H331">
    <cfRule type="cellIs" dxfId="121" priority="85" operator="between">
      <formula>1</formula>
      <formula>2</formula>
    </cfRule>
    <cfRule type="cellIs" dxfId="120" priority="86" operator="between">
      <formula>3</formula>
      <formula>5</formula>
    </cfRule>
    <cfRule type="cellIs" dxfId="119" priority="93" operator="between">
      <formula>5</formula>
      <formula>9</formula>
    </cfRule>
    <cfRule type="cellIs" dxfId="118" priority="87" operator="between">
      <formula>6</formula>
      <formula>10</formula>
    </cfRule>
    <cfRule type="cellIs" dxfId="117" priority="88" operator="between">
      <formula>12</formula>
      <formula>19</formula>
    </cfRule>
    <cfRule type="cellIs" dxfId="116" priority="89" operator="between">
      <formula>20</formula>
      <formula>25</formula>
    </cfRule>
    <cfRule type="cellIs" dxfId="115" priority="90" operator="between">
      <formula>21</formula>
      <formula>25</formula>
    </cfRule>
    <cfRule type="cellIs" dxfId="114" priority="92" operator="between">
      <formula>10</formula>
      <formula>14</formula>
    </cfRule>
    <cfRule type="cellIs" dxfId="113" priority="94" operator="between">
      <formula>1</formula>
      <formula>4</formula>
    </cfRule>
    <cfRule type="cellIs" dxfId="112" priority="91" operator="between">
      <formula>15</formula>
      <formula>20</formula>
    </cfRule>
  </conditionalFormatting>
  <conditionalFormatting sqref="H333:H342">
    <cfRule type="cellIs" dxfId="111" priority="143" operator="between">
      <formula>12</formula>
      <formula>19</formula>
    </cfRule>
    <cfRule type="cellIs" dxfId="110" priority="142" operator="between">
      <formula>6</formula>
      <formula>10</formula>
    </cfRule>
    <cfRule type="cellIs" dxfId="109" priority="141" operator="between">
      <formula>3</formula>
      <formula>5</formula>
    </cfRule>
    <cfRule type="cellIs" dxfId="108" priority="145" operator="between">
      <formula>21</formula>
      <formula>25</formula>
    </cfRule>
    <cfRule type="cellIs" dxfId="107" priority="146" operator="between">
      <formula>15</formula>
      <formula>20</formula>
    </cfRule>
    <cfRule type="cellIs" dxfId="106" priority="144" operator="between">
      <formula>20</formula>
      <formula>25</formula>
    </cfRule>
    <cfRule type="cellIs" dxfId="105" priority="140" operator="between">
      <formula>1</formula>
      <formula>2</formula>
    </cfRule>
    <cfRule type="cellIs" dxfId="104" priority="147" operator="between">
      <formula>10</formula>
      <formula>14</formula>
    </cfRule>
    <cfRule type="cellIs" dxfId="103" priority="148" operator="between">
      <formula>5</formula>
      <formula>9</formula>
    </cfRule>
    <cfRule type="cellIs" dxfId="102" priority="149" operator="between">
      <formula>1</formula>
      <formula>4</formula>
    </cfRule>
  </conditionalFormatting>
  <conditionalFormatting sqref="H365:H367">
    <cfRule type="cellIs" dxfId="101" priority="133" operator="between">
      <formula>5</formula>
      <formula>9</formula>
    </cfRule>
    <cfRule type="cellIs" dxfId="100" priority="134" operator="between">
      <formula>1</formula>
      <formula>4</formula>
    </cfRule>
    <cfRule type="cellIs" dxfId="99" priority="125" operator="between">
      <formula>1</formula>
      <formula>2</formula>
    </cfRule>
    <cfRule type="cellIs" dxfId="98" priority="126" operator="between">
      <formula>3</formula>
      <formula>5</formula>
    </cfRule>
    <cfRule type="cellIs" dxfId="97" priority="127" operator="between">
      <formula>6</formula>
      <formula>10</formula>
    </cfRule>
    <cfRule type="cellIs" dxfId="96" priority="128" operator="between">
      <formula>12</formula>
      <formula>19</formula>
    </cfRule>
    <cfRule type="cellIs" dxfId="95" priority="129" operator="between">
      <formula>20</formula>
      <formula>25</formula>
    </cfRule>
    <cfRule type="cellIs" dxfId="94" priority="130" operator="between">
      <formula>21</formula>
      <formula>25</formula>
    </cfRule>
    <cfRule type="cellIs" dxfId="93" priority="131" operator="between">
      <formula>15</formula>
      <formula>20</formula>
    </cfRule>
    <cfRule type="cellIs" dxfId="92" priority="132" operator="between">
      <formula>10</formula>
      <formula>14</formula>
    </cfRule>
  </conditionalFormatting>
  <conditionalFormatting sqref="H10:I10 H11:H21 H148:I148 H165:I165 H166:H179 H180:I180 H234:H238 H344:H349 H350:I350 H351:H353 H354:I354 H355 H356:I356 H357:H363">
    <cfRule type="cellIs" dxfId="91" priority="315" operator="between">
      <formula>21</formula>
      <formula>25</formula>
    </cfRule>
    <cfRule type="cellIs" dxfId="90" priority="316" operator="between">
      <formula>15</formula>
      <formula>20</formula>
    </cfRule>
    <cfRule type="cellIs" dxfId="89" priority="317" operator="between">
      <formula>10</formula>
      <formula>14</formula>
    </cfRule>
    <cfRule type="cellIs" dxfId="88" priority="318" operator="between">
      <formula>5</formula>
      <formula>9</formula>
    </cfRule>
    <cfRule type="cellIs" dxfId="87" priority="319" operator="between">
      <formula>1</formula>
      <formula>4</formula>
    </cfRule>
    <cfRule type="cellIs" dxfId="86" priority="289" operator="between">
      <formula>20</formula>
      <formula>25</formula>
    </cfRule>
    <cfRule type="cellIs" dxfId="85" priority="285" operator="between">
      <formula>1</formula>
      <formula>2</formula>
    </cfRule>
    <cfRule type="cellIs" dxfId="84" priority="286" operator="between">
      <formula>3</formula>
      <formula>5</formula>
    </cfRule>
    <cfRule type="cellIs" dxfId="83" priority="287" operator="between">
      <formula>6</formula>
      <formula>10</formula>
    </cfRule>
    <cfRule type="cellIs" dxfId="82" priority="288" operator="between">
      <formula>12</formula>
      <formula>19</formula>
    </cfRule>
  </conditionalFormatting>
  <conditionalFormatting sqref="H190:I190 H191:H201">
    <cfRule type="cellIs" dxfId="81" priority="276" operator="between">
      <formula>3</formula>
      <formula>5</formula>
    </cfRule>
    <cfRule type="cellIs" dxfId="80" priority="275" operator="between">
      <formula>1</formula>
      <formula>2</formula>
    </cfRule>
    <cfRule type="cellIs" dxfId="79" priority="281" operator="between">
      <formula>15</formula>
      <formula>20</formula>
    </cfRule>
    <cfRule type="cellIs" dxfId="78" priority="283" operator="between">
      <formula>5</formula>
      <formula>9</formula>
    </cfRule>
    <cfRule type="cellIs" dxfId="77" priority="284" operator="between">
      <formula>1</formula>
      <formula>4</formula>
    </cfRule>
    <cfRule type="cellIs" dxfId="76" priority="277" operator="between">
      <formula>6</formula>
      <formula>10</formula>
    </cfRule>
    <cfRule type="cellIs" dxfId="75" priority="282" operator="between">
      <formula>10</formula>
      <formula>14</formula>
    </cfRule>
    <cfRule type="cellIs" dxfId="74" priority="278" operator="between">
      <formula>12</formula>
      <formula>19</formula>
    </cfRule>
    <cfRule type="cellIs" dxfId="73" priority="279" operator="between">
      <formula>20</formula>
      <formula>25</formula>
    </cfRule>
    <cfRule type="cellIs" dxfId="72" priority="280" operator="between">
      <formula>21</formula>
      <formula>25</formula>
    </cfRule>
  </conditionalFormatting>
  <conditionalFormatting sqref="H233:I233">
    <cfRule type="cellIs" dxfId="71" priority="102" operator="between">
      <formula>10</formula>
      <formula>14</formula>
    </cfRule>
    <cfRule type="cellIs" dxfId="70" priority="103" operator="between">
      <formula>5</formula>
      <formula>9</formula>
    </cfRule>
    <cfRule type="cellIs" dxfId="69" priority="104" operator="between">
      <formula>1</formula>
      <formula>4</formula>
    </cfRule>
    <cfRule type="cellIs" dxfId="68" priority="99" operator="between">
      <formula>20</formula>
      <formula>25</formula>
    </cfRule>
    <cfRule type="cellIs" dxfId="67" priority="98" operator="between">
      <formula>12</formula>
      <formula>19</formula>
    </cfRule>
    <cfRule type="cellIs" dxfId="66" priority="97" operator="between">
      <formula>6</formula>
      <formula>10</formula>
    </cfRule>
    <cfRule type="cellIs" dxfId="65" priority="96" operator="between">
      <formula>3</formula>
      <formula>5</formula>
    </cfRule>
    <cfRule type="cellIs" dxfId="64" priority="95" operator="between">
      <formula>1</formula>
      <formula>2</formula>
    </cfRule>
    <cfRule type="cellIs" dxfId="63" priority="101" operator="between">
      <formula>15</formula>
      <formula>20</formula>
    </cfRule>
    <cfRule type="cellIs" dxfId="62" priority="100" operator="between">
      <formula>21</formula>
      <formula>25</formula>
    </cfRule>
  </conditionalFormatting>
  <conditionalFormatting sqref="H239:I239">
    <cfRule type="cellIs" dxfId="61" priority="210" operator="between">
      <formula>21</formula>
      <formula>25</formula>
    </cfRule>
    <cfRule type="cellIs" dxfId="60" priority="208" operator="between">
      <formula>12</formula>
      <formula>19</formula>
    </cfRule>
    <cfRule type="cellIs" dxfId="59" priority="207" operator="between">
      <formula>6</formula>
      <formula>10</formula>
    </cfRule>
    <cfRule type="cellIs" dxfId="58" priority="206" operator="between">
      <formula>3</formula>
      <formula>5</formula>
    </cfRule>
    <cfRule type="cellIs" dxfId="57" priority="209" operator="between">
      <formula>20</formula>
      <formula>25</formula>
    </cfRule>
    <cfRule type="cellIs" dxfId="56" priority="205" operator="between">
      <formula>1</formula>
      <formula>2</formula>
    </cfRule>
    <cfRule type="cellIs" dxfId="55" priority="212" operator="between">
      <formula>10</formula>
      <formula>14</formula>
    </cfRule>
    <cfRule type="cellIs" dxfId="54" priority="214" operator="between">
      <formula>1</formula>
      <formula>4</formula>
    </cfRule>
    <cfRule type="cellIs" dxfId="53" priority="213" operator="between">
      <formula>5</formula>
      <formula>9</formula>
    </cfRule>
    <cfRule type="cellIs" dxfId="52" priority="211" operator="between">
      <formula>15</formula>
      <formula>20</formula>
    </cfRule>
  </conditionalFormatting>
  <conditionalFormatting sqref="H254:I254 H255:H257 H258:I258 H259:H271">
    <cfRule type="cellIs" dxfId="51" priority="177" operator="between">
      <formula>10</formula>
      <formula>14</formula>
    </cfRule>
    <cfRule type="cellIs" dxfId="50" priority="170" operator="between">
      <formula>1</formula>
      <formula>2</formula>
    </cfRule>
    <cfRule type="cellIs" dxfId="49" priority="171" operator="between">
      <formula>3</formula>
      <formula>5</formula>
    </cfRule>
    <cfRule type="cellIs" dxfId="48" priority="172" operator="between">
      <formula>6</formula>
      <formula>10</formula>
    </cfRule>
    <cfRule type="cellIs" dxfId="47" priority="178" operator="between">
      <formula>5</formula>
      <formula>9</formula>
    </cfRule>
    <cfRule type="cellIs" dxfId="46" priority="179" operator="between">
      <formula>1</formula>
      <formula>4</formula>
    </cfRule>
    <cfRule type="cellIs" dxfId="45" priority="173" operator="between">
      <formula>12</formula>
      <formula>19</formula>
    </cfRule>
    <cfRule type="cellIs" dxfId="44" priority="174" operator="between">
      <formula>20</formula>
      <formula>25</formula>
    </cfRule>
    <cfRule type="cellIs" dxfId="43" priority="175" operator="between">
      <formula>21</formula>
      <formula>25</formula>
    </cfRule>
    <cfRule type="cellIs" dxfId="42" priority="176" operator="between">
      <formula>15</formula>
      <formula>20</formula>
    </cfRule>
  </conditionalFormatting>
  <conditionalFormatting sqref="H288:I288 H289:H295 H296:I296 H297:H302 H303:I303 H304:H308 H309:I309">
    <cfRule type="cellIs" dxfId="41" priority="166" operator="between">
      <formula>15</formula>
      <formula>20</formula>
    </cfRule>
    <cfRule type="cellIs" dxfId="40" priority="165" operator="between">
      <formula>21</formula>
      <formula>25</formula>
    </cfRule>
    <cfRule type="cellIs" dxfId="39" priority="164" operator="between">
      <formula>20</formula>
      <formula>25</formula>
    </cfRule>
    <cfRule type="cellIs" dxfId="38" priority="163" operator="between">
      <formula>12</formula>
      <formula>19</formula>
    </cfRule>
    <cfRule type="cellIs" dxfId="37" priority="160" operator="between">
      <formula>1</formula>
      <formula>2</formula>
    </cfRule>
    <cfRule type="cellIs" dxfId="36" priority="161" operator="between">
      <formula>3</formula>
      <formula>5</formula>
    </cfRule>
    <cfRule type="cellIs" dxfId="35" priority="162" operator="between">
      <formula>6</formula>
      <formula>10</formula>
    </cfRule>
    <cfRule type="cellIs" dxfId="34" priority="169" operator="between">
      <formula>1</formula>
      <formula>4</formula>
    </cfRule>
    <cfRule type="cellIs" dxfId="33" priority="168" operator="between">
      <formula>5</formula>
      <formula>9</formula>
    </cfRule>
    <cfRule type="cellIs" dxfId="32" priority="167" operator="between">
      <formula>10</formula>
      <formula>14</formula>
    </cfRule>
  </conditionalFormatting>
  <conditionalFormatting sqref="J2:K2">
    <cfRule type="cellIs" dxfId="31" priority="330" operator="equal">
      <formula>"Not Compliant "</formula>
    </cfRule>
    <cfRule type="cellIs" dxfId="30" priority="328" operator="equal">
      <formula>"Compliant"</formula>
    </cfRule>
    <cfRule type="cellIs" dxfId="29" priority="329" operator="equal">
      <formula>"Partial Compliance"</formula>
    </cfRule>
  </conditionalFormatting>
  <conditionalFormatting sqref="L1:L20">
    <cfRule type="containsText" dxfId="28" priority="4" operator="containsText" text="Compliant">
      <formula>NOT(ISERROR(SEARCH("Compliant",L1)))</formula>
    </cfRule>
    <cfRule type="containsText" dxfId="27" priority="3" operator="containsText" text="Not Compliant">
      <formula>NOT(ISERROR(SEARCH("Not Compliant",L1)))</formula>
    </cfRule>
    <cfRule type="containsText" dxfId="26" priority="2" operator="containsText" text="Partial Compliance">
      <formula>NOT(ISERROR(SEARCH("Partial Compliance",L1)))</formula>
    </cfRule>
  </conditionalFormatting>
  <conditionalFormatting sqref="L11:L20">
    <cfRule type="containsText" dxfId="25" priority="1" operator="containsText" text="N/A">
      <formula>NOT(ISERROR(SEARCH("N/A",L11)))</formula>
    </cfRule>
  </conditionalFormatting>
  <conditionalFormatting sqref="L21:L61">
    <cfRule type="containsText" dxfId="24" priority="8" operator="containsText" text="Compliant">
      <formula>NOT(ISERROR(SEARCH("Compliant",L21)))</formula>
    </cfRule>
    <cfRule type="containsText" dxfId="23" priority="7" operator="containsText" text="Not Compliant">
      <formula>NOT(ISERROR(SEARCH("Not Compliant",L21)))</formula>
    </cfRule>
    <cfRule type="containsText" dxfId="22" priority="6" operator="containsText" text="Partial Compliance">
      <formula>NOT(ISERROR(SEARCH("Partial Compliance",L21)))</formula>
    </cfRule>
  </conditionalFormatting>
  <conditionalFormatting sqref="L54:L61">
    <cfRule type="containsText" dxfId="21" priority="5" operator="containsText" text="N/A">
      <formula>NOT(ISERROR(SEARCH("N/A",L54)))</formula>
    </cfRule>
  </conditionalFormatting>
  <conditionalFormatting sqref="L62:L126">
    <cfRule type="containsText" dxfId="20" priority="11" operator="containsText" text="Not Compliant">
      <formula>NOT(ISERROR(SEARCH("Not Compliant",L62)))</formula>
    </cfRule>
    <cfRule type="containsText" dxfId="19" priority="10" operator="containsText" text="Partial Compliance">
      <formula>NOT(ISERROR(SEARCH("Partial Compliance",L62)))</formula>
    </cfRule>
    <cfRule type="containsText" dxfId="18" priority="12" operator="containsText" text="Compliant">
      <formula>NOT(ISERROR(SEARCH("Compliant",L62)))</formula>
    </cfRule>
  </conditionalFormatting>
  <conditionalFormatting sqref="L117:L126">
    <cfRule type="containsText" dxfId="17" priority="9" operator="containsText" text="N/A">
      <formula>NOT(ISERROR(SEARCH("N/A",L117)))</formula>
    </cfRule>
  </conditionalFormatting>
  <conditionalFormatting sqref="L127:L147">
    <cfRule type="containsText" dxfId="16" priority="16" operator="containsText" text="Compliant">
      <formula>NOT(ISERROR(SEARCH("Compliant",L127)))</formula>
    </cfRule>
    <cfRule type="containsText" dxfId="15" priority="15" operator="containsText" text="Not Compliant">
      <formula>NOT(ISERROR(SEARCH("Not Compliant",L127)))</formula>
    </cfRule>
    <cfRule type="containsText" dxfId="14" priority="14" operator="containsText" text="Partial Compliance">
      <formula>NOT(ISERROR(SEARCH("Partial Compliance",L127)))</formula>
    </cfRule>
  </conditionalFormatting>
  <conditionalFormatting sqref="L128:L147">
    <cfRule type="containsText" dxfId="13" priority="13" operator="containsText" text="N/A">
      <formula>NOT(ISERROR(SEARCH("N/A",L128)))</formula>
    </cfRule>
  </conditionalFormatting>
  <conditionalFormatting sqref="L148:L287">
    <cfRule type="containsText" dxfId="12" priority="28" operator="containsText" text="Compliant">
      <formula>NOT(ISERROR(SEARCH("Compliant",L148)))</formula>
    </cfRule>
    <cfRule type="containsText" dxfId="11" priority="27" operator="containsText" text="Not Compliant">
      <formula>NOT(ISERROR(SEARCH("Not Compliant",L148)))</formula>
    </cfRule>
    <cfRule type="containsText" dxfId="10" priority="26" operator="containsText" text="Partial Compliance">
      <formula>NOT(ISERROR(SEARCH("Partial Compliance",L148)))</formula>
    </cfRule>
  </conditionalFormatting>
  <conditionalFormatting sqref="L273:L287">
    <cfRule type="containsText" dxfId="9" priority="25" operator="containsText" text="N/A">
      <formula>NOT(ISERROR(SEARCH("N/A",L273)))</formula>
    </cfRule>
  </conditionalFormatting>
  <conditionalFormatting sqref="L288:L1048576">
    <cfRule type="containsText" dxfId="8" priority="36" operator="containsText" text="Compliant">
      <formula>NOT(ISERROR(SEARCH("Compliant",L288)))</formula>
    </cfRule>
    <cfRule type="containsText" dxfId="7" priority="35" operator="containsText" text="Not Compliant">
      <formula>NOT(ISERROR(SEARCH("Not Compliant",L288)))</formula>
    </cfRule>
    <cfRule type="containsText" dxfId="6" priority="34" operator="containsText" text="Partial Compliance">
      <formula>NOT(ISERROR(SEARCH("Partial Compliance",L288)))</formula>
    </cfRule>
  </conditionalFormatting>
  <conditionalFormatting sqref="L355">
    <cfRule type="containsText" dxfId="5" priority="33" operator="containsText" text="N/A">
      <formula>NOT(ISERROR(SEARCH("N/A",L355)))</formula>
    </cfRule>
  </conditionalFormatting>
  <conditionalFormatting sqref="M4">
    <cfRule type="cellIs" dxfId="4" priority="325" operator="equal">
      <formula>"Compliant"</formula>
    </cfRule>
    <cfRule type="cellIs" dxfId="3" priority="326" operator="equal">
      <formula>"Partial Compliance"</formula>
    </cfRule>
    <cfRule type="cellIs" dxfId="2" priority="327" operator="equal">
      <formula>"Not Compliant "</formula>
    </cfRule>
  </conditionalFormatting>
  <dataValidations count="3">
    <dataValidation type="list" allowBlank="1" showInputMessage="1" showErrorMessage="1" sqref="I4:I8 I11:I21 I24:I52 I54:I61 I63:I87 I89:I91 I93 I96:I115 I117:I126 I166:I179 I181:I189 I191:I201 I203:I210 I212:I218 I220:I226 I228:I232 I240:I244 I246:I252 I255:I257 I259:I271 I289:I295 I297:I302 I304:I308 I320:I331 I344:I349 I351:I353 I355 I357:I363 I365:I367 I234:I238 I310:I315 I128:I147 I333:I342 I149:I164 I273:I279 I281:I287" xr:uid="{AD4425A4-A6FF-43DF-9693-9D433B724088}">
      <formula1>"A - Accept, M - Mitigate, U - Unknown"</formula1>
    </dataValidation>
    <dataValidation type="list" allowBlank="1" showInputMessage="1" showErrorMessage="1" sqref="F193:G201 F203:G210 F212:G218 F220:G227 F241:G244 F246:G246 F320:G331 F254:G271 F365:G367 F344:G363 F10:G21 H181 F333:G342 F229:G239 F273:G279 F281:G318 F128:G191 F24:G126" xr:uid="{1DB93B57-DED6-42D8-8A68-0FD0C3379305}">
      <formula1>"1,2,3,4,5"</formula1>
    </dataValidation>
    <dataValidation type="list" allowBlank="1" sqref="L273:L287 L220:L226 L212:L218 L228:L232 L149:L164 L117:L126 L320:L331 L166:L179 L289:L294 L191:L201 L128:L147 L203:L210 L93 L367 L63:L87 L304:L308 L234:L238 L310:L318 L355 L357:L363 L11:L21 L297:L302 L96:L115 L89:L91 L4:L8 L240:L244 L246:L252 L255:L257 L259:L271 L54:L61 L24:L52 L333:L342 L344:L349 L351:L353 L181:L189" xr:uid="{02C82539-1292-4914-995C-C320A2EE609C}">
      <formula1>"Compliant,Partial Compliance,Not Compliant,N/A,"</formula1>
    </dataValidation>
  </dataValidations>
  <hyperlinks>
    <hyperlink ref="P344" r:id="rId1" xr:uid="{27A4E2BE-FE5C-4897-851F-6DB9D60FE12A}"/>
    <hyperlink ref="P345" r:id="rId2" xr:uid="{13D1D6B7-3D40-49FB-A39A-7BE7CA308883}"/>
    <hyperlink ref="P348" r:id="rId3" xr:uid="{EC5CFF8A-FC35-4497-8E1F-4E9EB630844B}"/>
  </hyperlinks>
  <pageMargins left="0.7" right="0.7" top="0.75" bottom="0.75" header="0.3" footer="0.3"/>
  <pageSetup orientation="portrait" r:id="rId4"/>
  <legacy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0E8BD-8660-493E-9B95-89FF94034551}">
  <dimension ref="A1:I46"/>
  <sheetViews>
    <sheetView workbookViewId="0">
      <selection activeCell="B59" sqref="B59"/>
    </sheetView>
  </sheetViews>
  <sheetFormatPr defaultColWidth="8.85546875" defaultRowHeight="14.45"/>
  <cols>
    <col min="1" max="1" width="23.42578125" bestFit="1" customWidth="1"/>
    <col min="2" max="2" width="17.42578125" customWidth="1"/>
    <col min="3" max="3" width="19.42578125" customWidth="1"/>
    <col min="4" max="5" width="18.42578125" customWidth="1"/>
    <col min="6" max="6" width="7.42578125" bestFit="1" customWidth="1"/>
    <col min="7" max="7" width="30.42578125" bestFit="1" customWidth="1"/>
    <col min="8" max="8" width="5.42578125" bestFit="1" customWidth="1"/>
    <col min="9" max="9" width="19.42578125" bestFit="1" customWidth="1"/>
  </cols>
  <sheetData>
    <row r="1" spans="1:6">
      <c r="A1" t="s">
        <v>1862</v>
      </c>
      <c r="B1" t="s">
        <v>1863</v>
      </c>
      <c r="C1" t="s">
        <v>1864</v>
      </c>
      <c r="E1" t="s">
        <v>1865</v>
      </c>
    </row>
    <row r="2" spans="1:6">
      <c r="A2" s="11" t="s">
        <v>1866</v>
      </c>
      <c r="B2" t="s">
        <v>1867</v>
      </c>
      <c r="C2">
        <v>3</v>
      </c>
      <c r="E2" t="s">
        <v>1868</v>
      </c>
      <c r="F2" t="s">
        <v>1869</v>
      </c>
    </row>
    <row r="3" spans="1:6">
      <c r="A3" s="11" t="s">
        <v>1870</v>
      </c>
      <c r="B3" t="s">
        <v>1867</v>
      </c>
      <c r="C3">
        <v>2</v>
      </c>
      <c r="E3" t="s">
        <v>1871</v>
      </c>
      <c r="F3" t="s">
        <v>1867</v>
      </c>
    </row>
    <row r="4" spans="1:6">
      <c r="A4" s="11" t="s">
        <v>1872</v>
      </c>
      <c r="B4" s="12"/>
      <c r="C4" s="12"/>
      <c r="E4" t="s">
        <v>1873</v>
      </c>
      <c r="F4" t="s">
        <v>1874</v>
      </c>
    </row>
    <row r="5" spans="1:6">
      <c r="A5" t="s">
        <v>1875</v>
      </c>
      <c r="B5" t="s">
        <v>1874</v>
      </c>
      <c r="C5">
        <v>2</v>
      </c>
      <c r="E5" t="s">
        <v>1876</v>
      </c>
      <c r="F5" t="s">
        <v>1877</v>
      </c>
    </row>
    <row r="6" spans="1:6">
      <c r="A6" t="s">
        <v>1878</v>
      </c>
      <c r="B6" t="s">
        <v>1867</v>
      </c>
      <c r="C6">
        <v>2</v>
      </c>
      <c r="E6" t="s">
        <v>1879</v>
      </c>
      <c r="F6" t="s">
        <v>1880</v>
      </c>
    </row>
    <row r="7" spans="1:6">
      <c r="A7" t="s">
        <v>1873</v>
      </c>
      <c r="B7" t="s">
        <v>1874</v>
      </c>
      <c r="C7">
        <v>3</v>
      </c>
      <c r="E7" t="s">
        <v>1881</v>
      </c>
      <c r="F7" t="s">
        <v>1882</v>
      </c>
    </row>
    <row r="8" spans="1:6">
      <c r="A8" t="s">
        <v>1883</v>
      </c>
      <c r="B8" t="s">
        <v>1884</v>
      </c>
      <c r="C8">
        <v>2</v>
      </c>
      <c r="E8" t="s">
        <v>1885</v>
      </c>
      <c r="F8" t="s">
        <v>1869</v>
      </c>
    </row>
    <row r="9" spans="1:6">
      <c r="A9" s="11" t="s">
        <v>1886</v>
      </c>
      <c r="B9" s="12"/>
      <c r="C9" s="12"/>
      <c r="E9" t="s">
        <v>1887</v>
      </c>
      <c r="F9" t="s">
        <v>1888</v>
      </c>
    </row>
    <row r="10" spans="1:6">
      <c r="A10" t="s">
        <v>1875</v>
      </c>
      <c r="B10" t="s">
        <v>1889</v>
      </c>
      <c r="C10">
        <v>2</v>
      </c>
      <c r="E10" t="s">
        <v>1890</v>
      </c>
      <c r="F10" t="s">
        <v>1891</v>
      </c>
    </row>
    <row r="11" spans="1:6">
      <c r="A11" t="s">
        <v>1878</v>
      </c>
      <c r="B11" t="s">
        <v>1867</v>
      </c>
      <c r="C11">
        <v>3</v>
      </c>
      <c r="E11" t="s">
        <v>1892</v>
      </c>
      <c r="F11" t="s">
        <v>1893</v>
      </c>
    </row>
    <row r="12" spans="1:6">
      <c r="A12" t="s">
        <v>1876</v>
      </c>
      <c r="B12" t="s">
        <v>1877</v>
      </c>
      <c r="C12">
        <v>3</v>
      </c>
      <c r="E12" t="s">
        <v>1883</v>
      </c>
      <c r="F12" t="s">
        <v>1884</v>
      </c>
    </row>
    <row r="13" spans="1:6">
      <c r="A13" t="s">
        <v>1879</v>
      </c>
      <c r="B13" t="s">
        <v>1880</v>
      </c>
      <c r="C13">
        <v>4</v>
      </c>
    </row>
    <row r="14" spans="1:6">
      <c r="A14" t="s">
        <v>1881</v>
      </c>
      <c r="B14" t="s">
        <v>1882</v>
      </c>
      <c r="C14">
        <v>4</v>
      </c>
    </row>
    <row r="15" spans="1:6">
      <c r="A15" t="s">
        <v>1885</v>
      </c>
      <c r="B15" t="s">
        <v>1869</v>
      </c>
      <c r="C15">
        <v>3</v>
      </c>
    </row>
    <row r="16" spans="1:6">
      <c r="A16" t="s">
        <v>1894</v>
      </c>
      <c r="B16" t="s">
        <v>1888</v>
      </c>
      <c r="C16">
        <v>3</v>
      </c>
    </row>
    <row r="17" spans="1:9">
      <c r="A17" t="s">
        <v>1890</v>
      </c>
      <c r="B17" t="s">
        <v>1891</v>
      </c>
      <c r="C17">
        <v>3</v>
      </c>
    </row>
    <row r="18" spans="1:9">
      <c r="A18" t="s">
        <v>1895</v>
      </c>
      <c r="B18" t="s">
        <v>1884</v>
      </c>
      <c r="C18">
        <v>2</v>
      </c>
    </row>
    <row r="19" spans="1:9">
      <c r="A19" t="s">
        <v>1896</v>
      </c>
      <c r="B19" t="s">
        <v>1893</v>
      </c>
      <c r="C19">
        <v>2</v>
      </c>
    </row>
    <row r="20" spans="1:9">
      <c r="A20" t="s">
        <v>1897</v>
      </c>
      <c r="B20" t="s">
        <v>1877</v>
      </c>
      <c r="C20">
        <v>2</v>
      </c>
    </row>
    <row r="22" spans="1:9">
      <c r="C22">
        <f>SUM(C2:C20)</f>
        <v>45</v>
      </c>
    </row>
    <row r="24" spans="1:9">
      <c r="A24" t="s">
        <v>1898</v>
      </c>
      <c r="F24" s="16" t="s">
        <v>1899</v>
      </c>
      <c r="G24" s="16" t="s">
        <v>1862</v>
      </c>
      <c r="H24" s="16" t="s">
        <v>1900</v>
      </c>
      <c r="I24" s="16" t="s">
        <v>1901</v>
      </c>
    </row>
    <row r="25" spans="1:9">
      <c r="A25" t="s">
        <v>1862</v>
      </c>
      <c r="B25" t="s">
        <v>1902</v>
      </c>
      <c r="C25" t="s">
        <v>1863</v>
      </c>
      <c r="D25" t="s">
        <v>1864</v>
      </c>
      <c r="F25" s="166" t="s">
        <v>1867</v>
      </c>
      <c r="G25" s="18" t="s">
        <v>1866</v>
      </c>
      <c r="H25" s="18">
        <v>3</v>
      </c>
      <c r="I25" s="166">
        <f>SUM(H25:H28)</f>
        <v>10</v>
      </c>
    </row>
    <row r="26" spans="1:9">
      <c r="A26" s="14"/>
      <c r="B26" t="s">
        <v>1897</v>
      </c>
      <c r="C26" t="s">
        <v>1877</v>
      </c>
      <c r="D26" s="15">
        <v>2</v>
      </c>
      <c r="F26" s="167"/>
      <c r="G26" s="18" t="s">
        <v>1870</v>
      </c>
      <c r="H26" s="18">
        <v>2</v>
      </c>
      <c r="I26" s="167"/>
    </row>
    <row r="27" spans="1:9">
      <c r="A27" s="14"/>
      <c r="B27" t="s">
        <v>1896</v>
      </c>
      <c r="C27" t="s">
        <v>1893</v>
      </c>
      <c r="D27" s="15">
        <v>2</v>
      </c>
      <c r="F27" s="167"/>
      <c r="G27" s="18" t="s">
        <v>1903</v>
      </c>
      <c r="H27" s="18">
        <v>3</v>
      </c>
      <c r="I27" s="167"/>
    </row>
    <row r="28" spans="1:9">
      <c r="A28" s="14"/>
      <c r="B28" t="s">
        <v>1873</v>
      </c>
      <c r="C28" t="s">
        <v>1874</v>
      </c>
      <c r="D28" s="15">
        <v>3</v>
      </c>
      <c r="F28" s="168"/>
      <c r="G28" s="18" t="s">
        <v>1904</v>
      </c>
      <c r="H28" s="18">
        <v>2</v>
      </c>
      <c r="I28" s="168"/>
    </row>
    <row r="29" spans="1:9">
      <c r="A29" s="14" t="s">
        <v>1872</v>
      </c>
      <c r="B29" t="s">
        <v>1875</v>
      </c>
      <c r="C29" t="s">
        <v>1874</v>
      </c>
      <c r="D29" s="15">
        <v>2</v>
      </c>
      <c r="F29" s="171" t="s">
        <v>1874</v>
      </c>
      <c r="G29" s="21" t="s">
        <v>1905</v>
      </c>
      <c r="H29" s="21">
        <v>2</v>
      </c>
      <c r="I29" s="171">
        <f>SUM(H29:H31)</f>
        <v>7</v>
      </c>
    </row>
    <row r="30" spans="1:9">
      <c r="A30" s="14" t="s">
        <v>1886</v>
      </c>
      <c r="B30" t="s">
        <v>1875</v>
      </c>
      <c r="C30" t="s">
        <v>1889</v>
      </c>
      <c r="D30" s="15">
        <v>2</v>
      </c>
      <c r="F30" s="172"/>
      <c r="G30" s="20" t="s">
        <v>1906</v>
      </c>
      <c r="H30" s="20">
        <v>3</v>
      </c>
      <c r="I30" s="172"/>
    </row>
    <row r="31" spans="1:9">
      <c r="A31" s="14"/>
      <c r="B31" t="s">
        <v>1885</v>
      </c>
      <c r="C31" t="s">
        <v>1869</v>
      </c>
      <c r="D31" s="15">
        <v>3</v>
      </c>
      <c r="F31" s="173"/>
      <c r="G31" s="20" t="s">
        <v>1907</v>
      </c>
      <c r="H31" s="20">
        <v>2</v>
      </c>
      <c r="I31" s="173"/>
    </row>
    <row r="32" spans="1:9">
      <c r="A32" s="13" t="s">
        <v>1866</v>
      </c>
      <c r="B32" s="13"/>
      <c r="C32" t="s">
        <v>1867</v>
      </c>
      <c r="D32" s="15">
        <v>3</v>
      </c>
      <c r="F32" s="169" t="s">
        <v>1884</v>
      </c>
      <c r="G32" s="18" t="s">
        <v>1908</v>
      </c>
      <c r="H32" s="18">
        <v>2</v>
      </c>
      <c r="I32" s="169">
        <f>SUM(H32:H33)</f>
        <v>4</v>
      </c>
    </row>
    <row r="33" spans="1:9">
      <c r="A33" s="13" t="s">
        <v>1870</v>
      </c>
      <c r="B33" s="13"/>
      <c r="C33" t="s">
        <v>1867</v>
      </c>
      <c r="D33" s="15">
        <v>2</v>
      </c>
      <c r="F33" s="169"/>
      <c r="G33" s="18" t="s">
        <v>1909</v>
      </c>
      <c r="H33" s="18">
        <v>2</v>
      </c>
      <c r="I33" s="169"/>
    </row>
    <row r="34" spans="1:9">
      <c r="A34" s="14"/>
      <c r="B34" t="s">
        <v>1878</v>
      </c>
      <c r="C34" t="s">
        <v>1867</v>
      </c>
      <c r="D34" s="15">
        <v>2</v>
      </c>
      <c r="F34" s="170" t="s">
        <v>1877</v>
      </c>
      <c r="G34" s="20" t="s">
        <v>1910</v>
      </c>
      <c r="H34" s="20">
        <v>3</v>
      </c>
      <c r="I34" s="170">
        <f>SUM(H34:H35)</f>
        <v>5</v>
      </c>
    </row>
    <row r="35" spans="1:9" ht="14.85" customHeight="1">
      <c r="A35" s="14"/>
      <c r="B35" t="s">
        <v>1878</v>
      </c>
      <c r="C35" t="s">
        <v>1867</v>
      </c>
      <c r="D35" s="15">
        <v>3</v>
      </c>
      <c r="F35" s="170"/>
      <c r="G35" s="20" t="s">
        <v>1911</v>
      </c>
      <c r="H35" s="20">
        <v>2</v>
      </c>
      <c r="I35" s="170"/>
    </row>
    <row r="36" spans="1:9">
      <c r="A36" s="14"/>
      <c r="B36" t="s">
        <v>1881</v>
      </c>
      <c r="C36" t="s">
        <v>1882</v>
      </c>
      <c r="D36" s="15">
        <v>4</v>
      </c>
      <c r="F36" s="17" t="s">
        <v>1880</v>
      </c>
      <c r="G36" s="18" t="s">
        <v>1912</v>
      </c>
      <c r="H36" s="18">
        <v>4</v>
      </c>
      <c r="I36" s="17">
        <f t="shared" ref="I36:I41" si="0">H36</f>
        <v>4</v>
      </c>
    </row>
    <row r="37" spans="1:9">
      <c r="A37" s="14"/>
      <c r="B37" t="s">
        <v>1890</v>
      </c>
      <c r="C37" t="s">
        <v>1891</v>
      </c>
      <c r="D37" s="15">
        <v>3</v>
      </c>
      <c r="F37" s="19" t="s">
        <v>1882</v>
      </c>
      <c r="G37" s="20" t="s">
        <v>1913</v>
      </c>
      <c r="H37" s="20">
        <v>4</v>
      </c>
      <c r="I37" s="19">
        <f t="shared" si="0"/>
        <v>4</v>
      </c>
    </row>
    <row r="38" spans="1:9">
      <c r="A38" s="14"/>
      <c r="B38" t="s">
        <v>1894</v>
      </c>
      <c r="C38" t="s">
        <v>1888</v>
      </c>
      <c r="D38" s="15">
        <v>3</v>
      </c>
      <c r="F38" s="17" t="s">
        <v>1869</v>
      </c>
      <c r="G38" s="18" t="s">
        <v>1914</v>
      </c>
      <c r="H38" s="18">
        <v>3</v>
      </c>
      <c r="I38" s="17">
        <f t="shared" si="0"/>
        <v>3</v>
      </c>
    </row>
    <row r="39" spans="1:9">
      <c r="A39" s="14"/>
      <c r="B39" t="s">
        <v>1879</v>
      </c>
      <c r="C39" t="s">
        <v>1880</v>
      </c>
      <c r="D39" s="15">
        <v>4</v>
      </c>
      <c r="F39" s="19" t="s">
        <v>1915</v>
      </c>
      <c r="G39" s="20" t="s">
        <v>1916</v>
      </c>
      <c r="H39" s="20">
        <v>3</v>
      </c>
      <c r="I39" s="19">
        <f t="shared" si="0"/>
        <v>3</v>
      </c>
    </row>
    <row r="40" spans="1:9">
      <c r="A40" s="14"/>
      <c r="B40" t="s">
        <v>1883</v>
      </c>
      <c r="C40" t="s">
        <v>1884</v>
      </c>
      <c r="D40" s="15">
        <v>2</v>
      </c>
      <c r="F40" s="17" t="s">
        <v>1891</v>
      </c>
      <c r="G40" s="18" t="s">
        <v>1917</v>
      </c>
      <c r="H40" s="18">
        <v>3</v>
      </c>
      <c r="I40" s="17">
        <f t="shared" si="0"/>
        <v>3</v>
      </c>
    </row>
    <row r="41" spans="1:9">
      <c r="A41" s="14"/>
      <c r="B41" t="s">
        <v>1895</v>
      </c>
      <c r="C41" t="s">
        <v>1884</v>
      </c>
      <c r="D41" s="15">
        <v>2</v>
      </c>
      <c r="F41" s="19" t="s">
        <v>1918</v>
      </c>
      <c r="G41" s="20" t="s">
        <v>1919</v>
      </c>
      <c r="H41" s="20">
        <v>2</v>
      </c>
      <c r="I41" s="19">
        <f t="shared" si="0"/>
        <v>2</v>
      </c>
    </row>
    <row r="42" spans="1:9">
      <c r="A42" s="14"/>
      <c r="B42" t="s">
        <v>1876</v>
      </c>
      <c r="C42" t="s">
        <v>1877</v>
      </c>
      <c r="D42" s="15">
        <v>3</v>
      </c>
    </row>
    <row r="46" spans="1:9">
      <c r="D46">
        <f>SUM(D26:D42)</f>
        <v>45</v>
      </c>
    </row>
  </sheetData>
  <mergeCells count="8">
    <mergeCell ref="I25:I28"/>
    <mergeCell ref="F25:F28"/>
    <mergeCell ref="I32:I33"/>
    <mergeCell ref="I34:I35"/>
    <mergeCell ref="F32:F33"/>
    <mergeCell ref="F34:F35"/>
    <mergeCell ref="F29:F31"/>
    <mergeCell ref="I29:I3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440DC-6293-428D-9AD8-15EEDFE742AF}">
  <dimension ref="B2:J26"/>
  <sheetViews>
    <sheetView zoomScale="115" zoomScaleNormal="115" workbookViewId="0">
      <selection activeCell="M26" sqref="M26"/>
    </sheetView>
  </sheetViews>
  <sheetFormatPr defaultColWidth="8.85546875" defaultRowHeight="14.45"/>
  <cols>
    <col min="2" max="2" width="6.42578125" customWidth="1"/>
    <col min="3" max="3" width="28.42578125" bestFit="1" customWidth="1"/>
    <col min="4" max="4" width="20.42578125" bestFit="1" customWidth="1"/>
    <col min="5" max="5" width="20.42578125" customWidth="1"/>
    <col min="6" max="6" width="20.85546875" hidden="1" customWidth="1"/>
    <col min="7" max="7" width="30.28515625" hidden="1" customWidth="1"/>
    <col min="8" max="8" width="20.42578125" bestFit="1" customWidth="1"/>
  </cols>
  <sheetData>
    <row r="2" spans="2:10">
      <c r="C2" s="127" t="s">
        <v>1920</v>
      </c>
      <c r="D2" s="128" t="s">
        <v>1863</v>
      </c>
      <c r="E2" s="128" t="s">
        <v>1921</v>
      </c>
      <c r="F2" s="128" t="s">
        <v>1922</v>
      </c>
      <c r="G2" s="128" t="s">
        <v>1923</v>
      </c>
      <c r="H2" s="132" t="s">
        <v>1924</v>
      </c>
      <c r="I2" t="s">
        <v>1925</v>
      </c>
      <c r="J2" t="s">
        <v>1926</v>
      </c>
    </row>
    <row r="3" spans="2:10">
      <c r="C3" s="31" t="s">
        <v>1927</v>
      </c>
      <c r="D3" s="27" t="s">
        <v>1928</v>
      </c>
      <c r="E3" s="124" t="s">
        <v>1874</v>
      </c>
      <c r="F3" s="120">
        <v>4</v>
      </c>
      <c r="G3" s="126">
        <v>2.75</v>
      </c>
      <c r="H3" s="130">
        <v>3.5</v>
      </c>
    </row>
    <row r="4" spans="2:10">
      <c r="C4" s="32" t="s">
        <v>1929</v>
      </c>
      <c r="D4" s="28" t="s">
        <v>1928</v>
      </c>
      <c r="E4" s="10" t="s">
        <v>1874</v>
      </c>
      <c r="F4" s="121">
        <v>5</v>
      </c>
      <c r="G4" s="125">
        <v>5.5</v>
      </c>
      <c r="H4" s="131">
        <v>6</v>
      </c>
      <c r="I4" s="160">
        <v>0.4375</v>
      </c>
      <c r="J4">
        <v>1</v>
      </c>
    </row>
    <row r="5" spans="2:10">
      <c r="C5" s="32" t="s">
        <v>1930</v>
      </c>
      <c r="D5" s="29" t="s">
        <v>1931</v>
      </c>
      <c r="E5" s="10" t="s">
        <v>1867</v>
      </c>
      <c r="F5" s="121">
        <v>5</v>
      </c>
      <c r="G5" s="125">
        <v>10</v>
      </c>
      <c r="H5" s="131">
        <v>4</v>
      </c>
      <c r="I5" s="160">
        <v>0.70833333333333337</v>
      </c>
      <c r="J5">
        <v>4</v>
      </c>
    </row>
    <row r="6" spans="2:10">
      <c r="C6" s="32" t="s">
        <v>1932</v>
      </c>
      <c r="D6" s="10" t="s">
        <v>1933</v>
      </c>
      <c r="E6" s="10" t="s">
        <v>1934</v>
      </c>
      <c r="F6" s="121">
        <v>5</v>
      </c>
      <c r="G6" s="125">
        <v>3.75</v>
      </c>
      <c r="H6" s="131">
        <v>4</v>
      </c>
      <c r="J6">
        <v>3.5</v>
      </c>
    </row>
    <row r="7" spans="2:10">
      <c r="C7" s="32" t="s">
        <v>1935</v>
      </c>
      <c r="D7" s="10" t="s">
        <v>1936</v>
      </c>
      <c r="E7" s="10" t="s">
        <v>1877</v>
      </c>
      <c r="F7" s="121">
        <v>3</v>
      </c>
      <c r="G7" s="125">
        <v>2.75</v>
      </c>
      <c r="H7" s="131">
        <v>3</v>
      </c>
      <c r="J7">
        <v>3.5</v>
      </c>
    </row>
    <row r="8" spans="2:10">
      <c r="C8" s="32" t="s">
        <v>1937</v>
      </c>
      <c r="D8" s="96" t="s">
        <v>1938</v>
      </c>
      <c r="E8" s="10" t="s">
        <v>1939</v>
      </c>
      <c r="F8" s="121">
        <v>3</v>
      </c>
      <c r="G8" s="125">
        <v>2.5</v>
      </c>
      <c r="H8" s="131">
        <v>2.5</v>
      </c>
      <c r="J8">
        <v>3.75</v>
      </c>
    </row>
    <row r="9" spans="2:10">
      <c r="C9" s="32" t="s">
        <v>1940</v>
      </c>
      <c r="D9" s="28" t="s">
        <v>1928</v>
      </c>
      <c r="E9" s="10" t="s">
        <v>1874</v>
      </c>
      <c r="F9" s="121">
        <v>5</v>
      </c>
      <c r="G9" s="125">
        <v>5</v>
      </c>
      <c r="H9" s="131">
        <v>5</v>
      </c>
      <c r="J9">
        <v>5</v>
      </c>
    </row>
    <row r="10" spans="2:10">
      <c r="C10" s="32" t="s">
        <v>1941</v>
      </c>
      <c r="D10" s="29" t="s">
        <v>1931</v>
      </c>
      <c r="E10" s="10" t="s">
        <v>1867</v>
      </c>
      <c r="F10" s="121">
        <v>5</v>
      </c>
      <c r="G10" s="125" t="s">
        <v>1942</v>
      </c>
      <c r="H10" s="131">
        <v>6</v>
      </c>
      <c r="J10">
        <v>9.5</v>
      </c>
    </row>
    <row r="11" spans="2:10">
      <c r="B11" s="174" t="s">
        <v>1943</v>
      </c>
      <c r="C11" s="32" t="s">
        <v>1876</v>
      </c>
      <c r="D11" s="96" t="s">
        <v>1938</v>
      </c>
      <c r="E11" s="10" t="s">
        <v>1891</v>
      </c>
      <c r="F11" s="121">
        <v>5</v>
      </c>
      <c r="G11" s="125">
        <v>4.5</v>
      </c>
      <c r="H11" s="131">
        <v>5</v>
      </c>
      <c r="J11">
        <v>10</v>
      </c>
    </row>
    <row r="12" spans="2:10">
      <c r="B12" s="174"/>
      <c r="C12" s="32" t="s">
        <v>1881</v>
      </c>
      <c r="D12" s="10" t="s">
        <v>1944</v>
      </c>
      <c r="E12" s="10" t="s">
        <v>1945</v>
      </c>
      <c r="F12" s="121">
        <v>5</v>
      </c>
      <c r="G12" s="125">
        <v>7</v>
      </c>
      <c r="H12" s="131">
        <v>9</v>
      </c>
      <c r="J12">
        <v>10.5</v>
      </c>
    </row>
    <row r="13" spans="2:10">
      <c r="B13" s="174"/>
      <c r="C13" s="10" t="s">
        <v>1946</v>
      </c>
      <c r="D13" s="10" t="s">
        <v>1947</v>
      </c>
      <c r="E13" s="10" t="s">
        <v>1948</v>
      </c>
      <c r="F13" s="176">
        <v>5</v>
      </c>
      <c r="G13" s="125">
        <v>2</v>
      </c>
      <c r="H13" s="131">
        <v>2</v>
      </c>
    </row>
    <row r="14" spans="2:10">
      <c r="B14" s="174"/>
      <c r="C14" s="32" t="s">
        <v>1879</v>
      </c>
      <c r="D14" s="10" t="s">
        <v>1949</v>
      </c>
      <c r="E14" s="10" t="s">
        <v>1950</v>
      </c>
      <c r="F14" s="176"/>
      <c r="G14" s="125">
        <v>6</v>
      </c>
      <c r="H14" s="131">
        <v>6</v>
      </c>
      <c r="J14">
        <v>11</v>
      </c>
    </row>
    <row r="15" spans="2:10">
      <c r="B15" s="174"/>
      <c r="C15" s="32" t="s">
        <v>1885</v>
      </c>
      <c r="D15" s="10" t="s">
        <v>1951</v>
      </c>
      <c r="E15" s="10" t="s">
        <v>1948</v>
      </c>
      <c r="F15" s="121">
        <v>5</v>
      </c>
      <c r="G15" s="125">
        <v>4</v>
      </c>
      <c r="H15" s="131">
        <v>4</v>
      </c>
      <c r="J15">
        <v>10.75</v>
      </c>
    </row>
    <row r="16" spans="2:10">
      <c r="B16" s="174"/>
      <c r="C16" s="32" t="s">
        <v>1887</v>
      </c>
      <c r="D16" s="10" t="s">
        <v>1952</v>
      </c>
      <c r="E16" s="10" t="s">
        <v>1877</v>
      </c>
      <c r="F16" s="121">
        <v>4</v>
      </c>
      <c r="G16" s="125">
        <v>5.75</v>
      </c>
      <c r="H16" s="131">
        <v>6</v>
      </c>
      <c r="J16">
        <v>10.5</v>
      </c>
    </row>
    <row r="17" spans="2:10">
      <c r="B17" s="174"/>
      <c r="C17" s="32" t="s">
        <v>1890</v>
      </c>
      <c r="D17" s="10" t="s">
        <v>1953</v>
      </c>
      <c r="E17" s="10" t="s">
        <v>1891</v>
      </c>
      <c r="F17" s="121">
        <v>4</v>
      </c>
      <c r="G17" s="125">
        <v>2.75</v>
      </c>
      <c r="H17" s="131">
        <v>3</v>
      </c>
      <c r="J17">
        <v>9.75</v>
      </c>
    </row>
    <row r="18" spans="2:10" ht="14.85" customHeight="1">
      <c r="B18" s="174" t="s">
        <v>1954</v>
      </c>
      <c r="C18" s="32" t="s">
        <v>1954</v>
      </c>
      <c r="D18" s="30" t="s">
        <v>1955</v>
      </c>
      <c r="E18" s="10" t="s">
        <v>1956</v>
      </c>
      <c r="F18" s="121">
        <v>3</v>
      </c>
      <c r="G18" s="175">
        <v>3</v>
      </c>
      <c r="H18" s="177">
        <v>3.5</v>
      </c>
    </row>
    <row r="19" spans="2:10">
      <c r="B19" s="174"/>
      <c r="C19" s="32" t="s">
        <v>1957</v>
      </c>
      <c r="D19" s="30" t="s">
        <v>1955</v>
      </c>
      <c r="E19" s="10" t="s">
        <v>1956</v>
      </c>
      <c r="F19" s="121">
        <v>4</v>
      </c>
      <c r="G19" s="175"/>
      <c r="H19" s="177"/>
      <c r="J19">
        <v>9.5</v>
      </c>
    </row>
    <row r="20" spans="2:10">
      <c r="B20" s="174"/>
      <c r="C20" s="32" t="s">
        <v>1958</v>
      </c>
      <c r="D20" s="10" t="s">
        <v>1959</v>
      </c>
      <c r="E20" s="10" t="s">
        <v>1960</v>
      </c>
      <c r="F20" s="121">
        <v>4</v>
      </c>
      <c r="G20" s="125">
        <v>3.5</v>
      </c>
      <c r="H20" s="131">
        <v>4</v>
      </c>
      <c r="J20">
        <v>9.25</v>
      </c>
    </row>
    <row r="21" spans="2:10">
      <c r="B21" s="174"/>
      <c r="C21" s="32" t="s">
        <v>1961</v>
      </c>
      <c r="D21" s="10" t="s">
        <v>1962</v>
      </c>
      <c r="E21" s="10" t="s">
        <v>1963</v>
      </c>
      <c r="F21" s="121">
        <v>4</v>
      </c>
      <c r="G21" s="125">
        <v>4.5</v>
      </c>
      <c r="H21" s="131">
        <v>5</v>
      </c>
      <c r="J21">
        <v>9</v>
      </c>
    </row>
    <row r="22" spans="2:10">
      <c r="C22" s="32" t="s">
        <v>1964</v>
      </c>
      <c r="D22" s="10" t="s">
        <v>1965</v>
      </c>
      <c r="E22" s="10" t="s">
        <v>1934</v>
      </c>
      <c r="F22" s="121">
        <v>4</v>
      </c>
      <c r="G22" s="125">
        <v>1.75</v>
      </c>
      <c r="H22" s="131">
        <v>2</v>
      </c>
      <c r="J22">
        <v>9</v>
      </c>
    </row>
    <row r="23" spans="2:10">
      <c r="C23" s="32" t="s">
        <v>1966</v>
      </c>
      <c r="D23" s="10" t="s">
        <v>1967</v>
      </c>
      <c r="E23" s="10" t="s">
        <v>1968</v>
      </c>
      <c r="F23" s="121">
        <v>4</v>
      </c>
      <c r="G23" s="125">
        <v>1.75</v>
      </c>
      <c r="H23" s="131">
        <v>2</v>
      </c>
      <c r="J23">
        <v>8.5</v>
      </c>
    </row>
    <row r="24" spans="2:10">
      <c r="C24" s="32" t="s">
        <v>1969</v>
      </c>
      <c r="D24" s="29" t="s">
        <v>1931</v>
      </c>
      <c r="E24" s="136" t="s">
        <v>1867</v>
      </c>
      <c r="F24" s="123">
        <v>3</v>
      </c>
      <c r="G24" s="129">
        <v>3.5</v>
      </c>
      <c r="H24" s="135">
        <v>4</v>
      </c>
    </row>
    <row r="25" spans="2:10">
      <c r="E25" s="137" t="s">
        <v>1773</v>
      </c>
      <c r="F25" s="138">
        <f>SUM(F3:F24)</f>
        <v>89</v>
      </c>
      <c r="G25" s="134">
        <f>SUM(G3:G24)</f>
        <v>82.25</v>
      </c>
      <c r="H25" s="133">
        <f>SUM(H3:H24)</f>
        <v>89.5</v>
      </c>
    </row>
    <row r="26" spans="2:10">
      <c r="J26" t="s">
        <v>1970</v>
      </c>
    </row>
  </sheetData>
  <mergeCells count="5">
    <mergeCell ref="B11:B17"/>
    <mergeCell ref="B18:B21"/>
    <mergeCell ref="G18:G19"/>
    <mergeCell ref="F13:F14"/>
    <mergeCell ref="H18:H19"/>
  </mergeCells>
  <conditionalFormatting sqref="F25:H25">
    <cfRule type="colorScale" priority="5">
      <colorScale>
        <cfvo type="num" val="0"/>
        <cfvo type="num" val="90"/>
        <cfvo type="num" val="100"/>
        <color theme="9" tint="0.39997558519241921"/>
        <color theme="0"/>
        <color rgb="FFF8696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fddea37-9a81-40be-be52-43bc8c450325" xsi:nil="true"/>
    <lcf76f155ced4ddcb4097134ff3c332f xmlns="712454dd-5204-4a53-9b93-2190bcc5a4d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F367FFA6CE6AF44BB5A0A799E41418A" ma:contentTypeVersion="12" ma:contentTypeDescription="Create a new document." ma:contentTypeScope="" ma:versionID="83cc124f6000d822cd079a44e519a831">
  <xsd:schema xmlns:xsd="http://www.w3.org/2001/XMLSchema" xmlns:xs="http://www.w3.org/2001/XMLSchema" xmlns:p="http://schemas.microsoft.com/office/2006/metadata/properties" xmlns:ns2="712454dd-5204-4a53-9b93-2190bcc5a4da" xmlns:ns3="9fddea37-9a81-40be-be52-43bc8c450325" targetNamespace="http://schemas.microsoft.com/office/2006/metadata/properties" ma:root="true" ma:fieldsID="ad97862aef4f64f9b2a8b3fd2392599d" ns2:_="" ns3:_="">
    <xsd:import namespace="712454dd-5204-4a53-9b93-2190bcc5a4da"/>
    <xsd:import namespace="9fddea37-9a81-40be-be52-43bc8c4503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2454dd-5204-4a53-9b93-2190bcc5a4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b8ed7cba-b263-44e1-aaea-116db9091a5a"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fddea37-9a81-40be-be52-43bc8c45032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03b27e4-fcd5-41c3-bf5d-5ad76d556dcf}" ma:internalName="TaxCatchAll" ma:showField="CatchAllData" ma:web="9fddea37-9a81-40be-be52-43bc8c45032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EAB466-ED65-49E3-80A4-C90F176AE0DE}"/>
</file>

<file path=customXml/itemProps2.xml><?xml version="1.0" encoding="utf-8"?>
<ds:datastoreItem xmlns:ds="http://schemas.openxmlformats.org/officeDocument/2006/customXml" ds:itemID="{EAA91959-5A8C-4E0F-8339-BAD716440BD0}"/>
</file>

<file path=customXml/itemProps3.xml><?xml version="1.0" encoding="utf-8"?>
<ds:datastoreItem xmlns:ds="http://schemas.openxmlformats.org/officeDocument/2006/customXml" ds:itemID="{4B53B2AF-03D5-4670-8667-6BF27584AA09}"/>
</file>

<file path=docMetadata/LabelInfo.xml><?xml version="1.0" encoding="utf-8"?>
<clbl:labelList xmlns:clbl="http://schemas.microsoft.com/office/2020/mipLabelMetadata">
  <clbl:label id="{d9a2fa71-d67d-4cb6-b541-06ccaa8013fb}" enabled="0" method="" siteId="{d9a2fa71-d67d-4cb6-b541-06ccaa8013f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Bailey Walke</dc:creator>
  <cp:keywords/>
  <dc:description/>
  <cp:lastModifiedBy/>
  <cp:revision/>
  <dcterms:created xsi:type="dcterms:W3CDTF">2025-03-31T15:51:47Z</dcterms:created>
  <dcterms:modified xsi:type="dcterms:W3CDTF">2026-01-25T06:29:32Z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0x0101004F367FFA6CE6AF44BB5A0A799E41418A</vt:lpwstr>
  </property>
  <property fmtid="{D5CDD505-2E9C-101B-9397-08002B2CF9AE}" pid="3" name="MediaServiceImageTags">
    <vt:lpwstr/>
  </property>
</Properties>
</file>
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ksuemailprod.sharepoint.com/sites/CubeSatTechnicalDesign/Shared Documents/General/"/>
    </mc:Choice>
  </mc:AlternateContent>
  <xr:revisionPtr revIDLastSave="0" documentId="8_{1F3A8C2F-EF71-4A58-9F85-9668E2638C0E}" xr6:coauthVersionLast="47" xr6:coauthVersionMax="47" xr10:uidLastSave="{00000000-0000-0000-0000-000000000000}"/>
  <bookViews>
    <workbookView xWindow="-108" yWindow="-108" windowWidth="23256" windowHeight="14616" xr2:uid="{2362951A-6033-4A74-ADB9-7200C5CA7720}"/>
  </bookViews>
  <sheets>
    <sheet name="PHAT-Sat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6" i="1" l="1"/>
  <c r="D272" i="1"/>
  <c r="C287" i="1"/>
  <c r="C311" i="1"/>
  <c r="C309" i="1"/>
  <c r="C304" i="1"/>
  <c r="C301" i="1"/>
  <c r="C300" i="1"/>
  <c r="C299" i="1"/>
  <c r="C298" i="1"/>
  <c r="C297" i="1"/>
  <c r="C294" i="1"/>
  <c r="C291" i="1"/>
  <c r="C310" i="1"/>
  <c r="C308" i="1"/>
  <c r="C307" i="1"/>
  <c r="C306" i="1"/>
  <c r="C305" i="1"/>
  <c r="H304" i="1" s="1"/>
  <c r="C303" i="1"/>
  <c r="C302" i="1"/>
  <c r="C296" i="1"/>
  <c r="C295" i="1"/>
  <c r="C293" i="1"/>
  <c r="C292" i="1"/>
  <c r="H16" i="1"/>
  <c r="H17" i="1"/>
  <c r="H18" i="1"/>
  <c r="H13" i="1"/>
  <c r="H14" i="1"/>
  <c r="H15" i="1"/>
  <c r="C290" i="1"/>
  <c r="C288" i="1"/>
  <c r="C289" i="1"/>
  <c r="H41" i="1"/>
  <c r="H42" i="1"/>
  <c r="H43" i="1"/>
  <c r="H44" i="1"/>
  <c r="H45" i="1"/>
  <c r="H46" i="1"/>
  <c r="H47" i="1"/>
  <c r="H48" i="1"/>
  <c r="H49" i="1"/>
  <c r="H50" i="1"/>
  <c r="H51" i="1"/>
  <c r="H52" i="1"/>
  <c r="H53" i="1"/>
  <c r="H54" i="1"/>
  <c r="H55" i="1"/>
  <c r="H56" i="1"/>
  <c r="H57" i="1"/>
  <c r="H58" i="1"/>
  <c r="H59" i="1"/>
  <c r="H60" i="1"/>
  <c r="H61" i="1"/>
  <c r="H62" i="1"/>
  <c r="H36" i="1"/>
  <c r="H37" i="1"/>
  <c r="H38" i="1"/>
  <c r="H35" i="1"/>
  <c r="H165" i="1"/>
  <c r="H162" i="1"/>
  <c r="H90" i="1"/>
  <c r="H303" i="1" l="1"/>
  <c r="C312" i="1"/>
  <c r="H302" i="1"/>
  <c r="H258" i="1"/>
  <c r="D278" i="1" l="1"/>
  <c r="D277" i="1"/>
  <c r="D276" i="1"/>
  <c r="H73" i="1"/>
  <c r="H74" i="1"/>
  <c r="H75" i="1"/>
  <c r="H76" i="1"/>
  <c r="H77" i="1"/>
  <c r="H30" i="1"/>
  <c r="H89" i="1" l="1"/>
  <c r="H79" i="1"/>
  <c r="H80" i="1"/>
  <c r="H81" i="1"/>
  <c r="H82" i="1"/>
  <c r="H83" i="1"/>
  <c r="H84" i="1"/>
  <c r="H85" i="1"/>
  <c r="H86" i="1"/>
  <c r="H87" i="1"/>
  <c r="H88" i="1"/>
  <c r="H23" i="1"/>
  <c r="H24" i="1"/>
  <c r="H25" i="1"/>
  <c r="H26" i="1"/>
  <c r="H202" i="1"/>
  <c r="H252" i="1"/>
  <c r="H251" i="1"/>
  <c r="H250" i="1"/>
  <c r="H249" i="1"/>
  <c r="H248" i="1"/>
  <c r="H247" i="1"/>
  <c r="H133" i="1"/>
  <c r="H134" i="1"/>
  <c r="H135" i="1"/>
  <c r="H143" i="1"/>
  <c r="H144" i="1"/>
  <c r="H145" i="1"/>
  <c r="H146" i="1"/>
  <c r="H156" i="1"/>
  <c r="H155" i="1"/>
  <c r="H157" i="1"/>
  <c r="H158" i="1"/>
  <c r="H260" i="1" l="1"/>
  <c r="H257" i="1"/>
  <c r="H256" i="1"/>
  <c r="H255" i="1"/>
  <c r="H254" i="1"/>
  <c r="H245" i="1"/>
  <c r="H244" i="1"/>
  <c r="H243" i="1"/>
  <c r="H242" i="1"/>
  <c r="H241" i="1"/>
  <c r="H239" i="1"/>
  <c r="H238" i="1"/>
  <c r="H277" i="1" s="1"/>
  <c r="H237" i="1"/>
  <c r="H236" i="1"/>
  <c r="H235" i="1"/>
  <c r="H234" i="1"/>
  <c r="H233" i="1"/>
  <c r="H232" i="1"/>
  <c r="H230" i="1"/>
  <c r="H229" i="1"/>
  <c r="H228" i="1"/>
  <c r="H227" i="1"/>
  <c r="H226" i="1"/>
  <c r="H225" i="1"/>
  <c r="H224" i="1"/>
  <c r="H222" i="1"/>
  <c r="H221" i="1"/>
  <c r="H220" i="1"/>
  <c r="H219" i="1"/>
  <c r="H218" i="1"/>
  <c r="H217" i="1"/>
  <c r="H216" i="1"/>
  <c r="H215" i="1"/>
  <c r="H213" i="1"/>
  <c r="H212" i="1"/>
  <c r="H211" i="1"/>
  <c r="H210" i="1"/>
  <c r="H209" i="1"/>
  <c r="H208" i="1"/>
  <c r="H207" i="1"/>
  <c r="H206" i="1"/>
  <c r="H205" i="1"/>
  <c r="H203" i="1"/>
  <c r="H201" i="1"/>
  <c r="H200" i="1"/>
  <c r="H199" i="1"/>
  <c r="H198" i="1"/>
  <c r="H197" i="1"/>
  <c r="H196" i="1"/>
  <c r="H195" i="1"/>
  <c r="H194" i="1"/>
  <c r="H192" i="1"/>
  <c r="H191" i="1"/>
  <c r="H190" i="1"/>
  <c r="H189" i="1"/>
  <c r="H188" i="1"/>
  <c r="H187" i="1"/>
  <c r="H186" i="1"/>
  <c r="H185" i="1"/>
  <c r="H184" i="1"/>
  <c r="H183" i="1"/>
  <c r="H182" i="1"/>
  <c r="H181" i="1"/>
  <c r="H180" i="1"/>
  <c r="H179" i="1"/>
  <c r="H178" i="1"/>
  <c r="H177" i="1"/>
  <c r="H176" i="1"/>
  <c r="H174" i="1"/>
  <c r="H173" i="1"/>
  <c r="H172" i="1"/>
  <c r="H171" i="1"/>
  <c r="H170" i="1"/>
  <c r="H169" i="1"/>
  <c r="H168" i="1"/>
  <c r="H167" i="1"/>
  <c r="H166" i="1"/>
  <c r="H164" i="1"/>
  <c r="H163" i="1"/>
  <c r="H161" i="1"/>
  <c r="H160" i="1"/>
  <c r="H154" i="1"/>
  <c r="H153" i="1"/>
  <c r="H152" i="1"/>
  <c r="H151" i="1"/>
  <c r="H150" i="1"/>
  <c r="H149" i="1"/>
  <c r="H148" i="1"/>
  <c r="H147" i="1"/>
  <c r="H142" i="1"/>
  <c r="H141" i="1"/>
  <c r="H140" i="1"/>
  <c r="H139" i="1"/>
  <c r="H138" i="1"/>
  <c r="H137" i="1"/>
  <c r="H136" i="1"/>
  <c r="H132" i="1"/>
  <c r="H131" i="1"/>
  <c r="H129" i="1"/>
  <c r="H128" i="1"/>
  <c r="H127" i="1"/>
  <c r="H126" i="1"/>
  <c r="H125" i="1"/>
  <c r="H124" i="1"/>
  <c r="H123" i="1"/>
  <c r="H122" i="1"/>
  <c r="H121" i="1"/>
  <c r="H120" i="1"/>
  <c r="H117" i="1"/>
  <c r="H116" i="1"/>
  <c r="H115" i="1"/>
  <c r="H114" i="1"/>
  <c r="H113" i="1"/>
  <c r="H112" i="1"/>
  <c r="H111" i="1"/>
  <c r="H110" i="1"/>
  <c r="H109" i="1"/>
  <c r="H108" i="1"/>
  <c r="H107" i="1"/>
  <c r="H106" i="1"/>
  <c r="H105" i="1"/>
  <c r="H104" i="1"/>
  <c r="H103" i="1"/>
  <c r="H102" i="1"/>
  <c r="H101" i="1"/>
  <c r="H100" i="1"/>
  <c r="H99" i="1"/>
  <c r="H96" i="1"/>
  <c r="H94" i="1"/>
  <c r="H93" i="1"/>
  <c r="H92" i="1"/>
  <c r="H78" i="1"/>
  <c r="H72" i="1"/>
  <c r="H71" i="1"/>
  <c r="H70" i="1"/>
  <c r="H68" i="1"/>
  <c r="H67" i="1"/>
  <c r="H66" i="1"/>
  <c r="H65" i="1"/>
  <c r="H22" i="1"/>
  <c r="H40" i="1"/>
  <c r="H39" i="1"/>
  <c r="H33" i="1"/>
  <c r="H34" i="1"/>
  <c r="H32" i="1"/>
  <c r="H31" i="1"/>
  <c r="H29" i="1"/>
  <c r="H28" i="1"/>
  <c r="H27" i="1"/>
  <c r="H12" i="1"/>
  <c r="H11" i="1"/>
  <c r="H10" i="1"/>
  <c r="H275" i="1" s="1"/>
  <c r="H271" i="1" l="1"/>
  <c r="H272" i="1"/>
  <c r="H273" i="1"/>
  <c r="H295" i="1"/>
  <c r="H281" i="1"/>
  <c r="H283" i="1"/>
  <c r="H288" i="1"/>
  <c r="H291" i="1"/>
  <c r="H294" i="1"/>
  <c r="H274" i="1"/>
  <c r="H296" i="1"/>
  <c r="H276" i="1"/>
  <c r="H286" i="1"/>
  <c r="H289" i="1"/>
  <c r="H292" i="1"/>
  <c r="H278" i="1"/>
  <c r="H279" i="1"/>
  <c r="H280" i="1"/>
  <c r="H282" i="1"/>
  <c r="H287" i="1"/>
  <c r="H290" i="1"/>
  <c r="H293" i="1"/>
  <c r="H284" i="1"/>
  <c r="H285" i="1"/>
  <c r="H297" i="1" l="1"/>
  <c r="D274" i="1" l="1"/>
  <c r="D273" i="1"/>
  <c r="F297" i="1"/>
  <c r="D27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tc={BCAEE6A7-4F20-44C4-B16F-4BEFF69AF420}</author>
    <author>Paul Snider</author>
    <author>tc={858FD2B2-7DB0-4EF7-B176-B5EFC69D25EF}</author>
    <author>tc={5DAF075A-F94E-413E-A716-635D6C7B606F}</author>
    <author>tc={EF71210C-A6E6-401E-B4F7-18A4DA210C26}</author>
    <author>tc={042034E9-93AE-4ABF-9B9D-7CBCCA72D802}</author>
    <author>tc={E4A9E5C3-FF43-4923-908F-9A750DAEC08D}</author>
    <author>tc={EF43B7A2-5CE1-4403-9A9F-E60C5ABFE932}</author>
    <author>tc={9F76BBAE-51A7-4C53-B066-2946E7A98257}</author>
    <author>tc={2E80D1BE-3AF6-4779-8D60-296D6447DA71}</author>
  </authors>
  <commentList>
    <comment ref="A21" authorId="0" shapeId="0" xr:uid="{BCAEE6A7-4F20-44C4-B16F-4BEFF69AF42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Need Satellite level SWAP requirements.
Reply:
    @Bailey Walke 
Need requirements for contamination control and cleanliness. Below are some examples from UNP Mission Concept Ussr Guide.
The flight hardware shall be maintained in a class 100,000 level or better facility as defined in FED-STD-209E.
All flight hardware shall be maintained at the Visibly Clean (VC) level (free from manufacturing residue, dirt, oil, grease, processing debris, or other visible particulate when inspected with the unaided or corrected-vision eye).
</t>
      </text>
    </comment>
    <comment ref="L48" authorId="1" shapeId="0" xr:uid="{027079D9-9D1C-4140-97A0-914C917C1F69}">
      <text>
        <r>
          <rPr>
            <b/>
            <sz val="9"/>
            <color indexed="81"/>
            <rFont val="Tahoma"/>
            <family val="2"/>
          </rPr>
          <t>Paul Snider:</t>
        </r>
        <r>
          <rPr>
            <sz val="9"/>
            <color indexed="81"/>
            <rFont val="Tahoma"/>
            <family val="2"/>
          </rPr>
          <t xml:space="preserve">
Analysis and Test</t>
        </r>
      </text>
    </comment>
    <comment ref="A64" authorId="2" shapeId="0" xr:uid="{858FD2B2-7DB0-4EF7-B176-B5EFC69D25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@Phillip Shirkey 
Consider approaching level 2 for the payload as:
The Payload System shall consist of the primary imaging payload, the hosted neutron detector, and the hosted thermoelectric generator payload. (Level 3 will define the requirements for each of these individually).
The imaging payload shall interface to the bus mechanically, electrically and thermally.
The neutron detector shall interface to the bus mechanically, electrically and thermally.
The TEG shall interface to the solar array (I believe) mechanically, electrically and thermally.
(Level 3 will define the mechanical, electrical and thermal requirements for each of these individually).</t>
      </text>
    </comment>
    <comment ref="A69" authorId="3" shapeId="0" xr:uid="{5DAF075A-F94E-413E-A716-635D6C7B60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@Colby Johnston 
Need Bus weight and power requirements.</t>
      </text>
    </comment>
    <comment ref="L70" authorId="1" shapeId="0" xr:uid="{D4E6F243-E945-4BD1-A1BD-902D84A52456}">
      <text>
        <r>
          <rPr>
            <b/>
            <sz val="9"/>
            <color indexed="81"/>
            <rFont val="Tahoma"/>
            <family val="2"/>
          </rPr>
          <t>Paul Snider:</t>
        </r>
        <r>
          <rPr>
            <sz val="9"/>
            <color indexed="81"/>
            <rFont val="Tahoma"/>
            <family val="2"/>
          </rPr>
          <t xml:space="preserve">
D</t>
        </r>
      </text>
    </comment>
    <comment ref="L71" authorId="1" shapeId="0" xr:uid="{B8A69FDA-ED27-4814-9A6B-B0A1B29B9AC6}">
      <text>
        <r>
          <rPr>
            <b/>
            <sz val="9"/>
            <color indexed="81"/>
            <rFont val="Tahoma"/>
            <family val="2"/>
          </rPr>
          <t>Paul Snider:</t>
        </r>
        <r>
          <rPr>
            <sz val="9"/>
            <color indexed="81"/>
            <rFont val="Tahoma"/>
            <family val="2"/>
          </rPr>
          <t xml:space="preserve">
Analysis of fields of view</t>
        </r>
      </text>
    </comment>
    <comment ref="L73" authorId="1" shapeId="0" xr:uid="{B27FE40F-1677-4DE0-A1D0-25854B1AFE4F}">
      <text>
        <r>
          <rPr>
            <b/>
            <sz val="9"/>
            <color indexed="81"/>
            <rFont val="Tahoma"/>
            <family val="2"/>
          </rPr>
          <t>Paul Snider:</t>
        </r>
        <r>
          <rPr>
            <sz val="9"/>
            <color indexed="81"/>
            <rFont val="Tahoma"/>
            <family val="2"/>
          </rPr>
          <t xml:space="preserve">
I</t>
        </r>
      </text>
    </comment>
    <comment ref="L74" authorId="1" shapeId="0" xr:uid="{56D5778D-4513-4451-9682-2D4ACE6952A2}">
      <text>
        <r>
          <rPr>
            <b/>
            <sz val="9"/>
            <color indexed="81"/>
            <rFont val="Tahoma"/>
            <family val="2"/>
          </rPr>
          <t>Paul Snider:</t>
        </r>
        <r>
          <rPr>
            <sz val="9"/>
            <color indexed="81"/>
            <rFont val="Tahoma"/>
            <family val="2"/>
          </rPr>
          <t xml:space="preserve">
I</t>
        </r>
      </text>
    </comment>
    <comment ref="L76" authorId="1" shapeId="0" xr:uid="{5467ADC6-3354-4E1A-837A-A9AAF0EA722D}">
      <text>
        <r>
          <rPr>
            <b/>
            <sz val="9"/>
            <color indexed="81"/>
            <rFont val="Tahoma"/>
            <family val="2"/>
          </rPr>
          <t>Paul Snider:</t>
        </r>
        <r>
          <rPr>
            <sz val="9"/>
            <color indexed="81"/>
            <rFont val="Tahoma"/>
            <family val="2"/>
          </rPr>
          <t xml:space="preserve">
Analysis and Test</t>
        </r>
      </text>
    </comment>
    <comment ref="M87" authorId="1" shapeId="0" xr:uid="{1C9633CE-301B-4FAD-A904-722D590A12A6}">
      <text>
        <r>
          <rPr>
            <b/>
            <sz val="9"/>
            <color indexed="81"/>
            <rFont val="Tahoma"/>
            <family val="2"/>
          </rPr>
          <t>Paul Snider:</t>
        </r>
        <r>
          <rPr>
            <sz val="9"/>
            <color indexed="81"/>
            <rFont val="Tahoma"/>
            <family val="2"/>
          </rPr>
          <t xml:space="preserve">
And Analysis of independence too.</t>
        </r>
      </text>
    </comment>
    <comment ref="L89" authorId="1" shapeId="0" xr:uid="{F057E28D-1A4A-478A-A376-33B6CB09099D}">
      <text>
        <r>
          <rPr>
            <b/>
            <sz val="9"/>
            <color indexed="81"/>
            <rFont val="Tahoma"/>
            <family val="2"/>
          </rPr>
          <t>Paul Snider:</t>
        </r>
        <r>
          <rPr>
            <sz val="9"/>
            <color indexed="81"/>
            <rFont val="Tahoma"/>
            <family val="2"/>
          </rPr>
          <t xml:space="preserve">
And Test</t>
        </r>
      </text>
    </comment>
    <comment ref="A91" authorId="4" shapeId="0" xr:uid="{EF71210C-A6E6-401E-B4F7-18A4DA210C2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
      </text>
    </comment>
    <comment ref="A119" authorId="5" shapeId="0" xr:uid="{042034E9-93AE-4ABF-9B9D-7CBCCA72D802}">
      <text>
        <t>[Threaded comment]
Your version of Excel allows you to read this threaded comment; however, any edits to it will get removed if the file is opened in a newer version of Excel. Learn more: https://go.microsoft.com/fwlink/?linkid=870924
Comment:
    @Phillip Shirkey , @Colby Johnston, @Derek Rephlo 
Need level 3 requirements for the neutron detector and TEG. A couple of these are in 2.2.</t>
      </text>
    </comment>
    <comment ref="A166" authorId="6" shapeId="0" xr:uid="{E4A9E5C3-FF43-4923-908F-9A750DAEC0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@Logan Hayward @Colby Johnston 
The interface requirements with the other subsystems should be in the Level 2 Bus Requirements.
Need requirement(s) for the communications bus(es) (how data from payloads and subsystems moves around the bus).
Need requirements for the uplink and downklink transmission data rates.</t>
      </text>
    </comment>
    <comment ref="A175" authorId="7" shapeId="0" xr:uid="{EF43B7A2-5CE1-4403-9A9F-E60C5ABFE9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@Michael Bennett 
Need requirements for solar array power and area.
Need requirements for separation sense to power on after deployment.
Need requirements for battery and solar array arming/shorting plugs.
Need requirements for install and remove before flight electrical items.</t>
      </text>
    </comment>
    <comment ref="A204" authorId="8" shapeId="0" xr:uid="{9F76BBAE-51A7-4C53-B066-2946E7A9825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 Kessinger 
Word structure requirements as shall statements, not will and should statements to enforce verification of the requirements. Will and should statements are goals and not subject to verification.</t>
      </text>
    </comment>
    <comment ref="A214" authorId="9" shapeId="0" xr:uid="{2E80D1BE-3AF6-4779-8D60-296D6447DA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@Derek Rephlo 
Word thermal requirements as shall statements, not will and should statements to enforce verification of the requirements. Will and should statements are goals and not subject to verification.</t>
      </text>
    </comment>
  </commentList>
</comments>
</file>

<file path=xl/sharedStrings.xml><?xml version="1.0" encoding="utf-8"?>
<sst xmlns="http://schemas.openxmlformats.org/spreadsheetml/2006/main" count="1942" uniqueCount="1321">
  <si>
    <t>PHAT-SAT REQUIREMENTS VERIFICATION MATRIX</t>
  </si>
  <si>
    <t>Req. ID</t>
  </si>
  <si>
    <t>Title</t>
  </si>
  <si>
    <t xml:space="preserve">Requirement </t>
  </si>
  <si>
    <t>Rationale</t>
  </si>
  <si>
    <t>Parent Requirement</t>
  </si>
  <si>
    <t>Impact</t>
  </si>
  <si>
    <t>Probability</t>
  </si>
  <si>
    <t>Risk Score</t>
  </si>
  <si>
    <t>Required Value</t>
  </si>
  <si>
    <t>Expected Value</t>
  </si>
  <si>
    <t>Status</t>
  </si>
  <si>
    <t>Verification Method</t>
  </si>
  <si>
    <t xml:space="preserve">Verification Method Description  </t>
  </si>
  <si>
    <t xml:space="preserve">Approver Initial &amp; Date Verified </t>
  </si>
  <si>
    <t>Comments</t>
  </si>
  <si>
    <t>Memo Link</t>
  </si>
  <si>
    <t>MISSION OBJECTIVES: Qualitative Mission-Level</t>
  </si>
  <si>
    <t>PHAT-MO-01</t>
  </si>
  <si>
    <t>Design, Build, and Launch a Cube-Sat</t>
  </si>
  <si>
    <t>PHAT-Sat will provide an opportunity for K-State students to successfully design, build, test and launch a CubeSat, from the mission development stage through the launch and mission operations.</t>
  </si>
  <si>
    <t>NASA SO 4.1, 4.3</t>
  </si>
  <si>
    <t>N/A</t>
  </si>
  <si>
    <t>D</t>
  </si>
  <si>
    <t>Demonstrate that the built and tested CubeSat is operating as intended within the given mission parameters.</t>
  </si>
  <si>
    <t>PHAT-MO-02</t>
  </si>
  <si>
    <t>Agricultural Vegetation Health Sensing</t>
  </si>
  <si>
    <t>PHAT-Sat will use remote sensing to study vegetation health for agricultural purposes and related industries.</t>
  </si>
  <si>
    <t>NASA SO 1.1, 1.3</t>
  </si>
  <si>
    <t xml:space="preserve">Demonstarte that PHAT-Sat is cappable of collecting vegetation health data </t>
  </si>
  <si>
    <t>PHAT-MO-03</t>
  </si>
  <si>
    <t>Develop SmallSat Technology Capabilities</t>
  </si>
  <si>
    <t>PHAT-Sat will provide an opportunity to develop small scale technologies for spacecraft.</t>
  </si>
  <si>
    <t>NASA SO 2.3, 3.1</t>
  </si>
  <si>
    <t>Demonstrate the PHAT-Sat program has created opportunites to develop small scale spacecraft and components.</t>
  </si>
  <si>
    <t>PHAT-MO-04</t>
  </si>
  <si>
    <t>STEM Engagement and Outreach</t>
  </si>
  <si>
    <t>PHAT-Sat will provide educational value to the general public on CubeSats and the satellite design and mission cycle, as well as agricultural efficency and farm resource management.</t>
  </si>
  <si>
    <t>NASA SO 1.3, 4.1, 4.3</t>
  </si>
  <si>
    <t>Demonstrate that presentations and outreach programs have been completed and attempt to quantify an increase in public visibility/understanding.</t>
  </si>
  <si>
    <t>PHAT-SAT LEVEL 1 REQUIREMENTS: Quantitative Mission-Level</t>
  </si>
  <si>
    <t>PHAT-1.01</t>
  </si>
  <si>
    <t>Vegetation Index Accuracy</t>
  </si>
  <si>
    <t>PHAT-Sat shall produce relevent vegetation indicies with a relative accuracy of +/- x%.</t>
  </si>
  <si>
    <t>PHAT-Sat's main deliverable is producing accurate and applicable agricultural data.</t>
  </si>
  <si>
    <t>T</t>
  </si>
  <si>
    <t>Test the sensors and make sure they produce vegetation data with a relative accuracy of +/-x%</t>
  </si>
  <si>
    <t>PHAT-1.02</t>
  </si>
  <si>
    <t>Vegetation Data Collection</t>
  </si>
  <si>
    <t>PHAT-Sat shall provide useful and analysis-ready informational data on vegetation health in the region of interest.</t>
  </si>
  <si>
    <t>A &amp; D</t>
  </si>
  <si>
    <t>Analyze what regions PHAT-Sat is able to collect vegetation health data from and demonstrate that PHAT-Sat is able to deliver the vegetation health data from the desired region</t>
  </si>
  <si>
    <t>PHAT-1.03</t>
  </si>
  <si>
    <t>Operational Integration and Success</t>
  </si>
  <si>
    <t>PHAT-Sat shall have a fully operational mission lifetime of at least 24 months, with all payloads supported by a satellite bus system.</t>
  </si>
  <si>
    <t>&gt; 2 years</t>
  </si>
  <si>
    <t>&gt; 3 years</t>
  </si>
  <si>
    <t>A</t>
  </si>
  <si>
    <t>Analyze all PHAT-Sat components and determine the projected mission lifetime</t>
  </si>
  <si>
    <t>PHAT-1.06</t>
  </si>
  <si>
    <t>Operational Optimization</t>
  </si>
  <si>
    <t>PHAT-Sat shall optimize operational success and efficency in terms of volume, power usage, data accuracy, and data processing.</t>
  </si>
  <si>
    <t>Components shall meet the needs of the mission and provide at least the minimum required functionality to sucessfully support and complete it</t>
  </si>
  <si>
    <t>Test components such that the data type and quality is satifcatory for a successful mission while using the least resources possible.</t>
  </si>
  <si>
    <t>PHAT-1.07</t>
  </si>
  <si>
    <t>Low Cost Spacecraft</t>
  </si>
  <si>
    <t>PHAT-Sat component choices shall be evaluated for cost in addition to their needed/wanted technical capabilities</t>
  </si>
  <si>
    <t>Components shall meet the needs of the mission and cost-benefit analyses shall be performed for any additional capabilities</t>
  </si>
  <si>
    <t>Analyze the cost of each component and perform a cost-benefit analysis</t>
  </si>
  <si>
    <t>PHAT-1.08</t>
  </si>
  <si>
    <t>Launch Survivability</t>
  </si>
  <si>
    <t xml:space="preserve">All components and systems of PHAT-Sat shall be capable of surviving the conditions present in travel from K-State to the launch provider, while waiting integration, during integration with the launch vehicle, and during launch up until release into its final orbit. </t>
  </si>
  <si>
    <t>The satellite and its components must conform to the needed testing standards to ensure survival during transport from K-State up until release into orbit</t>
  </si>
  <si>
    <t>Test satellite and its components to the standards set to mimic launch environment and ensure that the satellite and system survive undamaged</t>
  </si>
  <si>
    <t>PHAT-1.09</t>
  </si>
  <si>
    <t>Space Environment Survivability</t>
  </si>
  <si>
    <t>All components and systems of PHAT-Sat shall be capable of surviving the space environment at the selected orbit and altitude.</t>
  </si>
  <si>
    <t>The satellite and its components must be capable of surviving the environmental factors in space (vacuum, outgassing, temperature, radiation, etc.)</t>
  </si>
  <si>
    <t>T &amp; A</t>
  </si>
  <si>
    <t>Analyze all components for PHAT-Sat in a simulated environment and test to see if any failures occur</t>
  </si>
  <si>
    <t>PHAT-1.10</t>
  </si>
  <si>
    <t>System Compliance</t>
  </si>
  <si>
    <t>Payload, bus, and ground station(s) shall be compliant with applicable guidelines from necessary governing bodies.</t>
  </si>
  <si>
    <t>Satellite meets all requirements on things like manufacturing standards, testing standards, data transfer, export control, etc.</t>
  </si>
  <si>
    <t>Demonstrate that satellite and components meet guidelines set by governing organizations.</t>
  </si>
  <si>
    <t>PHAT-1.11</t>
  </si>
  <si>
    <t>Satellite Guidelines</t>
  </si>
  <si>
    <t>PHAT-Sat should be designed to meet the requirements specified in Caly Poly CubeSat Design Specifications (CP-CDS-R14.1) and University NanoSat Program Satellite Development Guidelines (EXTDOC-315).</t>
  </si>
  <si>
    <t>Majority of successful CubeSat missions follow these guidelines/best practices.  If it aint broke</t>
  </si>
  <si>
    <t>Demonstrate that the design of PHAT-Sat meets all specifications</t>
  </si>
  <si>
    <t>PHAT-SAT LEVEL 2 REQUIREMENTS: System-Level</t>
  </si>
  <si>
    <t>2.1 Satellite Requirements</t>
  </si>
  <si>
    <t>SYS-2.01</t>
  </si>
  <si>
    <t>Satellite SWaP-C</t>
  </si>
  <si>
    <t>PHAT-Sat shall meet mission requirements for size, weight, power, and cost.</t>
  </si>
  <si>
    <t>Flow-up and flow-down overall requirements.</t>
  </si>
  <si>
    <t>PHAT-1.07, PHAT-1.10</t>
  </si>
  <si>
    <t>YES</t>
  </si>
  <si>
    <t>Demonstrate that all satellite parameters conform to the set mission requirements for size, weight, power, and cost</t>
  </si>
  <si>
    <t>SYS-2.01a</t>
  </si>
  <si>
    <t>Size</t>
  </si>
  <si>
    <t>PHAT-Sat shall require 3U or less in volume, not including the "tuna can" volume.</t>
  </si>
  <si>
    <t>Comply with launch company.</t>
  </si>
  <si>
    <t>&lt;=3U</t>
  </si>
  <si>
    <t>=3U</t>
  </si>
  <si>
    <t>A &amp; I</t>
  </si>
  <si>
    <t>Analyze how much space PHAT-Sat will take up and Inspect that it takes up 3U or less space</t>
  </si>
  <si>
    <t>SYS-2.01b</t>
  </si>
  <si>
    <t>Weight</t>
  </si>
  <si>
    <t>PhAT-Sat shall weigh x kg or less.</t>
  </si>
  <si>
    <t>Comply with CubeSat launch standards.</t>
  </si>
  <si>
    <t>&lt;x kg</t>
  </si>
  <si>
    <t>&lt;y kg</t>
  </si>
  <si>
    <t>Analyze how much each component weighs and the total weaight of the satelite and inspect that PHAT-Sat weighs "x"kg or less</t>
  </si>
  <si>
    <t>SYS-2.01c</t>
  </si>
  <si>
    <t>Power</t>
  </si>
  <si>
    <t>PHAT-Sat shall produce X watts of power.</t>
  </si>
  <si>
    <t>The numeric requirement flows up from EPD, not down from mission requirements.</t>
  </si>
  <si>
    <t>&gt;X watts</t>
  </si>
  <si>
    <t>&gt;Y watts</t>
  </si>
  <si>
    <t>Demonstrate that PHAT-Sat can produce "x" watts of power</t>
  </si>
  <si>
    <t>SYS-2.01d</t>
  </si>
  <si>
    <t>Cost</t>
  </si>
  <si>
    <t>PHAT-Sat shall cost less than $X.</t>
  </si>
  <si>
    <t>Comply with budget constraints.</t>
  </si>
  <si>
    <t>&lt;$x</t>
  </si>
  <si>
    <t>&lt;$y</t>
  </si>
  <si>
    <t>Analyze the cost of all PHAT-Sat components and demonstrate that it does not cost more than $X</t>
  </si>
  <si>
    <t>SYS-2.02</t>
  </si>
  <si>
    <t>Orbital Parameters</t>
  </si>
  <si>
    <t>PHAT-Sat shall have a circular, sun-syncronous orbit at an altitude of 500 km and with an LTAN between 10:00 and 15:00.</t>
  </si>
  <si>
    <t>This orbit will allow us to gather data for all stakeholders in the region of interest during the daylight. Furthermore, this orbit allows us sufficient ground station access.</t>
  </si>
  <si>
    <t> Demonstrate that the orbit variables fall into the pre-determined range of orbit parameters</t>
  </si>
  <si>
    <t>SYS-2.02a</t>
  </si>
  <si>
    <t>Minimum Altitude</t>
  </si>
  <si>
    <t>PHAT-Sat shall not have an initial altitude lower than 475 km.</t>
  </si>
  <si>
    <t>To ensure imager performs within spec</t>
  </si>
  <si>
    <t> D</t>
  </si>
  <si>
    <t> Demonstrate after launch that PHAT-Sat has an initial altitude above 475km</t>
  </si>
  <si>
    <t>SYS-2.02b</t>
  </si>
  <si>
    <t>Maximum Altitude</t>
  </si>
  <si>
    <t>PHAT-Sat shall not have an initial altitude higher than 515 km.</t>
  </si>
  <si>
    <t>Demonstarte that PHAT-Sat has an initial altitude below 515 km</t>
  </si>
  <si>
    <t>SYS-2.02c</t>
  </si>
  <si>
    <t>Deorbit Time</t>
  </si>
  <si>
    <t>PHAT-Sat shall deorbit within 25 years of entering orbit.</t>
  </si>
  <si>
    <t>Per NASA requirement</t>
  </si>
  <si>
    <t>&lt;25 years</t>
  </si>
  <si>
    <t>Analyze orbits and find one that will allow PHAT-Sat to deorbit within 25 years</t>
  </si>
  <si>
    <t>SYS-2.03</t>
  </si>
  <si>
    <t>Spatial Resolution</t>
  </si>
  <si>
    <t>The system shall map radiance of selected wavelengths of region of interest with a resolution of &lt;/= 50 m/pixel.</t>
  </si>
  <si>
    <t>PLD requirements with critical inputs from satellite system.</t>
  </si>
  <si>
    <t xml:space="preserve">PHAT-1.01, PHAT-1.02, </t>
  </si>
  <si>
    <t>&lt;=50 m/pixel</t>
  </si>
  <si>
    <t>&lt;=5 m/pixel</t>
  </si>
  <si>
    <t xml:space="preserve">Demonstrate that the system can map areas of interest with a resolution of &lt;/= 50  m/pixel </t>
  </si>
  <si>
    <t>SYS-2.04</t>
  </si>
  <si>
    <t>Target Size</t>
  </si>
  <si>
    <t>The system shall have a spatially resolved target size of X km x X km.</t>
  </si>
  <si>
    <t>Demonstrate the system has a spatial resolved target size of X km by X km</t>
  </si>
  <si>
    <t>SYS-2.05</t>
  </si>
  <si>
    <t>Image Collection Range</t>
  </si>
  <si>
    <t>The system shall be able to collect imager data over the [specified] region.</t>
  </si>
  <si>
    <t xml:space="preserve">Demonstrate that the system is able to collect data over [specified area] </t>
  </si>
  <si>
    <t>SYS-2.06</t>
  </si>
  <si>
    <t>Time Trace</t>
  </si>
  <si>
    <t>Images downlinked by PHAT-Sat shall include precise time and date data.</t>
  </si>
  <si>
    <t> T</t>
  </si>
  <si>
    <t> Test that time and data are recieved from PHAT-Sat when downlinked</t>
  </si>
  <si>
    <t>SYS-2.07</t>
  </si>
  <si>
    <t>Location Trace</t>
  </si>
  <si>
    <t xml:space="preserve">PHAT-Sat latitude and longitude shall be known within "x" degree of certainty </t>
  </si>
  <si>
    <t xml:space="preserve"> Test that the Lat/Long are within the necessary degree of certainty </t>
  </si>
  <si>
    <t>SYS-2.08</t>
  </si>
  <si>
    <t>Data Anomalies</t>
  </si>
  <si>
    <t>PHAT-Sat shall detect short timescale variations in vegetation indicies in the region of interest.</t>
  </si>
  <si>
    <t xml:space="preserve">Test PHAT-Sat to see if it detects small timescale variations in vegetation indicies </t>
  </si>
  <si>
    <t>SYS-2.09</t>
  </si>
  <si>
    <t>Data Timeliness</t>
  </si>
  <si>
    <t>Interpreted data shall be provided to end user within 'X' hours.</t>
  </si>
  <si>
    <t>The overall system is able to downlink and interpret data that is useful to the stakeholders and distribute it within a certain time.</t>
  </si>
  <si>
    <t>Demonstarte that data is recieved by end user within "x" hours</t>
  </si>
  <si>
    <t>SYS-2.10</t>
  </si>
  <si>
    <t>Mission Lifetime</t>
  </si>
  <si>
    <t>PHAT-Sat shall function for 2 years under all mission requirements.</t>
  </si>
  <si>
    <t>Flows from mission requirements.</t>
  </si>
  <si>
    <t>PHAT-1.01, PHAT-1.02, PHAT-1.03</t>
  </si>
  <si>
    <t> D &amp; A</t>
  </si>
  <si>
    <t> Analyze the reliability of the system in a similated environment software package and demonstrate that PHAT-Sat is fully operational and able to support payload for at least 2 years</t>
  </si>
  <si>
    <t>SYS-2.11</t>
  </si>
  <si>
    <t>Operational Modes</t>
  </si>
  <si>
    <t>Cubesat shall utilize operational modes to optimize power usage and data storage.</t>
  </si>
  <si>
    <t>The satellite will experience high activity periods while imaging and downlinking data, then lower activity levels during data processing/idle periods.</t>
  </si>
  <si>
    <t>PHAT-1.03, PHAT-1.06</t>
  </si>
  <si>
    <t> Test that the satellite enters its respective modes when perfoming different tasks such as data transfer, idling, etc.</t>
  </si>
  <si>
    <t>SYS-2.12</t>
  </si>
  <si>
    <t>System Monitoring</t>
  </si>
  <si>
    <t>PHAT-Sat shall monitor all subsystems and payloads to ensure they are nominally operational at all modes of operation.</t>
  </si>
  <si>
    <t>Housekeeping data - infomation used to support the mission itself (SME).</t>
  </si>
  <si>
    <t> Demonstrate system monitoring processes functionality before and after launch</t>
  </si>
  <si>
    <t>SYS-2.13</t>
  </si>
  <si>
    <t>Space-Rated Components</t>
  </si>
  <si>
    <t>PHAT-Sat shall consist of components rated for space environments and proven to be space worthy for at least "X" months.</t>
  </si>
  <si>
    <t>"X" defined as Mission Life * FOS</t>
  </si>
  <si>
    <t>PHAT-1.03, PHAT-1.08, PHAT-1.09</t>
  </si>
  <si>
    <t> Demonstrate that all components are rated for space environments and analyze how long components are space worthy for</t>
  </si>
  <si>
    <t>SYS-2.14</t>
  </si>
  <si>
    <t>Data Interpretation</t>
  </si>
  <si>
    <t>PHAT-Sat's payload readings and locational/time trace readings shall be correctly correlated and packaged for downlinking.</t>
  </si>
  <si>
    <t xml:space="preserve">Demonstrate that PHAT-Sat's payload readings and location/time trace readings are correctly packaged and downlinked </t>
  </si>
  <si>
    <t>SYS-2.16</t>
  </si>
  <si>
    <t>Bus Preparation</t>
  </si>
  <si>
    <t>PHAT-Sat shall have means of testing, preparing, and protecting the satellite, it's systems, and it's components up until launch.</t>
  </si>
  <si>
    <t>The bus must handle pre-flight testing, charging, system safety, and other preparation leading up to launch</t>
  </si>
  <si>
    <t>PHAT-1.10, PHAT-1.11</t>
  </si>
  <si>
    <t> Demonstrate that the sattelite bus has survived all pre-flight tesing and preparations.</t>
  </si>
  <si>
    <t>SYS-2.17</t>
  </si>
  <si>
    <t>Hardware Cleanliness</t>
  </si>
  <si>
    <t>All flight hardware shall be maintained at the Visibly Clean (VC) level (free from manufacturing residue, dirt, oil, grease, processing debris, or other visible particulate when inspected with the unaided or corrected-vision eye).</t>
  </si>
  <si>
    <t>UNP11-81</t>
  </si>
  <si>
    <t>I</t>
  </si>
  <si>
    <t> Inspect parts visually to verifu that they meet the VC standard of cleanliness.</t>
  </si>
  <si>
    <t>SYS-2.18</t>
  </si>
  <si>
    <t>Facility Cleanliness</t>
  </si>
  <si>
    <t>The flight hardware shall be maintained in a class 100,000 level or better facility as defined in FED-STD-209E.</t>
  </si>
  <si>
    <t>UNP11-80</t>
  </si>
  <si>
    <t> Inspect facilities periodically to ensure that they meet clenliness standards.</t>
  </si>
  <si>
    <t>SYS-2.19</t>
  </si>
  <si>
    <t>Space Environment</t>
  </si>
  <si>
    <t>All components of system shall withstand LEO space enviornment and remain fully operational throughout mission life cycle.</t>
  </si>
  <si>
    <t xml:space="preserve"> </t>
  </si>
  <si>
    <t xml:space="preserve">PHAT-1.03, PHAT-1.09 </t>
  </si>
  <si>
    <t>SYS-2.19a</t>
  </si>
  <si>
    <t>Radiation</t>
  </si>
  <si>
    <t>PHAT-Sat shall endure "x" krad of radiation over the mission lifetime.</t>
  </si>
  <si>
    <t>Environmental hazard independent of mission.</t>
  </si>
  <si>
    <t xml:space="preserve">PHAT-1.09 </t>
  </si>
  <si>
    <t>Analyze the materials chosen using a simulated software environment to determine the bus can withstand the required radiation dose for mission life.</t>
  </si>
  <si>
    <t>SYS-2.19b</t>
  </si>
  <si>
    <t>Temperature</t>
  </si>
  <si>
    <t>PHAT-Sat shall function in the thermal environment of its orbital path.</t>
  </si>
  <si>
    <t>A &amp; T</t>
  </si>
  <si>
    <t> Analyze bus and components to confirm they are able operate between "x" and "y" degrees celsius, and test the system to verify.</t>
  </si>
  <si>
    <t>SYS-2.19c</t>
  </si>
  <si>
    <t>Space Debris</t>
  </si>
  <si>
    <t>PHAT-Sat shall avoid or mitigate [expected] debris in the orbital path.</t>
  </si>
  <si>
    <t> Analyse mission design and compare design to NPR 8715.6</t>
  </si>
  <si>
    <t>SYS-2.19d</t>
  </si>
  <si>
    <t>Electromagnetic</t>
  </si>
  <si>
    <t>PHAT-Sat shall mitigate surface static charging and exposure to high-energy ions.</t>
  </si>
  <si>
    <t>A&amp;T</t>
  </si>
  <si>
    <t>Analyze material and construction of surface to ensure static charge dissipation. Test in high-static environment</t>
  </si>
  <si>
    <t>SYS-2.19e</t>
  </si>
  <si>
    <t>Atmospheric</t>
  </si>
  <si>
    <t>PHAT-Sat shall endure altitude and material degradation due to atomic oxygen and other atmospheric molecules.</t>
  </si>
  <si>
    <t>Demonstrate that PHAT-Sat is able to withstand degredation caused by atmospheric molecules</t>
  </si>
  <si>
    <t>SYS-2.20</t>
  </si>
  <si>
    <t>Launch Environment</t>
  </si>
  <si>
    <t>Satellite must be able to withstand the launch environment and comply with provider standards.</t>
  </si>
  <si>
    <t>Satellite must survive launch in order to achieve mission objectives.</t>
  </si>
  <si>
    <t xml:space="preserve">PHAT-1.03, PHAT-1.08 </t>
  </si>
  <si>
    <t>Demonstrate that PHAT-Sat is able to withstand launch environment and comly with provider standards</t>
  </si>
  <si>
    <t>SYS-2.20a</t>
  </si>
  <si>
    <t>Shock &amp; Vibrations​</t>
  </si>
  <si>
    <t>Satellite must survive shock and general vibrations of launch and deployment.</t>
  </si>
  <si>
    <t>Depends on launch vehicle.</t>
  </si>
  <si>
    <t>T &amp; D</t>
  </si>
  <si>
    <t>Test that PHAT-Sat against vibrations similar to launch environment and demonstarte that it is able to withstand those vibrations</t>
  </si>
  <si>
    <t>SYS-2.20b</t>
  </si>
  <si>
    <t>Lateral and Axial Acceleration​</t>
  </si>
  <si>
    <t>Satellite must survive acceleration loads from launch vehicle.</t>
  </si>
  <si>
    <t xml:space="preserve">Analyze the structure of the satellite when subjected to launch forces in a simulated environment. </t>
  </si>
  <si>
    <t>SYS-2.20c</t>
  </si>
  <si>
    <t>Electromagnetic Compatibility​</t>
  </si>
  <si>
    <t>Satellite must be grounded and electrically integrated with the launch vehicle.</t>
  </si>
  <si>
    <t>Depends on integration and dispenser.</t>
  </si>
  <si>
    <t>Analyze PHAT-Sat and launch vehicle to detrmine how they will be integrated into one another and demonstrate that PHAT-Sat and launch vehicle are grounded and electically integrated</t>
  </si>
  <si>
    <t>SYS-2.20d</t>
  </si>
  <si>
    <t>Ascent Venting​</t>
  </si>
  <si>
    <t>Satellite must safely depressurize from atmospheric pressure to vacuum in 2 minutes.</t>
  </si>
  <si>
    <t>Standard for orbital flight.</t>
  </si>
  <si>
    <t>Demonstrate that PHAT-Sat can be safely depresurized from atmospheric pressure to vacuum in 2 minutes</t>
  </si>
  <si>
    <t>SYS-2.20e</t>
  </si>
  <si>
    <t>Other Deployment Constraints</t>
  </si>
  <si>
    <t>Satellite must comply with launch, dispenser, and integration provider standards.</t>
  </si>
  <si>
    <t>Required for placement on flight manifest.</t>
  </si>
  <si>
    <t>Demonstrate that PHAT-Sat complies with launch, dispenser, and integration provider standards</t>
  </si>
  <si>
    <t>SYS-2.21</t>
  </si>
  <si>
    <t>Orbital Debris</t>
  </si>
  <si>
    <t>PHAT-Sat mission design, including orbital parameters, shall be in accordance with NPR 8715.6 to limit orbital debris.</t>
  </si>
  <si>
    <t>CDS-2.4.3</t>
  </si>
  <si>
    <t xml:space="preserve">PHAT-1.10, PHAT-1.11 </t>
  </si>
  <si>
    <t>SYS-2.22</t>
  </si>
  <si>
    <t>Satellite Passive Magnetic Field</t>
  </si>
  <si>
    <t>The magnetic field of any passive magnets shall be limited to 0.5 Gauss above Earth's magnetic field, outside of PHAT-Sat's static envelope.</t>
  </si>
  <si>
    <t>CDS-2.1.8</t>
  </si>
  <si>
    <t> Demonstrate that the passive magnetic feild is above 0.5 Gauss</t>
  </si>
  <si>
    <t>SYS-2.23</t>
  </si>
  <si>
    <t>Satellite Powered Systems Before Ejection</t>
  </si>
  <si>
    <t>All of PHAT-Sat's powered system shall be at a "POWER OFF" state from the time of delivery to the launch vehicle through on-orbit deployment. Powered-ON battery protection circuitry is allowed per CDS-2.3.6</t>
  </si>
  <si>
    <t>CDS-2.3.1</t>
  </si>
  <si>
    <t>D &amp; A</t>
  </si>
  <si>
    <t> Demonstrate the power off pre-launch state, and test with a vibration test to simulate launch up to deployment.</t>
  </si>
  <si>
    <t>SYS-2.24</t>
  </si>
  <si>
    <t>Satellite Center of Gravity Range</t>
  </si>
  <si>
    <t>PHAT-Sat shall have a center of gravity within range specified by CP-CDS-R14.1 Table 2.</t>
  </si>
  <si>
    <t>CDS-2.2.11</t>
  </si>
  <si>
    <t> A</t>
  </si>
  <si>
    <t> Analyze PHAT-Sat's center of gravity using software (SolidWorks) and verify it is within specified range.</t>
  </si>
  <si>
    <t>SYS-2.25</t>
  </si>
  <si>
    <t>Launch Vehicle Compliance</t>
  </si>
  <si>
    <t>PHAT-Sat System shall be compliant with selected launch provider dispenser system and regiulations</t>
  </si>
  <si>
    <t>Demonstrate the PHAT-Sat System shall be compliant with selected launch provider dispenser system and regiulations</t>
  </si>
  <si>
    <t>2.2 Payload Requirements</t>
  </si>
  <si>
    <t>PL-2.01</t>
  </si>
  <si>
    <t>Payload System Scope</t>
  </si>
  <si>
    <t>The Payload System shall consist of the imaging payload.</t>
  </si>
  <si>
    <t xml:space="preserve">This is the definition of our payload scope. </t>
  </si>
  <si>
    <t>YES/NO</t>
  </si>
  <si>
    <t>Demonstrate that the imaging payload is present in the system.</t>
  </si>
  <si>
    <t>PL-2.02</t>
  </si>
  <si>
    <t>Imaging Payload</t>
  </si>
  <si>
    <t>The imager shall interface to the bus mechanically, electrically and thermally.</t>
  </si>
  <si>
    <t>This payload must be integrated with and supported by the satellite bus.</t>
  </si>
  <si>
    <t>Demonstrate that the imaging payload interfaces to the bus mechanically, electrically and thermally.</t>
  </si>
  <si>
    <t>PL-2.03</t>
  </si>
  <si>
    <t>Imaging frequency</t>
  </si>
  <si>
    <t>The CubeSat shall acquire hyperspectral imagery covering the entire state of Kansas at least once every X days.</t>
  </si>
  <si>
    <t>Ensures timely and frequent data collection for monitoring crop health and detecting anomalies.</t>
  </si>
  <si>
    <t>Analyze what spectrums the payload can collect data in and demonstrate that it can collect data in the 400nm-860nm range</t>
  </si>
  <si>
    <t>PL-2.04</t>
  </si>
  <si>
    <t>Vegetation index frequency</t>
  </si>
  <si>
    <t>The Payload shall generate imagery products suitable for computing vegetation indices such as NDVI and EVI for all major Kansas crop regions.</t>
  </si>
  <si>
    <t>Enables creation of crop health maps meanifull to end users</t>
  </si>
  <si>
    <t>Analyze nominal orbit attitude and demonstrate that the payload can acheive a ground sample distance ≤ 30 m</t>
  </si>
  <si>
    <t>2.3 Bus Requirements</t>
  </si>
  <si>
    <t>BUS-2.01</t>
  </si>
  <si>
    <t>Bus System Purpose</t>
  </si>
  <si>
    <t>PHAT-Sat bus systems shall support payload needs, and integrate payload systems and bus subsystems.</t>
  </si>
  <si>
    <t xml:space="preserve">The bus must possess the capabiliies needed to enable effective mission execution without infringing on other systems. </t>
  </si>
  <si>
    <t> Demonstrate that the PHAT-Sat satellite bus supports all payload needs and mission directives</t>
  </si>
  <si>
    <t>BUS-2.02</t>
  </si>
  <si>
    <t>Bus System Hosting</t>
  </si>
  <si>
    <t>PHAT-Sat bus subsystems shall not obfuscate payload systems or other bus subsystems.</t>
  </si>
  <si>
    <t>The bus must not block or otherwise hinder the measurements and operation of any instruments, sensors, or systems.</t>
  </si>
  <si>
    <t xml:space="preserve"> Analyze field of view of sensors and verify that bus housing does not obstruct sensor </t>
  </si>
  <si>
    <t>BUS-2.03</t>
  </si>
  <si>
    <t>Bus Subsystems</t>
  </si>
  <si>
    <t>PHAT-Sat bus shall consist of the following subsystems: Attitude Determination and Control (ADCS), Communication and Data Handling (C&amp;DH), Electrical Power Distribution (EPD), Flight Software (FSW), Structure, and Thermal.</t>
  </si>
  <si>
    <t>These systems are critical to maintaining operations in space.</t>
  </si>
  <si>
    <t>PHAT-1.03, PHAT-1.05</t>
  </si>
  <si>
    <t>Demonstrate that the ADCS, C&amp;DH, EPD, and FSW subsystems are present and functioning as intended.</t>
  </si>
  <si>
    <t>BUS-2.04a</t>
  </si>
  <si>
    <t>Bus System Size</t>
  </si>
  <si>
    <t>BUS subsystems must use less than "x" U of the satellite.</t>
  </si>
  <si>
    <t>Overall SWAP requirements</t>
  </si>
  <si>
    <t> Inspect the electronic bus systems of the satellite and verify they occupy less than "x" U of the satellite's total size.</t>
  </si>
  <si>
    <t>BUS-2.04b</t>
  </si>
  <si>
    <t>Bus System Weight</t>
  </si>
  <si>
    <t>BUS shall weigh less than "x" kg.</t>
  </si>
  <si>
    <t> Inspect and confirm that the weight of the bus is no greater than "x" kg on a  scale</t>
  </si>
  <si>
    <t>BUS-2.04c</t>
  </si>
  <si>
    <t>Bus System Power</t>
  </si>
  <si>
    <t>BUS shall provide "x" W of power.</t>
  </si>
  <si>
    <t>Analyze bus system in simulation to verify that the bus system onboard the satellite can supply the required power and test using a power meter.</t>
  </si>
  <si>
    <t>BUS-2.04d</t>
  </si>
  <si>
    <t>Bus System Thermal Range</t>
  </si>
  <si>
    <t>BUS shall be able to operate between "x" and "y" degrees Celsius.</t>
  </si>
  <si>
    <t>Overall temperature range, components can be stricter but not looser</t>
  </si>
  <si>
    <t>PHAT-1.08, PHAT-1.09, PHAT-1.11</t>
  </si>
  <si>
    <t>BUS-2.04e</t>
  </si>
  <si>
    <t>Bus System Radiation Hardness</t>
  </si>
  <si>
    <t>BUS shall be able to endure "x" krad of radiation over the mission lifetime.</t>
  </si>
  <si>
    <t>Overall radiation exposure, components can be stricter but not looser</t>
  </si>
  <si>
    <t>PHAT-1.09, PHAT-1.11</t>
  </si>
  <si>
    <t>BUS-2.04f</t>
  </si>
  <si>
    <t>Bus System Attitude Control</t>
  </si>
  <si>
    <t>BUS shall be able to maintain attitude control within "x" ranges [need help with definition of what ranges and the values]</t>
  </si>
  <si>
    <t>Overall attitude control, components can be stricter but not looser</t>
  </si>
  <si>
    <t>PHAT-1.01, PHAT-1.02, PHAT-1.05</t>
  </si>
  <si>
    <t> Demonstrate that the BUS can provide "x" watts, "x" kbps, and operate between "x" and "y" degrees Celsius.</t>
  </si>
  <si>
    <t>BUS-2.05</t>
  </si>
  <si>
    <t>Satellite Communication</t>
  </si>
  <si>
    <t>BUS shall be able to communicate with the ground station. Communciation includes recieving uplinked commands and downlinking relavent science data and health beacons.</t>
  </si>
  <si>
    <t>The bus must be able to uplink/downlink with ground station.</t>
  </si>
  <si>
    <t xml:space="preserve">PHAT-1.03, PHAT-1.05, PHAT-1.10, </t>
  </si>
  <si>
    <t>Demonstrate that the system communicatino bus is able to connect to a ground station and downlink/uplink data packets.</t>
  </si>
  <si>
    <t>BUS-2.06</t>
  </si>
  <si>
    <t>Missed Pass Storage/Downlink</t>
  </si>
  <si>
    <t>BUS shall be capable of storing and downlinking data for up to "X" missed passes for redundancy.</t>
  </si>
  <si>
    <t>Data reduncdacy, "X" driven by CoNops, Link budget, stakeholders</t>
  </si>
  <si>
    <t xml:space="preserve">PHAT-1.03, PHAT-1.09, </t>
  </si>
  <si>
    <t> T &amp; D</t>
  </si>
  <si>
    <t> Test how many missed pass data sets can be stored and demonstrate that this number meets or exceeds the required amount</t>
  </si>
  <si>
    <t>BUS-2.07</t>
  </si>
  <si>
    <t>Deployable/Dispenser Independence</t>
  </si>
  <si>
    <t>Deployables shall be constrained by the CubeSat, not the dispenser.</t>
  </si>
  <si>
    <t>CDS-2.2.4, Requirement of most launch providers.</t>
  </si>
  <si>
    <t>PHAT-1.08, PHAT-1.11, SYS-2.25</t>
  </si>
  <si>
    <t>Demonstrate that any deployable devices are contained/controlled by the satellite itself and are not dependent upon an external container.</t>
  </si>
  <si>
    <t>BUS-2.08</t>
  </si>
  <si>
    <t>Deployable Inhibitors</t>
  </si>
  <si>
    <t>PHAT-Sat shall have at least three independent inhibits to prohibit the inadvertent release of any deployable structures.</t>
  </si>
  <si>
    <t>CDS-2.3.8, Redundacy/risk reduction</t>
  </si>
  <si>
    <t>D &amp; I</t>
  </si>
  <si>
    <t xml:space="preserve"> Demonstarte that there are at least three inhibits and inspect that all three inhibits are functioning as desired before launch </t>
  </si>
  <si>
    <t>BUS-2.09</t>
  </si>
  <si>
    <t>Deployable Before Ejection</t>
  </si>
  <si>
    <t>All parts shall remain attached to PHAT-Sat during launch, ejection, and operation.</t>
  </si>
  <si>
    <t>CDS-2.1.1, Requirement of most launch providers.</t>
  </si>
  <si>
    <t xml:space="preserve">Demonstrate that all deployable components are still attatched and retained to the satellite before intended deployment. </t>
  </si>
  <si>
    <t>BUS-2.10</t>
  </si>
  <si>
    <t>RF Transmission Inhibitors</t>
  </si>
  <si>
    <t>PHAT-Sat shall have at least three independent RF inhibits to prohibit inadvertent RF transmission.</t>
  </si>
  <si>
    <t>CDS-2.3.7, Redundacy/risk reduction</t>
  </si>
  <si>
    <t>PHAT-1.08, PHAT-1.10, PHAT-1.11, SYS-2.25</t>
  </si>
  <si>
    <t>Test the transmission inhibitors with a variety of attempted transmissions to ensure that they block RF signals being sent before it is convenient/safe to do so.</t>
  </si>
  <si>
    <t>BUS-2.11</t>
  </si>
  <si>
    <t>Deployables After Ejection</t>
  </si>
  <si>
    <t>All deployables shall wait to deploy a minimum of 30 minutes after PHAT-Sat's deployment switch(es) are activated during dispenser ejection.</t>
  </si>
  <si>
    <t>CDS-2.4.4, Requirement of most launch providers.</t>
  </si>
  <si>
    <t>PHAT-1.10, PHAT-1.11, SYS-2.25</t>
  </si>
  <si>
    <t>Test that, after artificially tripping the satellites displenser ejection switches are tripped, the satellite waits at least 30 minutes to trigger deployables.</t>
  </si>
  <si>
    <t>BUS-2.12</t>
  </si>
  <si>
    <t>Signal Transmission After Ejection</t>
  </si>
  <si>
    <t>PHAT-Sat shall not generate or transmit a signal earlier than 45 minutes after on-orbit deployment.</t>
  </si>
  <si>
    <t>CDS-2.4.5, Requirement of most launch providers. **Not including power. Can be powered immediately after dispensing</t>
  </si>
  <si>
    <t> Test PHAT-Sat systems to ensure that signals will not be sent or transmitted before we desire them to do so</t>
  </si>
  <si>
    <t>BUS-2.13</t>
  </si>
  <si>
    <t>Inhibit Independence</t>
  </si>
  <si>
    <t>All designed inhibits shall be independent.</t>
  </si>
  <si>
    <t>UNP11-45</t>
  </si>
  <si>
    <t>PHAT-1.11, SYS-2.25</t>
  </si>
  <si>
    <t>Analyze bus inhibits to determine that none of the designed system inhibits affect one another and in any way and test with artificual scenarios.</t>
  </si>
  <si>
    <t>BUS-2.14</t>
  </si>
  <si>
    <t>Acceleration Loading</t>
  </si>
  <si>
    <t>The CubeSat shall be designed for quasi-static loading of 30g acceleration applied independently in each primary axis.</t>
  </si>
  <si>
    <t>UNP-11-3</t>
  </si>
  <si>
    <t> T &amp; A</t>
  </si>
  <si>
    <t> Test that loading occurs independently for each axis and is capable of handling 30g acceleration</t>
  </si>
  <si>
    <t>BUS-2.15</t>
  </si>
  <si>
    <t>Shock Loading</t>
  </si>
  <si>
    <t>The CubeSat should be designed to withstand the launch vehicle vibroacoustic environment of 15 GRMS for one minute in each axis.</t>
  </si>
  <si>
    <t>UNP11-4</t>
  </si>
  <si>
    <t>Analyze the satellite frame and components in a simulated environment (FEA, MatLab, etc) to determine the satellite can withstand G-force loadings and then test to confirm.</t>
  </si>
  <si>
    <t>BUS-2.16</t>
  </si>
  <si>
    <t>Geographical Awareness</t>
  </si>
  <si>
    <t xml:space="preserve">BUS shall know where it is pointing using lat/long information and satellite orientation without ground station input within "X" times our GSD. </t>
  </si>
  <si>
    <t>To capture only important/relevant data (e.g., only of Kansas and not of Texas or South Dakota) the bus must know (with FSW using GNSS and satellite angular data) what it is pointing at on the Earth</t>
  </si>
  <si>
    <t>&gt;"X"</t>
  </si>
  <si>
    <t>"Y"</t>
  </si>
  <si>
    <t>Analyze the resolution of the attitude determination system against GSD such that the bus can determine orientation without GS input. Test in orbit.</t>
  </si>
  <si>
    <t>2.4 Ground Station Requirements</t>
  </si>
  <si>
    <t>GS-2.01</t>
  </si>
  <si>
    <t>Communication</t>
  </si>
  <si>
    <t>PHAT-Sat shall be able to communicate with a ground station. For telemmetry, tracking, and command Phat-Sat shall operate between (430-440 MHz) range which falls in the UHF band spectrum. PHAT-Sat shall be able to operate between (8-12 GHz) X-Band range ro downlink payload data to ground station.</t>
  </si>
  <si>
    <t>The ground system must send commands and uplink/downlink telemmetry and payload data from PHAT-Sat.</t>
  </si>
  <si>
    <t>PHAT-1.05</t>
  </si>
  <si>
    <t>Demonstrate that the ground station is able to communicate with a PHAT-Sat over specified bands</t>
  </si>
  <si>
    <t>GS-2.02</t>
  </si>
  <si>
    <t>Tracking</t>
  </si>
  <si>
    <t>PHAT-Sat shall be tracked by the ground station within a 1-5% pointing accuracy.</t>
  </si>
  <si>
    <t>The ground system must be able to track PHAT-Sat</t>
  </si>
  <si>
    <t>Demonstrate that the poisition of the satellite can be tracked with a  sufficient degree of accuracy.</t>
  </si>
  <si>
    <t>GS-2.03</t>
  </si>
  <si>
    <t>Mission Data</t>
  </si>
  <si>
    <t>PHAT-Sat shall interface with mission data users.</t>
  </si>
  <si>
    <t>PHAT-1.02, PHAT-1.05</t>
  </si>
  <si>
    <t>Demonstrate that PHAT-Sat can interface with mission data users</t>
  </si>
  <si>
    <t>2.5 Ground Support Equipment Requirements</t>
  </si>
  <si>
    <t>GSE-2.01</t>
  </si>
  <si>
    <t>Testing</t>
  </si>
  <si>
    <t>Ground support equipment will be able to accurately test the power, communication, thermal, and mechanical capabilities of the satellite</t>
  </si>
  <si>
    <t>Testing is crucial to determining the launch readiness and capabilities of PHAT-Sat</t>
  </si>
  <si>
    <t xml:space="preserve">Test that all tesing equipment for GSE is able to test the satellite to the required level necessary for all systems to be considered fully verified. </t>
  </si>
  <si>
    <t>PHAT-SAT LEVEL 3 REQUIREMENTS: Subsystem-Level</t>
  </si>
  <si>
    <t>3.1 Satellite Requirements</t>
  </si>
  <si>
    <t>SYS-3.01</t>
  </si>
  <si>
    <t>ADCS-Structure Integration</t>
  </si>
  <si>
    <t>ADCS system hardware shall securely attach to the PHAT-Sat structure and occupy "x"U of space.</t>
  </si>
  <si>
    <t xml:space="preserve">It has to be compatable with PHAT-Sat structure, and the smaller it can be, the better for accomodating other systems and the payload(s). </t>
  </si>
  <si>
    <t>BUS-2.01, BUS-2.02, SYS-2.20a, SYS-2.20b, SYS-2.24</t>
  </si>
  <si>
    <t>Analyze the space available in PHAT-Sat structure and how small we can make ADCS system hardware and hardware attachments. Demonstrate that all ADCS system hardware fits wthin the specified amount of space</t>
  </si>
  <si>
    <t>SYS-3.02</t>
  </si>
  <si>
    <t>ADCS-Comms Integration</t>
  </si>
  <si>
    <t xml:space="preserve">ADCS shall provide information on PHAT-Sat attitude and adjustments for transmittal, as requested.  </t>
  </si>
  <si>
    <t>In order to understand PHAT-Sat positioning and assess any issues, the ADCS must interface with Comms to relay positioning data. (This assumes ADCS has software to interpret posisitoning on it's own, otherwise this section will with FSW instead of Comms)</t>
  </si>
  <si>
    <t>Test that the Attitude Determination and Control System can interface with the C&amp;DH subsystems to effectively transmit orientation data to the ground station.</t>
  </si>
  <si>
    <t>SYS-3.03</t>
  </si>
  <si>
    <t>C&amp;DH-FSW Integration</t>
  </si>
  <si>
    <t>C&amp;DH shall collect and transmit needed telemetry data and relay necessary software updates/changes to the FSW system.</t>
  </si>
  <si>
    <t xml:space="preserve">In order to retrieve important status and positioning data, the comms must be compatable with the FSW and provide information as requested/predetermined. </t>
  </si>
  <si>
    <t xml:space="preserve">Test the C&amp;DH and make sure it transmits all neccesary data to the FSW </t>
  </si>
  <si>
    <t>SYS-3.04</t>
  </si>
  <si>
    <t>C&amp;DH-Payload Integration</t>
  </si>
  <si>
    <t>C&amp;DH shall collect and transmit the payload data.</t>
  </si>
  <si>
    <t>The data from the payload is essential for the success of the mission and must be transmitted.</t>
  </si>
  <si>
    <t>Test that the C&amp;DH system can transmit data collected by payload sensors can be effectively transmitted to ground station</t>
  </si>
  <si>
    <t>SYS-3.05</t>
  </si>
  <si>
    <t>C&amp;DH-Structure Integration</t>
  </si>
  <si>
    <t>C&amp;DH system infrastructure shall securely attach to the PHAT-Sat structure and occupy "x"U of space.</t>
  </si>
  <si>
    <t xml:space="preserve">It has to be compatable with the PHAT-Sat structure, and the smaller it can be, the better for accomodating other systems and the payload(s). </t>
  </si>
  <si>
    <t>BUS-2.01, BUS-2.02</t>
  </si>
  <si>
    <t>Analyze the space available in PHAT-Sat structure and how small we can make C&amp;DH system infrastructure. Demonstrate that C&amp;DH infrastructure fits within the specfied amount of space.</t>
  </si>
  <si>
    <t>SYS-3.06</t>
  </si>
  <si>
    <t>C&amp;DH-Ground Station Compliance</t>
  </si>
  <si>
    <t>C&amp;DH shall conform to the TBD ground station infrastructure requirements.</t>
  </si>
  <si>
    <t>The method of data transfer must be compatable with the method of data retrieval</t>
  </si>
  <si>
    <t>Demonstrate that the transmitted data from the satellite is of the format/type compatible with ground station receivers and hardware.</t>
  </si>
  <si>
    <t>SYS-3.07</t>
  </si>
  <si>
    <t>Comms-Ground Software Integration</t>
  </si>
  <si>
    <t>C&amp;DH shall export data in TDB format to the ground software via the ground station.</t>
  </si>
  <si>
    <t>The data transferred must be of a consistent format for all requested information (payload and  bus subsystem data)</t>
  </si>
  <si>
    <t>Test the C&amp;DH to see if it exports data in the correct format to the ground software</t>
  </si>
  <si>
    <t>SYS-3.08</t>
  </si>
  <si>
    <t>EPD-Payload Integration</t>
  </si>
  <si>
    <t>EPD shall connect to the payload systems and provide at least TBD-TBD W of power for operating and dormant conditions, respectively.</t>
  </si>
  <si>
    <t>The payload needs power and must have its needs met</t>
  </si>
  <si>
    <t>BUS-2.01, BUS 2.04c</t>
  </si>
  <si>
    <t>Test that EPD can deliver the power required by payload for a range of dormant to active conditions.</t>
  </si>
  <si>
    <t>SYS-3.09</t>
  </si>
  <si>
    <t>EPD-ADCS Integration</t>
  </si>
  <si>
    <t>EPD shall connect to the ADCS systems and provide at least TBD W of power.</t>
  </si>
  <si>
    <t>The ACDS system needs power and must have its needs met</t>
  </si>
  <si>
    <t>Test the EPD to make sure it can provide enough power to the ADCS and then demonstrate that EPD can connect to the ADCS</t>
  </si>
  <si>
    <t>SYS-3.10</t>
  </si>
  <si>
    <t>EPD-Comms Integration</t>
  </si>
  <si>
    <t>EPD shall connect to the comms systems and provide at least TBD W of power.</t>
  </si>
  <si>
    <t>The comms system needs power and must have its needs met</t>
  </si>
  <si>
    <t>Test that EPD can deliver the power required by communication system to attain adequate transmit power for mission objective.</t>
  </si>
  <si>
    <t>SYS-3.11</t>
  </si>
  <si>
    <t>EPD-FSW Integation</t>
  </si>
  <si>
    <t>EPD shall connect to the FSW systems and provide at least TBD W of power.</t>
  </si>
  <si>
    <t>The FSW system needs power and must have its needs met</t>
  </si>
  <si>
    <t xml:space="preserve">Test that the EPD can provide enough power to the FSW </t>
  </si>
  <si>
    <t>SYS-3.12</t>
  </si>
  <si>
    <t>EPD-Structure Integration</t>
  </si>
  <si>
    <t>EPD system hardware shall securely attach to the PHAT-Sat structure and occupy "x"U of space.</t>
  </si>
  <si>
    <t>Demonstrate that the power distrobution hardware is attatched securely to the satellite structure, and that the total EPD system takes up no more than "x" U of the satellite.</t>
  </si>
  <si>
    <t>SYS-3.13</t>
  </si>
  <si>
    <t>EPD-Thermal Integration</t>
  </si>
  <si>
    <t>EPD shall connect to the thermal systems and provide at least TBD W of power</t>
  </si>
  <si>
    <t>The thermal system needs power and must have its needs met</t>
  </si>
  <si>
    <t>Test that the EPD can provide enough power to the thermal systems</t>
  </si>
  <si>
    <t>SYS-3.14</t>
  </si>
  <si>
    <t>FSW-ADCS Integration</t>
  </si>
  <si>
    <t>FSW system shall interpret position/rotation data to make determine attitude changes.</t>
  </si>
  <si>
    <t>Unless the ADCS has integrated software, FSW subsystem must operate ADCS hardware.</t>
  </si>
  <si>
    <t>BUS-2.01, BUS-2.04f</t>
  </si>
  <si>
    <t>Test that the Flight Software subsystem can interpret Atittude Detection data and attempt to make attitude corrections as necessary</t>
  </si>
  <si>
    <t>SYS-3.15</t>
  </si>
  <si>
    <t>FSW-C&amp;DH Integration</t>
  </si>
  <si>
    <t>FSW shall control data interpretation C&amp;DH transmission.</t>
  </si>
  <si>
    <t>As the brains of PHAT-Sat, this must be able to receiveand interpret information/updates from the ground station via comms. Additionally, the data processing and transmittal needs to be handled between these systems.</t>
  </si>
  <si>
    <t>SYS-3.04, BUS-2.01</t>
  </si>
  <si>
    <t>Test the FSW to make sure it is able to handle data interpretation and demonstrate that it can do so as required/desired</t>
  </si>
  <si>
    <t>SYS-3.16</t>
  </si>
  <si>
    <t>FSW-EPD Integration</t>
  </si>
  <si>
    <t>FSW shall contol the distribution of power through analysis of subsystem and payload needs.</t>
  </si>
  <si>
    <t>The FSW must be able to interpret power needs from other systems as well as knowing when to turn certain systems off (i.e., turning off the comms when data relay is not needed/possible to help conserve power).</t>
  </si>
  <si>
    <t>Test that the Flight Software is able to determine when certain components need power and how much.</t>
  </si>
  <si>
    <t>SYS-3.17</t>
  </si>
  <si>
    <t>FSW-Structure Integration</t>
  </si>
  <si>
    <t>FSW system hardware shall securely attach to the PHAT-Sat structure and occupy "x"U of space.</t>
  </si>
  <si>
    <t>BUS-2.01,  BUS-2.02, BUS-2.04a</t>
  </si>
  <si>
    <t>Analyze how much space is available in PHAT-Sat and how small we can make the FSW hardware and hardware attachments. Demonstrate that the FSW system hardware fits within the specified amount of space</t>
  </si>
  <si>
    <t>SYS-3.18</t>
  </si>
  <si>
    <t>FSW-Thermal Integration</t>
  </si>
  <si>
    <t>FSW shall interpret the thermal measurements of the satellite and control the thermal systems to regulate temperature within "x" and "y" bounds.</t>
  </si>
  <si>
    <t>The interpretation of, and action on, temperature data needs to be controlled using the FSW and code it contains (maybe PID control of something of the like) to ensure PHAT-Sat can maintain proper operating temperatures in the extremes of space.</t>
  </si>
  <si>
    <t>BUS-2.01, BUS-2.04d</t>
  </si>
  <si>
    <t>Test that the Flight Software is able to interpret data from thermal sensors onboard and take correctinve action to maintain temps between "x" and "y".</t>
  </si>
  <si>
    <t>SYS-3.19</t>
  </si>
  <si>
    <t>Structure-Launch System Integration</t>
  </si>
  <si>
    <t xml:space="preserve">The PHAT-Sat structure shall adhere to launch system guidelines and incorporate hardware for interfacing with the deployment device. </t>
  </si>
  <si>
    <t xml:space="preserve">PHAT-Sat must adhere to launch deployment vehicle standards (ex. NanoRacks--NRCSD) both in geometry and required functions. </t>
  </si>
  <si>
    <t>BUS-2.01, BUS-2.03, BUS-2.07, BUS-2.08, BUS-2.09, BUS-2.13, BUS-2.14, BUS-2.15, SYS-2.25</t>
  </si>
  <si>
    <t>Demonstrate that the PHAT-Sat structure and functions adhere to launch system guidelines and that PHAT-Sat interfaces with deployment device</t>
  </si>
  <si>
    <t>3.2 Payload Requirements</t>
  </si>
  <si>
    <t>PL-3.01</t>
  </si>
  <si>
    <t>Spectral Range</t>
  </si>
  <si>
    <t xml:space="preserve">The optical payload shall image spectral bands of the range from 600-900nm </t>
  </si>
  <si>
    <t xml:space="preserve">A range of 460-860nm to be comperable to existing NIR data sets. </t>
  </si>
  <si>
    <t>Analyze the spectral band range of the optical sensor and test the payload to make sure it captures within 450nm - 1200nm. If it is able to measure between 450nm-2400nm that would be optimal</t>
  </si>
  <si>
    <t>PL-3.02</t>
  </si>
  <si>
    <t>Spectral Resolution</t>
  </si>
  <si>
    <t>The optical payload shall have a spectral resolution no less than 20nm. (ideally 5nm)</t>
  </si>
  <si>
    <t>Resolution between spectral bands needs to be XXnm or less to increase accuracy between available bands</t>
  </si>
  <si>
    <t>Analyze the optical payload to see if it has a spectral resolution of at least 16nm and test that it can acheive a resolution of 16nm or more</t>
  </si>
  <si>
    <t>PL-3.03</t>
  </si>
  <si>
    <t>Swath</t>
  </si>
  <si>
    <t>The optical payload shall have a swath of 19.4 - 115 km.</t>
  </si>
  <si>
    <t>Based on an orbit altitude of 500km to keep revisit time close to 16 days</t>
  </si>
  <si>
    <t>Analyze the imager and determine the needed field of view to attain the needed swath, test in orbit to confirm the swath width.</t>
  </si>
  <si>
    <t>PL-3.04</t>
  </si>
  <si>
    <t>Ground Sampling Distance (GSD)</t>
  </si>
  <si>
    <t>The optical payload shall have a GSD of 4.75 - 28m.</t>
  </si>
  <si>
    <t>Based off comercially available hyperspectral sensors and existing data sets</t>
  </si>
  <si>
    <t>Analyze the imager sensor to determine the resolution needed to attain the required GSD of 30-50 m.</t>
  </si>
  <si>
    <t>PL-3.05</t>
  </si>
  <si>
    <t>Optical Payload Power Consumption</t>
  </si>
  <si>
    <t>The optical payload shall have a max power consumption of 11 W or less.</t>
  </si>
  <si>
    <t>Max power during imaging with current imager options</t>
  </si>
  <si>
    <t>Demonstrate that the optical payload has a power consumption of 9W or less</t>
  </si>
  <si>
    <t>PL-3.06</t>
  </si>
  <si>
    <t>Optical Payload Mass</t>
  </si>
  <si>
    <t>The optical payload shall have a mass of "x" kg or less.</t>
  </si>
  <si>
    <t xml:space="preserve">Mass of imager system from data sheets. </t>
  </si>
  <si>
    <t>Inspect the optical payload mass with a scale and verify the mass does not exceed  "x" kg.</t>
  </si>
  <si>
    <t>PL-3.07</t>
  </si>
  <si>
    <t>Optical Payload Thermal limits</t>
  </si>
  <si>
    <t>The optical payload shall be held between "x" °C and "x" °C.</t>
  </si>
  <si>
    <t>Optimal operating temperature for sensor. This will most likely be a lower temperature range to reduce noise in final images</t>
  </si>
  <si>
    <t>BUS-2.05, PL-2.02</t>
  </si>
  <si>
    <t>Demonstrate that the operating temperatures dont go beyond "x" C or "x" C</t>
  </si>
  <si>
    <t>PL-3.08</t>
  </si>
  <si>
    <t>Image/Data Format</t>
  </si>
  <si>
    <t>Image data shall be collected in "x"-bit "x" format.</t>
  </si>
  <si>
    <t>Required bit depth and image format for data processing.</t>
  </si>
  <si>
    <t>Demonstrate that the data collected is in "x"-bit "x" format</t>
  </si>
  <si>
    <t>PL-3.09</t>
  </si>
  <si>
    <t>Angular Resolution</t>
  </si>
  <si>
    <t>The optical payload shall have an angular resolution of "x" meters at "y" altitude.</t>
  </si>
  <si>
    <t>Provide reasonable ability to destinguish small details between objects.</t>
  </si>
  <si>
    <t>Analyze the optical payload's angular resolution at different altitudes and demonstrate that the payload has an angular resolution of "x" at "y" altitude</t>
  </si>
  <si>
    <t>PL-3.10</t>
  </si>
  <si>
    <t>FOV Obstruction</t>
  </si>
  <si>
    <t>FOV of imager shall not be obstructed during imaging.</t>
  </si>
  <si>
    <t>Imager needs to produce clear and usable images.</t>
  </si>
  <si>
    <t>Analyze the construction of the satellite paying mind to the field of view of the imager, and test that the image FOV is not obstructed in any imager orientation</t>
  </si>
  <si>
    <t>3.3 Attitude Determination and Control Requirements</t>
  </si>
  <si>
    <t>ADC-3.01</t>
  </si>
  <si>
    <t>Core Capabilities</t>
  </si>
  <si>
    <t>ADC shall allow fine ground target imaging, sun tracking, ground station tracking, and PNT to support PLD mission and satellite operation.</t>
  </si>
  <si>
    <t>Payload is earth-sensitive, and EPD uses solar panels.</t>
  </si>
  <si>
    <t>BUS-2.04, BUS-2.05</t>
  </si>
  <si>
    <t>Test that the Attitude Determination subsystem can track the sun, ground station, the Nadir datum, and PNT to maintain system power and support mission goals.</t>
  </si>
  <si>
    <t>ADC-3.02a</t>
  </si>
  <si>
    <t>NT Knowledge</t>
  </si>
  <si>
    <t>ADC shall determine angle w.r.t. Earth normal vector, within "x" deg.</t>
  </si>
  <si>
    <t>If camera is gimbaled, BUS needs coarse NT to set up PLD in allowable range.</t>
  </si>
  <si>
    <t>&lt; "x" deg</t>
  </si>
  <si>
    <t>&lt; "y" deg</t>
  </si>
  <si>
    <t>Test that the ADC is able to determine current orientation angle with respect to Earth normal within "x" degrees so gimbaled camera can correct.</t>
  </si>
  <si>
    <t>ADC-3.02b</t>
  </si>
  <si>
    <t>NT Pointing</t>
  </si>
  <si>
    <t>ADC shall allow pointing to Earth normal vector, within "x" deg.</t>
  </si>
  <si>
    <t>Analyze the resolution of ADC and reaction wheels in simulated environment to verify satellite attitude is within "x" degrees of Earth normal vector so gimbaled camera can correct. Test on ground and in orbit</t>
  </si>
  <si>
    <t>ADC-3.02c</t>
  </si>
  <si>
    <t>Ground Target Knowledge</t>
  </si>
  <si>
    <t>ADC shall determine angular position of ground targets, within "x" deg.</t>
  </si>
  <si>
    <t>Must locate specified agricultural regions for PLD.</t>
  </si>
  <si>
    <t>Test that the ADC is able to determine current orientation angle with respect to ground target within "x" degrees so gimbaled camera can correct.</t>
  </si>
  <si>
    <t>This is primarily a Knowledge and FSW problem. We will know Nadir and Position, so we just sweep a calculated angle to image every acre we haven't yet scanned.</t>
  </si>
  <si>
    <t>ADC-3.02d</t>
  </si>
  <si>
    <t>Ground Target Pointing</t>
  </si>
  <si>
    <t>ADC shall point to specified ground targets, within "x" deg.</t>
  </si>
  <si>
    <t>Must sweep specified agricultural regions for PLD.</t>
  </si>
  <si>
    <t>Analyze the resolution of ADC and reaction wheels in simulated environment to verify satellite attitude is within "x" degrees of ground target vector so gimbaled camera can correct. Test on ground and in orbit</t>
  </si>
  <si>
    <t>Same as above</t>
  </si>
  <si>
    <t>ADC-3.03a</t>
  </si>
  <si>
    <t>ST Knowledge</t>
  </si>
  <si>
    <t>ADC shall determine angle w.r.t. Sun, within "x" deg.</t>
  </si>
  <si>
    <t>Must find Sun for charging EPD solar panels.</t>
  </si>
  <si>
    <t>BUS-2.04</t>
  </si>
  <si>
    <t>Test that ADC is able to determine current orientation angle with respect to Sun within "x" degrees.</t>
  </si>
  <si>
    <t>ADC-3.03b</t>
  </si>
  <si>
    <t>ST Pointing</t>
  </si>
  <si>
    <t>ADC shall allow pointing to Sun, within "x" deg.</t>
  </si>
  <si>
    <t>Must point to Sun as accurately as EPD needs.</t>
  </si>
  <si>
    <t>Analyze the resolution of ADC and reaction wheels in simulated environment to verify satellite attitude is within "x" degrees of Sun, and test on ground and in orbit</t>
  </si>
  <si>
    <t>ADC-3.04a</t>
  </si>
  <si>
    <t>GS Knowledge</t>
  </si>
  <si>
    <t>ADC shall determine angle w.r.t. Ground Station, within "x" deg.</t>
  </si>
  <si>
    <t>Must find GS before up/downlink.</t>
  </si>
  <si>
    <t>Test that the ADC is able to determine current orientation angle with respect to the ground station normal within "x" degrees.</t>
  </si>
  <si>
    <t>ADC-3.04b</t>
  </si>
  <si>
    <t>GS Pointing</t>
  </si>
  <si>
    <t>ADC shall allow pointing to Ground Station, within "x" deg.</t>
  </si>
  <si>
    <t>Point to GS within CDH antenna's FOV.</t>
  </si>
  <si>
    <t>Analyze the resolution of ADC and reaction wheels in simulated environment to verify satellite attitude is within "x" degrees of Ground Station, and test on ground and in orbit</t>
  </si>
  <si>
    <t>ADC-3.05a</t>
  </si>
  <si>
    <t>Position Knowledge</t>
  </si>
  <si>
    <t>ADC shall determine latitude/longitude position within "x" and "y"degrees, respectively, for PLD data collection.</t>
  </si>
  <si>
    <t>Fundamental mission requirement for PLD.</t>
  </si>
  <si>
    <t>&lt; "x, y" deg</t>
  </si>
  <si>
    <t>&lt; "i, j" deg</t>
  </si>
  <si>
    <t>Analyze the resolution of ADC and reaction wheets in simulated environment to verify satelite attitude is within "x" degrees of Sun, and test on ground and in orbit</t>
  </si>
  <si>
    <t>ADC-3.05b</t>
  </si>
  <si>
    <t>Altitude Knowledge</t>
  </si>
  <si>
    <t>ADC shall determine altitude within "z" meters for PLD data collection.</t>
  </si>
  <si>
    <t>&lt; "z" m</t>
  </si>
  <si>
    <t>&lt; "k" m</t>
  </si>
  <si>
    <t>Test that ADC can measure altitude within "z" meters</t>
  </si>
  <si>
    <t>ADC-3.05c</t>
  </si>
  <si>
    <t>Timing Knowledge</t>
  </si>
  <si>
    <t>ADC shall track time within "w" seconds for PLD data collection.</t>
  </si>
  <si>
    <t>&lt; "w" s</t>
  </si>
  <si>
    <t>&lt; "t" s</t>
  </si>
  <si>
    <t>Test that ADC can track time within "w" seconds</t>
  </si>
  <si>
    <t>ADC-3.06</t>
  </si>
  <si>
    <t>Upset Capabilities</t>
  </si>
  <si>
    <t>ADC shall allow sun tracking at low power and correct any deployment tumbling.</t>
  </si>
  <si>
    <t>ADC failure due to these environmental hazards will cause mission failure.</t>
  </si>
  <si>
    <t>Analyze power requirements of ADC and reaction wheels to ensure they will function in low power mode, then test in simulated ground scenario</t>
  </si>
  <si>
    <t>ADC-3.07a</t>
  </si>
  <si>
    <t>Safe Mode ST Knowledge</t>
  </si>
  <si>
    <t>ADC shall determine angle w.r.t. Sun, within "z" deg, under low power of "x" W or "y" V.</t>
  </si>
  <si>
    <t>Must find Sun with minimum power from EPD.</t>
  </si>
  <si>
    <t>&lt; "z" deg at "x" W or "y" V</t>
  </si>
  <si>
    <t>&lt; "z1" deg at "x1" W or "y1" V</t>
  </si>
  <si>
    <t>Analyze that the ADC is able to determine angle w.r.t. Sun with "z" degrees under low power of "x"W or "y"V and test that ADC recognizes emergency low power situations  and attempts to take corrective actions</t>
  </si>
  <si>
    <t>ADC-3.07b</t>
  </si>
  <si>
    <t>Safe Mode ST Pointing</t>
  </si>
  <si>
    <t>ADC shall allow pointing to Sun, within "z" deg, under low power of "x" W or "y" V.</t>
  </si>
  <si>
    <t>Must point to Sun for emergency EPD charging.</t>
  </si>
  <si>
    <t>Analyze that the ADC is able to point panels toward sun within "z" degrees in a low power situation of "x" watts or "y" volts, and test that ADC recognizes emergency low power situation and attempts to take corrective action.</t>
  </si>
  <si>
    <t>ADC-3.08a</t>
  </si>
  <si>
    <t>Detumbling Time</t>
  </si>
  <si>
    <t>ADC shall complete detumble maneuver within 1 orbit.</t>
  </si>
  <si>
    <t>Must point to Sun for charging to begin mission.</t>
  </si>
  <si>
    <t>&lt; 100 minutes</t>
  </si>
  <si>
    <t>&lt; 30 minutes</t>
  </si>
  <si>
    <t>Test that the ADC can complete the maneuver in "x" minutes in a simulated environment and demonstrate that it can complete the manuever in practice.</t>
  </si>
  <si>
    <t>ADC-3.08b</t>
  </si>
  <si>
    <t>Max Tumble Rate</t>
  </si>
  <si>
    <t>ADC shall detumble the satellite from "x" deg/s or less.</t>
  </si>
  <si>
    <t>Must recover from LNC expected tumbling.</t>
  </si>
  <si>
    <t>&lt; x deg/s</t>
  </si>
  <si>
    <t>Analyze reaction wheel detumble capability in software and test reaction wheels and ADC tumble rate detection capabilities</t>
  </si>
  <si>
    <t>ADC-3.09</t>
  </si>
  <si>
    <t>Subsystem Requirements</t>
  </si>
  <si>
    <t>ADC shall meet system engineering limits on temp, rad, SWaP, cost, and mission life.</t>
  </si>
  <si>
    <t>Allocated from high-level requirements.</t>
  </si>
  <si>
    <t>SYS-2.01, SYS-2.10, SYS-2.14, SYS-2.15</t>
  </si>
  <si>
    <t>Demonstarte that ADC meets all system limits on temp, rad, SWaP, life, and cost</t>
  </si>
  <si>
    <t>ADC-3.10a</t>
  </si>
  <si>
    <t>Operational Temperature Range</t>
  </si>
  <si>
    <t>ADC shall operate as designed between "x" and "y" degrees Celcius.</t>
  </si>
  <si>
    <t>Mission temp range from PLD.</t>
  </si>
  <si>
    <t>&gt; x to y degrees C</t>
  </si>
  <si>
    <t>&gt; x1 to y1 degrees C</t>
  </si>
  <si>
    <t>Analyze components of ADC during design to verify  components will handle extreme temp range, and test with oven/freezer.</t>
  </si>
  <si>
    <t>ADC-3.10b</t>
  </si>
  <si>
    <t>Survivable Temperature Range</t>
  </si>
  <si>
    <t>ADC shall endure any temperature between "x" and "y" degrees Celcuis.</t>
  </si>
  <si>
    <t>Absolute temp range from SYS.</t>
  </si>
  <si>
    <t>Analyze components of ADC during design to verify components can handle any temperature between "x" and "y" degrees</t>
  </si>
  <si>
    <t>ADC-3.11</t>
  </si>
  <si>
    <t>Radiation Hardness</t>
  </si>
  <si>
    <t>ADC shall endure "x" krad of radiation during mission life.</t>
  </si>
  <si>
    <t>Rad survivability from SYS.</t>
  </si>
  <si>
    <t>SYS-2.15</t>
  </si>
  <si>
    <t>&gt; x krad</t>
  </si>
  <si>
    <t>Analyze components of ADC in simulated software environment to ensure system can endure "x" krad of radiation during mission life.</t>
  </si>
  <si>
    <t>ADC-3.12a</t>
  </si>
  <si>
    <t>ADC shall require less than 1 U of space.</t>
  </si>
  <si>
    <t>Size allocation from BUS/LNC.</t>
  </si>
  <si>
    <t>&lt; 1U</t>
  </si>
  <si>
    <t>&lt; 0.5U</t>
  </si>
  <si>
    <t>Analyze how much space will be needed for ADC and demonstrate that ADC uses lass than 1U of space</t>
  </si>
  <si>
    <t>ADC-3.12b</t>
  </si>
  <si>
    <t>Weight/Mass</t>
  </si>
  <si>
    <t>ADC shall require less than 1 kg of mass.</t>
  </si>
  <si>
    <t>Weight allocation from BUS/LNC.</t>
  </si>
  <si>
    <t>&lt; 1 kg</t>
  </si>
  <si>
    <t>&lt; 0.5 kg</t>
  </si>
  <si>
    <t>Analyze the overall weight of the ADC system during design (SolidWorks or other), and inspect after construction with scale to verify a mass of less than x kg.</t>
  </si>
  <si>
    <t>ADC-3.12c</t>
  </si>
  <si>
    <t>ADC shall require less than 4 W of power.</t>
  </si>
  <si>
    <t>Power allocation from BUS/EPD.</t>
  </si>
  <si>
    <t>&lt; 4 W</t>
  </si>
  <si>
    <t>&lt; 1.5 W</t>
  </si>
  <si>
    <t>Analyze the ADc and see how much power it requires then demonstrate that the power requirement is less than 4W</t>
  </si>
  <si>
    <t>ADC-3.12d</t>
  </si>
  <si>
    <t>ADC hardware shall cost under $200,000 to purchase.</t>
  </si>
  <si>
    <t>Funding allocation from SYS.</t>
  </si>
  <si>
    <t>&lt; $200,000</t>
  </si>
  <si>
    <t>&lt; $50,000</t>
  </si>
  <si>
    <t>Analyze costs for ADC hardware and see if it is under $200,000 dollars</t>
  </si>
  <si>
    <t>ADC-3.13</t>
  </si>
  <si>
    <t>Operational Lifetime</t>
  </si>
  <si>
    <t>ADC shall operate as designed for 2 years.</t>
  </si>
  <si>
    <t>Mission lifetime depends on PLD needs and any BUS capabilities dependent on ADC.</t>
  </si>
  <si>
    <t>Analyze ADC when subjected to environmental conditions of space and verify that the system can endure for 2 years.</t>
  </si>
  <si>
    <t>ADC-3.14</t>
  </si>
  <si>
    <t>Comms Budget</t>
  </si>
  <si>
    <t>ADC shall require less than "x" bit/s of uplink and "y" bit/s of downlink data during operation.</t>
  </si>
  <si>
    <t>Data allocation from CDH.</t>
  </si>
  <si>
    <t>&lt; "x" bit/s UP and "y" bit/s DOWN</t>
  </si>
  <si>
    <t>&lt; "x1" bit/s UP and "y1" bit/s DOWN</t>
  </si>
  <si>
    <t>Analyze the data type and required transfer speed for operation of the ADC and test the bitrate of data transfer during use.</t>
  </si>
  <si>
    <t>ADC-3.15</t>
  </si>
  <si>
    <t>Computing Budget</t>
  </si>
  <si>
    <t>ADC shall require less than "x" [units] of onboard data processing for telemetry and flight ops.</t>
  </si>
  <si>
    <t>Processing allocation from FSW.</t>
  </si>
  <si>
    <t>?</t>
  </si>
  <si>
    <t xml:space="preserve">Analyze how much data processing power is needed for telemetry and flight ops and test to see if it stays under "x" [units] </t>
  </si>
  <si>
    <t>3.4 Communication and Data Handling Requirements</t>
  </si>
  <si>
    <t>CDH-3.01</t>
  </si>
  <si>
    <t>C&amp;DH + UHF TX/RX Interface</t>
  </si>
  <si>
    <t>The C&amp;DH subsystem shall interface with the UHF transceiver over [some network protocol suiting the capabilities of selected ground station].</t>
  </si>
  <si>
    <t>OBC should be capable of receiving uplink data from GS and transmitting heartbeat data to GS through the UHF transceiver.</t>
  </si>
  <si>
    <t>BUS-2.05, GS-2.01</t>
  </si>
  <si>
    <t>&gt; 5 Kbps</t>
  </si>
  <si>
    <t>10 Kbps</t>
  </si>
  <si>
    <t>Not Compliant</t>
  </si>
  <si>
    <t>Test and verify compatibility between UHF transceiver and C&amp;DH methods.</t>
  </si>
  <si>
    <t>CDH-3.02</t>
  </si>
  <si>
    <t>C&amp;DH + UHF Antenna Interface</t>
  </si>
  <si>
    <t>The C&amp;DH subsystem shall interface with the UHF antenna over [some network protocol suiting the capabilities of selected ground station].</t>
  </si>
  <si>
    <t>OBC must be capable of sending heartbeat messages to and receiving commands from ground station.</t>
  </si>
  <si>
    <t>--</t>
  </si>
  <si>
    <t xml:space="preserve">Test to see if UHF antenna interfaces with the C&amp;DH subsystem and that it can transmit and recieve </t>
  </si>
  <si>
    <t>CDH-3.03</t>
  </si>
  <si>
    <t>UHF Operating Frequency</t>
  </si>
  <si>
    <t>The UHF component shall operate at a frequency between 435-438 MHz.</t>
  </si>
  <si>
    <t>Compliance with CubeSat IARU and FCC standards.</t>
  </si>
  <si>
    <t>Demonstrate UHF subsystem operates within the allocated frequency band 435-438 MHz to comply with FCC standards.</t>
  </si>
  <si>
    <t>CDH-3.04</t>
  </si>
  <si>
    <t>C&amp;DH + Payload TX Interface</t>
  </si>
  <si>
    <t>The C&amp;DH subsystem shall interface with the X-Band transmitter over [some network protocol suiting the capabilities of selected ground station].</t>
  </si>
  <si>
    <t>OBC should be capable of downlinking mission data to GS through the respective transmitter.</t>
  </si>
  <si>
    <t>&gt; 50 Mbps</t>
  </si>
  <si>
    <t>150 Mbps</t>
  </si>
  <si>
    <t>Test and verify compatibility between X-Band transmitter and C&amp;DH methods.</t>
  </si>
  <si>
    <t>CDH-3.05</t>
  </si>
  <si>
    <t>C&amp;DH + Payload Antenna Interface</t>
  </si>
  <si>
    <t>The C&amp;DH subsytem shall interface with the respective X-Band antenna over [some network protocol suiting the capabilities of selected ground station].</t>
  </si>
  <si>
    <t>OBC must be capable of sending mission data to ground station.</t>
  </si>
  <si>
    <t>Test to see if X-Band antenna interfaces with the C&amp;DH subsystem and that it can transmit</t>
  </si>
  <si>
    <t>CDH-3.06</t>
  </si>
  <si>
    <t>X-Band Operating Frequency</t>
  </si>
  <si>
    <t>The X-Band component shall operate at a frequency between 8.45-8.5 GHz.</t>
  </si>
  <si>
    <t>Compliance with CubeSat FCC standards.</t>
  </si>
  <si>
    <t>Demonstrate X-Band subsystem operates within the allocated frequency band 8.45-8.5 GHz to comply with FCC standards.</t>
  </si>
  <si>
    <t>https://www.spectrumwiki.com/wiki/display.aspx?From=disp&amp;f=2320000001#352</t>
  </si>
  <si>
    <t>CDH-3.07</t>
  </si>
  <si>
    <t>C&amp;DH + EPD Network Interface</t>
  </si>
  <si>
    <t>The C&amp;DH subsystem shall interface with the EPD over [some serial communication protocol].</t>
  </si>
  <si>
    <t>The FSW must send commands and monitor status of the EPD through the OBC.</t>
  </si>
  <si>
    <t xml:space="preserve">Test to see if the FSW can monitor EPD status </t>
  </si>
  <si>
    <t>CDH-3.08</t>
  </si>
  <si>
    <t>C&amp;DH + Battery Network Interface</t>
  </si>
  <si>
    <t>The C&amp;DH subsystem shall interface with the battery over [some serial communication protocol].</t>
  </si>
  <si>
    <t>The FSW must monitor status of the battery through the OBC.</t>
  </si>
  <si>
    <t xml:space="preserve">Test that the FSW can montor Battery status </t>
  </si>
  <si>
    <t>CDH-3.09</t>
  </si>
  <si>
    <t>C&amp;DH + Imager Payload Network Interface</t>
  </si>
  <si>
    <t>The C&amp;DH subsystem shall interface with the imager payload over [some serial communication protocol].</t>
  </si>
  <si>
    <t>The FSW must send commands to and receive data from the imager payload.</t>
  </si>
  <si>
    <t>BUS-2.03, PL-2.02</t>
  </si>
  <si>
    <t>Test that the flight software is able to send commands to imager and receive image data from it</t>
  </si>
  <si>
    <t>CDH-3.10</t>
  </si>
  <si>
    <t>C&amp;DH + ADCS Network Interface</t>
  </si>
  <si>
    <t>The C&amp;DH subsystem shall interface with the ADCS over  [some serial communication protocol].</t>
  </si>
  <si>
    <t>The FSW must send commands to and receive data from the ADCS.</t>
  </si>
  <si>
    <t>Test that the flight software is able to communicate with attitude determination system over (TBD protocol).</t>
  </si>
  <si>
    <t>CDH-3.11</t>
  </si>
  <si>
    <t>C&amp;DH + Thermal Network Interface</t>
  </si>
  <si>
    <t>The C&amp;DH subsystem shall interface with the thermal subsystem over  [some serial communication protocol].</t>
  </si>
  <si>
    <t>The FSW must monitor the status of the thermal subsystem.</t>
  </si>
  <si>
    <t>BUS-2.03, BUS-2.04</t>
  </si>
  <si>
    <t>Test to se if the FSW can monitor thermal subsystem status</t>
  </si>
  <si>
    <t>CDH-3.12</t>
  </si>
  <si>
    <t>Communication Protocol</t>
  </si>
  <si>
    <t>C&amp;DH shall establish a data encryption, compression, and communication protocol for transmission with ground station(s).</t>
  </si>
  <si>
    <t>Security of data transmissions and compliance with liscensing.</t>
  </si>
  <si>
    <t>BUS-2.05, GS-2.01, SYS-2.14</t>
  </si>
  <si>
    <t>Demonstrate that C&amp;DH establishes a protocol that  meets the desired level of reliability and that interperets data from ground station</t>
  </si>
  <si>
    <t>CDH-3.13</t>
  </si>
  <si>
    <t>Data Storage</t>
  </si>
  <si>
    <t>The C&amp;DH subsystem shall be capable of storing up to "x" "data amount" in non-volatile memory over the mission lifetime.</t>
  </si>
  <si>
    <t>On-board memory must be large enought to store setup files, telemetry data, event logs, and past orbit image data (up to TBD size) with "y" copies for detection of anomalies and for redundancy.</t>
  </si>
  <si>
    <t>TBD</t>
  </si>
  <si>
    <t>Demonstrate that onboard memory is large enough to store 2 x (24hour data collection amount) and that onboard remaining storage can be monitored by the OBC</t>
  </si>
  <si>
    <t>CDH-3.14</t>
  </si>
  <si>
    <t>Onboard Clock</t>
  </si>
  <si>
    <t>The C&amp;DH subsystem shall incorporate a clock that will be used to track RTC (Real Time) or UTC (Coordinated Universal Time).</t>
  </si>
  <si>
    <t>An onboard clock will allow for accuracy in time stamping images and downlinking to Earth.</t>
  </si>
  <si>
    <t>Demonstrate that there is an onboard clock that can measure time ine RTC or UTC</t>
  </si>
  <si>
    <t>CDH-3.15</t>
  </si>
  <si>
    <t>Image Downlink</t>
  </si>
  <si>
    <t>The C&amp;DH subsystem shall be able to downlink "x" images to the ground station.</t>
  </si>
  <si>
    <t>Critical mission objective for payload operations and success.</t>
  </si>
  <si>
    <t>Demonstrate that the C&amp;DH system is able to downlink "x" images to the ground station</t>
  </si>
  <si>
    <t>3.5 Electrical Power Distribution Requirements</t>
  </si>
  <si>
    <t>EPD-3.01</t>
  </si>
  <si>
    <t>External Charging</t>
  </si>
  <si>
    <t>The spacecraft shall have a means of charging its battery that does not require solar power.</t>
  </si>
  <si>
    <t>Necessary for bench testing and troubleshooting.</t>
  </si>
  <si>
    <t>GSE-2.01
SYS-2.16</t>
  </si>
  <si>
    <t>Test the battery within system shows energy after being externally charged.</t>
  </si>
  <si>
    <t>EPD-3.02</t>
  </si>
  <si>
    <t>External Power Supply</t>
  </si>
  <si>
    <t>The spacecraft shall have a means of externally powering the EPD system.</t>
  </si>
  <si>
    <t>Test all systems to be functional when the external supply is attached in place of the battery and solar array.</t>
  </si>
  <si>
    <t>EPD-3.03</t>
  </si>
  <si>
    <t>Battery Level</t>
  </si>
  <si>
    <t>The battery level shall remain above 50% during operations.</t>
  </si>
  <si>
    <t>Battery shall remain within a safe margin above its cutoff level.</t>
  </si>
  <si>
    <t>BUS-2.02c</t>
  </si>
  <si>
    <t>&gt;49% of Ah</t>
  </si>
  <si>
    <t>Analyze charge/discharge cycle to show energy used per charge cycle does not exceed half of the battery capacity.</t>
  </si>
  <si>
    <t>EPD-3.04</t>
  </si>
  <si>
    <t>Battery Size</t>
  </si>
  <si>
    <t>The battery shall be of adequate size to provide power to systems while vehicle is in Earth's shadow .</t>
  </si>
  <si>
    <t>During periods in which the vehicle is without access to solar power the battery must be able to provide vehicle power to subsystems.</t>
  </si>
  <si>
    <t>BUS-2.05c
BUS-2.05f
SYS-2.19
SYS-2.02</t>
  </si>
  <si>
    <t>Analyze system power draw and battery capacity such that calculations show energy used during dark periods is less than 50% of battery capacity.</t>
  </si>
  <si>
    <t>EPD-3.05</t>
  </si>
  <si>
    <t>Solar Array Size</t>
  </si>
  <si>
    <t>The affixed solar array shall conform to a "x"U vehicle size of "x".</t>
  </si>
  <si>
    <t>Vehicle size of "x"U constrains the solar arrays size to vehicle dimensions.</t>
  </si>
  <si>
    <t>SYS-2.01a
BUS-2.05a</t>
  </si>
  <si>
    <t>Inspect solar array and take necessary measurements to confirm requirement.</t>
  </si>
  <si>
    <t>EPD-3.06</t>
  </si>
  <si>
    <t>Solar Array Power</t>
  </si>
  <si>
    <t>The affixed solar array shall provide nominally ~"x"W on sides and/or as deployable arrays of the vehicle.</t>
  </si>
  <si>
    <t>Power produced by solar panels is dependent on area dedicated to PV-cells and orientation of those cells relative to the sun.</t>
  </si>
  <si>
    <t>BUS-2.05c
SYS-2.01c</t>
  </si>
  <si>
    <t>Analyze the expected power output of the solar array and test to verify that the power output is ~"x" watts.</t>
  </si>
  <si>
    <t>EPD-3.07</t>
  </si>
  <si>
    <t>Idle Mode Power</t>
  </si>
  <si>
    <t>EPD shall be capable of powering all components at the calculated worst-case peak power draws during Idle Mode.</t>
  </si>
  <si>
    <t>The EPD should be able to support the calculated peak power draw during Idle Mode to collect radiation data.</t>
  </si>
  <si>
    <t>SYS-2.23
SYS-2.11</t>
  </si>
  <si>
    <t>Analyze worst-case power draw of components during idle mode and test to verify that the EPD is able to power all componenets under these conditions.</t>
  </si>
  <si>
    <t>EPD-3.08</t>
  </si>
  <si>
    <t>Active Mode Power</t>
  </si>
  <si>
    <t>EPD shall be capable of powering all components at the calculated worst-case peak power draws during Active Mode.</t>
  </si>
  <si>
    <t>The EPD should be able to support the calculated peak power draw during Active Mode to collect all imagry.</t>
  </si>
  <si>
    <t>Analyze worst-case power draw of components during active mode and test to verify that the EPD is able to power all componenets under these conditions.</t>
  </si>
  <si>
    <t>EPD-3.09</t>
  </si>
  <si>
    <t>Downlink Mode Power</t>
  </si>
  <si>
    <t>EPD shall be capable of powering all components at the calculated worst-case peak power draws during Downlink Mode.</t>
  </si>
  <si>
    <t>The EPD should be able to support the calculated peak power draw during Downlink Mode to downlink data during flyby of ground station.</t>
  </si>
  <si>
    <t>Analyze worst-case power draw of components during downlink mode and test to verify that the EPD is able to power all componenets under these conditions.</t>
  </si>
  <si>
    <t>EPD-3.10</t>
  </si>
  <si>
    <t>Distribution and Control</t>
  </si>
  <si>
    <t>EPD shall safely distribute and control all of the power generated.</t>
  </si>
  <si>
    <t>The EPD shall maintain positive control of all power generated, stored, and distributed throughout the vehicle subsystems.</t>
  </si>
  <si>
    <t>BUS-2.01
BUS-2.04</t>
  </si>
  <si>
    <t>Analyze power requirements of system components and capabilities of EPD system and test to validate all power flow through system is as expected.</t>
  </si>
  <si>
    <t>EPD-3.11</t>
  </si>
  <si>
    <t>Power Conversion</t>
  </si>
  <si>
    <t>EPD shall provide downstream power converters for different voltage loads.</t>
  </si>
  <si>
    <t>Downstream subsystems require a variety of voltages to function.</t>
  </si>
  <si>
    <t>3V3, 5V, 9V</t>
  </si>
  <si>
    <t>Demonstrate that power converters are present in system and test downstream power output to verify appropriate voltage.</t>
  </si>
  <si>
    <t>EPD-3.12</t>
  </si>
  <si>
    <t>Bus Isolation</t>
  </si>
  <si>
    <t>EPD shall provide bus isolation between subsystem loads.</t>
  </si>
  <si>
    <t>Isolation allows loads to be separated if they become problematic and preserves the functioning busses.</t>
  </si>
  <si>
    <t>SYS-2.20c
SYS-2.19d</t>
  </si>
  <si>
    <t>Test that the EPD isolated different loads placed on it and monitors them for faults/ takes corrective action.</t>
  </si>
  <si>
    <t>EPD-3.13</t>
  </si>
  <si>
    <t>Bus Monitoring</t>
  </si>
  <si>
    <t>EPD shall provide bus monitoring electronics such that each load may be accurately monitored for fault and efficiency.</t>
  </si>
  <si>
    <t>Allows ground team to analyze measured efficiency and detected faults, then act accordingly.</t>
  </si>
  <si>
    <t>SYS-2.12
SYS-2.11
SYS-2.01c
BUS-2.05c</t>
  </si>
  <si>
    <t>Test that the EPD system is able to monitor each bus component such that the faults and efficiency can be monitored and transmitted to GS.</t>
  </si>
  <si>
    <t>EPD-3.14</t>
  </si>
  <si>
    <t>Protection</t>
  </si>
  <si>
    <t>EPD shall protect itself from EMI, transients, bus faults, and load faults.</t>
  </si>
  <si>
    <t>Prevents unexpected faults in the EPD subsystem.</t>
  </si>
  <si>
    <t>Test that Electric Power Distribution system is able to protect itself against interference, faults and transients according to known testing standards.</t>
  </si>
  <si>
    <t>EPD-3.15</t>
  </si>
  <si>
    <t>Solar Safe/Arm Plug</t>
  </si>
  <si>
    <t>EPD shall require a Safe/Arm plug for the solar array power generation.</t>
  </si>
  <si>
    <t>Allows for solar array to be isolated from systems during construction, modification, and maintanence.</t>
  </si>
  <si>
    <t>BUS-2.18
BUS-2.13
SYS-2.25
SYS-2.16</t>
  </si>
  <si>
    <t>I &amp; T</t>
  </si>
  <si>
    <t>Inspect the solar array power plug safety and test to ensure that the safety plug works as intended.</t>
  </si>
  <si>
    <t>EPD-3.16</t>
  </si>
  <si>
    <t>Battery Safe/Arm Plug</t>
  </si>
  <si>
    <t>EPD shall require a Safe/Arm plug for the battery system.</t>
  </si>
  <si>
    <t>Allows for battery system to be isolated from systems during construction, modification, and maintanence.</t>
  </si>
  <si>
    <t>Inspect the battery safety plug system and test to verify the plug works as intended.</t>
  </si>
  <si>
    <t>EPD-3.17</t>
  </si>
  <si>
    <t>Remove Before Flight</t>
  </si>
  <si>
    <t>EPD shall include Remove Before Flight locks, pins, and tags from the vehicle during ground testing and before launch.</t>
  </si>
  <si>
    <t>Prevents unintentional operation when not testing satellite or before flight.</t>
  </si>
  <si>
    <t>Inspect the satellite and ensure that all preflight locks, pins, and tags are present, ready to be pulled before launch.</t>
  </si>
  <si>
    <t>3.6 Flight Software Requirements</t>
  </si>
  <si>
    <t>FSW-3.01</t>
  </si>
  <si>
    <t>Telemetry Collection</t>
  </si>
  <si>
    <t>FSW shall collect telemetry from all hardware onboard PHAT-SAT.</t>
  </si>
  <si>
    <t xml:space="preserve">All telemetry that is necessary to understand the state of the hardware must be collected in order to track system health. In addition, telemetry must be easy to interpret to properly monitor PHAT-SAT.  </t>
  </si>
  <si>
    <t>SYS-2.06, BUS-2.03</t>
  </si>
  <si>
    <t>Test that the flight software solution is able to communicate with system hardware and collect any data relevant to system status.</t>
  </si>
  <si>
    <t>FSW-3.02</t>
  </si>
  <si>
    <t>Event Logging</t>
  </si>
  <si>
    <t>FSW shall maintain a log of software events related to command execution, resets, and software errors.</t>
  </si>
  <si>
    <t>All major software events should be tracked to allow understanding of how software operations are performing.</t>
  </si>
  <si>
    <t>Test that the flight software makes note of/logs major events like errors, resets, and command execution.</t>
  </si>
  <si>
    <t>FSW-3.03</t>
  </si>
  <si>
    <t>Ground Software Interface</t>
  </si>
  <si>
    <t>FSW shall be able to receive and interpret commands from the Ground Station Software.</t>
  </si>
  <si>
    <t>Commands must be able to be sent to PHAT-SAT through the link with ground station. The onboard computer must then be able to collect uplinks from the receiver and interpret commands after they are received and act upon them.</t>
  </si>
  <si>
    <t>GS-2.01, BUS-2.05</t>
  </si>
  <si>
    <t>Test the ground station software is able to effectively communicate with flight software aboard satellite, and that the FSW is able to interpret and act upon commands.</t>
  </si>
  <si>
    <t>FSW-3.04</t>
  </si>
  <si>
    <t>Power Reset Actions</t>
  </si>
  <si>
    <t>FSW shall immediately command PHAT-Sat back to a normal state following a power reset.</t>
  </si>
  <si>
    <t>Power resets could occur frequently in orbit for a variety of reasons. The on board computer should be able to apply necessary settings to hardware to place PHAT-SAT back in a proper orientation as quickly as possible to avoid complications.</t>
  </si>
  <si>
    <t>BUS-2.03, BUS-2.04b</t>
  </si>
  <si>
    <t>Test that a power reset event triggers the flight software to force the satellite to a normal state when power is restored.</t>
  </si>
  <si>
    <t>FSW-3.05</t>
  </si>
  <si>
    <t>Health Data Transmission</t>
  </si>
  <si>
    <t>FSW shall relay the instantaneous health status of PHAT-Sat to the ground upon requesting command.</t>
  </si>
  <si>
    <t>Mission operators need to have the ability to easily and consistently assess the state of PHAT-Sat on orbit.</t>
  </si>
  <si>
    <t>SYS-2.06, BUS-2.05</t>
  </si>
  <si>
    <t>Test that, when satellite receives command to send health report, flight software responds by instantly sending current status report of all systems.</t>
  </si>
  <si>
    <t>FSW-3.06</t>
  </si>
  <si>
    <t>Image Collection Time</t>
  </si>
  <si>
    <t>FSW shall be capable of tracking what time and date each image is collected, as well as altitude and location</t>
  </si>
  <si>
    <t>Knowing the time and date each image is collected allows operators to correspond the images with the specfic region being captured.</t>
  </si>
  <si>
    <t>Test that, when the satellite takes an image, it records the date and time of the recording and sends this info to GS along with other data.</t>
  </si>
  <si>
    <t>FSW-3.07</t>
  </si>
  <si>
    <t>Location Tracking</t>
  </si>
  <si>
    <t>FSW shall be capable of tracking PHAT-SAT's physical position in orbit to allow for proper usage of imaging device by eliminating unneccessary data collection</t>
  </si>
  <si>
    <t>Mission objective is targeted towards a specfic region of interest and in order to capture that region  the PHAT-SAT position must be known</t>
  </si>
  <si>
    <t>Test the flight software is able to detect position of satellite at time of each image.</t>
  </si>
  <si>
    <t>FSW-3.08</t>
  </si>
  <si>
    <t>FSW shall be capable of manipulating and tracking the operational modes for PHAT-SAT and change between modes when necessary</t>
  </si>
  <si>
    <t>PHAT-SAT will operate in different modes depending on position in orbit reletive to region of interest and each mode will control whether PHAT-SAT is downlinking or processing data</t>
  </si>
  <si>
    <t>Test that flight software is able to switch between pre-defined operating modes.</t>
  </si>
  <si>
    <t>FSW-3.09</t>
  </si>
  <si>
    <t>Error Checking/Correction</t>
  </si>
  <si>
    <t>FSW shall be capable of detecting and correcting errors caused by SEUs and lossy data transmission</t>
  </si>
  <si>
    <t>Transmission of data through earth's atmosphere into space can result in missing information that must be error checked and corrected to make sense of data. Additionally, SEUs (single event upsets) can lead to bit flips in memory, causing corruption, which must be able to be accounted for.</t>
  </si>
  <si>
    <t>Test, with a corrupted/incomplete transmission file, that flight software is able to interpret commands correclty even when missing certain parts of the transmission.</t>
  </si>
  <si>
    <t>FSW-3.10</t>
  </si>
  <si>
    <t>Image Compression Algorithm</t>
  </si>
  <si>
    <t>FSW shall implement an image compression algorithm at a compression ratio above X : 1 to reduce transmit data size</t>
  </si>
  <si>
    <t>Raw image data is large, in order to consistently and efficiently downlink images preprocessing will be required</t>
  </si>
  <si>
    <t>PL-2.03, PL-2.04</t>
  </si>
  <si>
    <t>Test, with a raw image data that flight software is able to compress the image to the desired compression ratio.</t>
  </si>
  <si>
    <t>3.7  Structure Requirements</t>
  </si>
  <si>
    <t>STR-3.01</t>
  </si>
  <si>
    <t>Coordinate System</t>
  </si>
  <si>
    <t xml:space="preserve">An X-Y-Z (X - velocity, Y- sun, Z- Earth) coordinate system for the PHAT-SAT shall be developed on a millimeter scale to provide a method for referencing any location </t>
  </si>
  <si>
    <t>Facilitate a method for ensuring all systems are developed in a way that will improve accuracy (solar collection, imaging, etc.)</t>
  </si>
  <si>
    <t>Analyze the expected orbital movement of the satellite and verify than the developed coordinate system accurately models the position of the satellite.</t>
  </si>
  <si>
    <t>STR-3.02</t>
  </si>
  <si>
    <t>Imaging Obstruction</t>
  </si>
  <si>
    <t>All components of the PHAT-SAT shall not obstruct the field of view necessary for the imager with a clearance of 'X' mm</t>
  </si>
  <si>
    <t>Improve imaging quality</t>
  </si>
  <si>
    <t>Analyze the construction of the satellite and components, and test once constructed to ensure that the image sensor is unobstructed by parts of the craft.</t>
  </si>
  <si>
    <t>STR-3.03</t>
  </si>
  <si>
    <t>Access Port</t>
  </si>
  <si>
    <t>The chassis shall include an interfacing port that is compatible with USB-C</t>
  </si>
  <si>
    <t>The port is necessary for interfacing with the CubeSat after its final assembly for testing and data onboarding</t>
  </si>
  <si>
    <t>BUS-2.05, GSE-2.01</t>
  </si>
  <si>
    <t>Test that the inferfacing port exists and allows for the passage of data through USB-C port.</t>
  </si>
  <si>
    <t>STR-3.04</t>
  </si>
  <si>
    <t>Deployment Rail Material</t>
  </si>
  <si>
    <t xml:space="preserve">The PHAT-Sat rail surfaces that contact the NRCSD guide rails shall have a hardness equal to or greater than hard-anodized aluminum </t>
  </si>
  <si>
    <t>To prevent cold-welding</t>
  </si>
  <si>
    <t>Rockwell C 65-70</t>
  </si>
  <si>
    <t>Inspect the hardness of the deployment rails using a Rockwell hardness tester or similar machine to ensure they as hard or harder than anodized aluminum.</t>
  </si>
  <si>
    <t>STR-3.05</t>
  </si>
  <si>
    <t>Rail Texture</t>
  </si>
  <si>
    <t>PHAT-Sat rail surfaces will have a surface roughness of less than or equal to 1.6 micrometers.</t>
  </si>
  <si>
    <t>Smooth deployment</t>
  </si>
  <si>
    <t>1.6 micrometers</t>
  </si>
  <si>
    <t>Inspect the satallite deployment rail surfaces with sylus profilometry, optical profilometery, tactile comparison, or other method to ensure roughness less than or equal to 1.6 micrometeres.</t>
  </si>
  <si>
    <t>STR-3.06</t>
  </si>
  <si>
    <t>Exterior Dimensions</t>
  </si>
  <si>
    <t xml:space="preserve">The rails of the PHAT-Sat will be the only parts to touch the deployed. The rails will extend no less than 2 millimeters from the exterior faces of PHAT-Sat. </t>
  </si>
  <si>
    <t>To prevent undue contact with the deployer that could result in unintended damage</t>
  </si>
  <si>
    <t>2 millimeters</t>
  </si>
  <si>
    <t>Inspect the deployment rails mounted to the satellite and verify that the rails extend at minimum 2 mm from the exterior faces.</t>
  </si>
  <si>
    <t>STR-3.07</t>
  </si>
  <si>
    <t>Rail Alignment</t>
  </si>
  <si>
    <t>The rails of PHAT-Sat will be coplanar within +/- 100 micrometers</t>
  </si>
  <si>
    <t>100 micrometers</t>
  </si>
  <si>
    <t>Inspect satellite deployment rail alignment with optical comparitor or similar device to ensure rails are coplanar within +/- 100 micrometers.</t>
  </si>
  <si>
    <t>STR-3.08</t>
  </si>
  <si>
    <t>Rail Dimensions</t>
  </si>
  <si>
    <t xml:space="preserve">The rail dimensions will conform to the deployer's specifications while simultaneously meeting the PHAT-Sat dimensions </t>
  </si>
  <si>
    <t>Inspect deployment rails to confirm dimensions meet both deployer and PHAT-Sat mission specifications.</t>
  </si>
  <si>
    <t>STR-3.09</t>
  </si>
  <si>
    <t>Rail Orientation</t>
  </si>
  <si>
    <t>The rails shall run parallel to the Y-axis, one per corner of PHAT-Sat, which will allow the payload to slide along the rail interface of the deployer.</t>
  </si>
  <si>
    <t xml:space="preserve">Inspect the deployment rails and verify that they run parallel to the y-axis. </t>
  </si>
  <si>
    <t>3.8 Thermal Requirements</t>
  </si>
  <si>
    <t>THM-3.01</t>
  </si>
  <si>
    <t>Thermal Control System Volume</t>
  </si>
  <si>
    <t>The subsystem (heaters and heat strips/insulation) shall not take up more than x% of the PHAT-Sat's total volume</t>
  </si>
  <si>
    <t>Volume is limited and must be used sparingly for a supplementary system like thermal</t>
  </si>
  <si>
    <t>8.41%+straps</t>
  </si>
  <si>
    <t>I &amp; A</t>
  </si>
  <si>
    <t>Analyze the thermal control system model and verify via inspection that it does not take up more than "x" % of PHAT-Sat's volume.</t>
  </si>
  <si>
    <t>THM-3.02</t>
  </si>
  <si>
    <t>Thermal Contol System Mass</t>
  </si>
  <si>
    <t>The physical mass of the thermal subsystem (heaters, heat strips, insulation) shall not exceed x grams</t>
  </si>
  <si>
    <t>Mass will be a finite resource on PHAT-Sat and must be distributed between subsystems</t>
  </si>
  <si>
    <t>100g</t>
  </si>
  <si>
    <t>75.4g</t>
  </si>
  <si>
    <t>Inspect the thermal control system component mass to confirm does not exceed "x" grams.</t>
  </si>
  <si>
    <t>THM-3.03</t>
  </si>
  <si>
    <t>Thermal Control System Energy Usage</t>
  </si>
  <si>
    <t>Energy usage per orbit shall not exceed x Wh. This includes active thermal regulation (RTDs, control system for heater) inside of EPS and resistive heaters.</t>
  </si>
  <si>
    <t>Energy will be a finite resource on PHAT-Sat and must be distributed between subsystems</t>
  </si>
  <si>
    <t>Analyze expected power consumption of components and test that energy usage does not exceed "x" Wh for an orbital period.</t>
  </si>
  <si>
    <t>THM-3.04</t>
  </si>
  <si>
    <t>Thermal Control System Payload</t>
  </si>
  <si>
    <t>The payloads shall be maintained within -40 to 80 C temperature range (hard cutoff range) based upon the operational requirements of each (narrowed in op range)</t>
  </si>
  <si>
    <t>Payload Operational Status</t>
  </si>
  <si>
    <t>Analyze the thermal system's payload cooling/heating capabilities in a simulated environment and verify temps are between -40 and 80C for hard cutoff.</t>
  </si>
  <si>
    <t>THM-3.05</t>
  </si>
  <si>
    <t>Thermal Control System Radiator</t>
  </si>
  <si>
    <t>The radiator shall maintain a temperature within a -20 to 40 C range (passive system, heat strips)</t>
  </si>
  <si>
    <t>System Health</t>
  </si>
  <si>
    <t>Analyze the thermal system's radiator in a simulated environment and confirm that the temps are maintained between -20 ot 40C in operating conditions.</t>
  </si>
  <si>
    <t>THM-3.06</t>
  </si>
  <si>
    <t>Thermal Control System Stability</t>
  </si>
  <si>
    <t>the thermal control system shall maintain the payload temperature with a -30 to 70 C range</t>
  </si>
  <si>
    <t>Payload Operational Status and Quality during times of necessary operations</t>
  </si>
  <si>
    <t>Analyze the thermal system's payload cooling/heating capabilities in a simulated environment and verify temps are between -30 and 70C.</t>
  </si>
  <si>
    <t>THM-3.07</t>
  </si>
  <si>
    <t>Thermal Control System Measurement</t>
  </si>
  <si>
    <t>Temperatue shall be recorded within x intervals of each operating component within the cubesat and relayed to controls</t>
  </si>
  <si>
    <t>Tracking the current temperatures will allow the computer to activate/deactivate thermal control systems as needed</t>
  </si>
  <si>
    <t>Test that the thermal control system is recording remperature data of each component and relaying to control systems.</t>
  </si>
  <si>
    <t>THM-3.08</t>
  </si>
  <si>
    <t>Thermal Control System Derivative</t>
  </si>
  <si>
    <t>Temperature of each component should not change with respect to time at a rate greater than x degrees per x time interval. Accomplished with balance of control systems, radiation, and heat generation</t>
  </si>
  <si>
    <t>Power Usage Efficiency and Factor of Safety</t>
  </si>
  <si>
    <t>Analyze rate of change of component temperatures in simulated environemt to verify they do not change by more than "x" degrees per "x" time interval.</t>
  </si>
  <si>
    <t>3.10 Ground Station Hardware Requirments</t>
  </si>
  <si>
    <t>GSH-3.01</t>
  </si>
  <si>
    <t>Location</t>
  </si>
  <si>
    <t>The ground system shall have a two primary locations that allows for clear communication at TBD time intervals. Communications for commands and telemmetry shall be located within the boundaries of campus and payload data should be downlinked at a different location.</t>
  </si>
  <si>
    <t>Primary location shall be KSU radio station, or somewhere on campus where commands and telemmetry can occur. Other primary location is needed to downlink payload data and in case of equipment failure or power loss.</t>
  </si>
  <si>
    <t>Demonstrate that a primary and secondary ground station exist, and that the primary locaition is located within campus boundaries.</t>
  </si>
  <si>
    <t>GSH-3.02</t>
  </si>
  <si>
    <t>Contact Time</t>
  </si>
  <si>
    <t>The ground system shall be aware of the satellite's location to achieve communication for  a TBD amount of minutes.</t>
  </si>
  <si>
    <t>Contact time needs to allow for required data to be transmitted and recieved.</t>
  </si>
  <si>
    <t>Demonstrate that the ground system is able to track satelite location for TBD amount of minutes</t>
  </si>
  <si>
    <t>GSH-3.03</t>
  </si>
  <si>
    <t>Security</t>
  </si>
  <si>
    <t>The ground station shall be in a secure location with restricted access.</t>
  </si>
  <si>
    <t>Ground station hardware can be sensitive equipment that should only be accessed by informed and trained personell.</t>
  </si>
  <si>
    <t>GSH-3.06</t>
  </si>
  <si>
    <t>Demonstrate that only trained personell have access to mission sensitive equipment and that the equipment is stored in a non-sensitive location.</t>
  </si>
  <si>
    <t>GSH-3.04</t>
  </si>
  <si>
    <t>The ground station shall be able to provide "x" amount of power to components.</t>
  </si>
  <si>
    <t>Certain components may have specific power requirements to efficiently and properly function.</t>
  </si>
  <si>
    <t>A&amp;D</t>
  </si>
  <si>
    <t>Analyze how much power each component needs and demonstrate that the ground station can provide enough power to each component</t>
  </si>
  <si>
    <t>GSH-3.05</t>
  </si>
  <si>
    <t>Licensing</t>
  </si>
  <si>
    <t>The ground station shall have licesning to operate UHF bands and X-Band at both ground stations. Must have liscensing (IARU) and meet FCC requirements.</t>
  </si>
  <si>
    <t>Experimental radio license is common for universities. Capable of supporting amateur radio station.</t>
  </si>
  <si>
    <t>CDH-3.03, CDH-3.04</t>
  </si>
  <si>
    <t>Demonstrate that the university is in posession of an experimental radio license that allows operations in the UHF band.</t>
  </si>
  <si>
    <t>Training</t>
  </si>
  <si>
    <t>Personell directly operating the ground station shall have expert level training on its systems.</t>
  </si>
  <si>
    <t>Demonstrate that all personell operating the ground station have had an exceptable level of training and meet the required qualifications</t>
  </si>
  <si>
    <t>GSH-3.07</t>
  </si>
  <si>
    <t>The ground station shall have an operational lifetime that meets or exceeds PHAT-SAT's operational lifetime.</t>
  </si>
  <si>
    <t>PHAT-SAT has no way to deliver data or be monitored if the ground station is inoperable.</t>
  </si>
  <si>
    <t>&gt;2 years</t>
  </si>
  <si>
    <t>Analyze ground station system hardware and evaluate expected lifetime in simulated environment to verify lifetime is greater than or equal to mission life.</t>
  </si>
  <si>
    <t>3.11 Ground Software Requirements</t>
  </si>
  <si>
    <t>GSW-3.01</t>
  </si>
  <si>
    <t>Hosting</t>
  </si>
  <si>
    <t>The ground software shall be hosted in the cloud</t>
  </si>
  <si>
    <t>The cloud offers benefits such as scaleability, redundancy, and is relatively affordable. Furthermore, it allows us to easily utilize multiple ground stations by having them all send data to the same point.</t>
  </si>
  <si>
    <t>Demonstrate that the ground software is running in a cloud-based environment</t>
  </si>
  <si>
    <t>GSW-3.02</t>
  </si>
  <si>
    <t>File Transfer</t>
  </si>
  <si>
    <t>The ground software shall reliably and securely be able to transfer information to the satellite.</t>
  </si>
  <si>
    <t>The ground system must be able to send commands and receive images.</t>
  </si>
  <si>
    <t>Demonstrate that ground software is able to generate commands to be sent to the satellite and transmit them when commanded to.</t>
  </si>
  <si>
    <t>GSW-3.03</t>
  </si>
  <si>
    <t>Data Processing</t>
  </si>
  <si>
    <t>The ground software shall process NIR image data into NDVI.</t>
  </si>
  <si>
    <t>The software must create usable data</t>
  </si>
  <si>
    <t>Demonstrate that the ground software is able to generate NDVI images from the downlinked NIR data</t>
  </si>
  <si>
    <t>GSW-3.04</t>
  </si>
  <si>
    <t>The ground software shall establish an encryption and decompression protocol during communications.</t>
  </si>
  <si>
    <t>Ensure stystem security and data reliability of data transfer</t>
  </si>
  <si>
    <t>Analyze potential security requirements and demonstrate that a encryption protocol has been established.</t>
  </si>
  <si>
    <t>GSW-3.05</t>
  </si>
  <si>
    <t>Network</t>
  </si>
  <si>
    <t>The ground software shall establish a network between ground locations.</t>
  </si>
  <si>
    <t>To establish communications between ground stations, command, and databases.</t>
  </si>
  <si>
    <t>T&amp;D</t>
  </si>
  <si>
    <t xml:space="preserve">Test that the ground software can establish a connection between its ground stations, then demonstrate that it can establish this connection reliably </t>
  </si>
  <si>
    <t>GSW-3.06</t>
  </si>
  <si>
    <t>Satellite Status</t>
  </si>
  <si>
    <t>The ground software shall be able to display the status of the satellite</t>
  </si>
  <si>
    <t>To keep users aware of the status of the satellite and to be able to send commands to mitigate problems</t>
  </si>
  <si>
    <t>Demonstrate that the ground status is able to show the current status of the satellite to the operator</t>
  </si>
  <si>
    <t>GSW-3.07</t>
  </si>
  <si>
    <t>The ground software shall distribute processed data to a database</t>
  </si>
  <si>
    <t xml:space="preserve">It will be important to maintain data in multiple forms and have redundancy on where it is held. </t>
  </si>
  <si>
    <t>Demonstrate that the ground software is able to disperse its data to a database with redundancy</t>
  </si>
  <si>
    <t>GSW-3.08</t>
  </si>
  <si>
    <t>Distribution</t>
  </si>
  <si>
    <t>The ground software shall distribute process data to users.</t>
  </si>
  <si>
    <t>The entire goal of the project is to distribute impactful information to end-users</t>
  </si>
  <si>
    <t>Demonstrate that the ground software is able to facilitate distribution of downlink data to multiple end users.</t>
  </si>
  <si>
    <t>3.12 Mission Operation Requirements</t>
  </si>
  <si>
    <t>MOP-3.01</t>
  </si>
  <si>
    <t>MOP-3.02</t>
  </si>
  <si>
    <t>MOP-3.03</t>
  </si>
  <si>
    <t>MOP-3.04</t>
  </si>
  <si>
    <t>MOP-3.05</t>
  </si>
  <si>
    <t>3.13 Launch System Requirements</t>
  </si>
  <si>
    <t>LNC-3.01</t>
  </si>
  <si>
    <t>Deployment Tumble</t>
  </si>
  <si>
    <t>The launch dispenser shall deploy PHAT-Sat with a tumbling rate of less than "x" deg/s.</t>
  </si>
  <si>
    <t>LNC must not create excessive tumbling, due to STR deployment method and ADC detumble ability.</t>
  </si>
  <si>
    <t>&lt; "x" deg/s</t>
  </si>
  <si>
    <t>&lt; "y" deg/s</t>
  </si>
  <si>
    <t>Analyze launcher system in simulated environment and determine tumble induced by dispenser.</t>
  </si>
  <si>
    <t>LNC-3.02</t>
  </si>
  <si>
    <t>Volume Compliance</t>
  </si>
  <si>
    <t>LNC shall be capable of launching an "x" U satellite into the desired orbit.</t>
  </si>
  <si>
    <t>Constraint based on system parameters.</t>
  </si>
  <si>
    <t>SYS-2.25, SYS-2.01</t>
  </si>
  <si>
    <t>= 3U</t>
  </si>
  <si>
    <t>Analyze system parameters and demonstrate that LNC is capable of launching an "x" U satelite into desired orbit</t>
  </si>
  <si>
    <t>LNC-3.03</t>
  </si>
  <si>
    <t>Mass Compliance</t>
  </si>
  <si>
    <t>LNC shall be capable of launching at least "x" kg into the desired orbit.</t>
  </si>
  <si>
    <t>&gt;= "x" kg</t>
  </si>
  <si>
    <t>&gt;= "y" kg</t>
  </si>
  <si>
    <t>Demonstrate that launch provider is able to accept and dispense a satellite of at least "x" kg.</t>
  </si>
  <si>
    <t>LNC-3.04a</t>
  </si>
  <si>
    <t>Launch Provider Compliance</t>
  </si>
  <si>
    <t>LNC shall provide STR with dispenser specifications and testing methods, to ensure compabitility with the provider's deployment system.</t>
  </si>
  <si>
    <t>Launch provider affects STR deployment design.</t>
  </si>
  <si>
    <t xml:space="preserve">Demonstrate that LNC provides STR with required data </t>
  </si>
  <si>
    <t>LNC-3.04b</t>
  </si>
  <si>
    <t>ISS Launch Compliance</t>
  </si>
  <si>
    <t>If deployed from ISS, LNC shall provide STR with all special despenser needs.</t>
  </si>
  <si>
    <t>Launch method affects STR deployment design.</t>
  </si>
  <si>
    <t>Demonstrate that in the case of deploymet from ISS, LNC shall provide STR with dispenser needs</t>
  </si>
  <si>
    <t>LNC-3.05</t>
  </si>
  <si>
    <t>LNC shall cost less than "x" dollars.</t>
  </si>
  <si>
    <t>Allocation for satellite launch.</t>
  </si>
  <si>
    <t>&lt; "x" dollars</t>
  </si>
  <si>
    <t>Demonstrate that the total cost of launch and dispensing is within the allocated budget of "x" dollars.</t>
  </si>
  <si>
    <t>3.14 Electrical Ground Support Requirements</t>
  </si>
  <si>
    <t>EGSE-3.01</t>
  </si>
  <si>
    <t>The integration and test facility shall have a secure location on campus.</t>
  </si>
  <si>
    <t xml:space="preserve">A designated area for testing and assembly. </t>
  </si>
  <si>
    <t>D&amp;I</t>
  </si>
  <si>
    <t xml:space="preserve">Demonstrate that integration and test have a location on campus and inspect the location to ensure that it remains secure </t>
  </si>
  <si>
    <t>EGSE-3.02</t>
  </si>
  <si>
    <t>The integration and test facility shall have access restricted to designated team personnel.</t>
  </si>
  <si>
    <t>Prevent unauthorized access to sensitive components.</t>
  </si>
  <si>
    <t xml:space="preserve">Demonstrate that the I&amp;T facility is in an access-controlled location and that only certain individuals have access to the location and equipment. </t>
  </si>
  <si>
    <t>EGSE-3.03</t>
  </si>
  <si>
    <t>Testing Equipment</t>
  </si>
  <si>
    <t>The integration and test facility shall provide electrical testing equipment not limited to a multimeter, power supply, function generator, o-scope, data acquisition system, ect.</t>
  </si>
  <si>
    <t>Allows for accurate testing and assembly of components.</t>
  </si>
  <si>
    <t>Analyze what equipment is needed for any testing and integration and then demonstrate that the facility is able to provide all necessary equipment</t>
  </si>
  <si>
    <t>EGSE-3.04</t>
  </si>
  <si>
    <t>Power Delivery</t>
  </si>
  <si>
    <t>The facility shall be able to provide power to "x" number of components</t>
  </si>
  <si>
    <t>All equipment requires proper power delivery to operate normally</t>
  </si>
  <si>
    <t>Analyze the total power requirement of all equipmment in I&amp;T facility, and test to ensure all equipment operates with available power</t>
  </si>
  <si>
    <t>EGSE-3.05</t>
  </si>
  <si>
    <t>Grounding Requirements</t>
  </si>
  <si>
    <t>All work areas in the facility that will come in contact with satellite components shall be grounded</t>
  </si>
  <si>
    <t>To protect all sensitive electronics from static discharge</t>
  </si>
  <si>
    <t>Demonstrate that the equipment grounding harware is present, and inspect to ensure effective grounding.</t>
  </si>
  <si>
    <t>3.15 Mechanical Ground Support Requirements</t>
  </si>
  <si>
    <t>PHAT-SAT LEVEL 4 REQUIREMENTS: Component Level</t>
  </si>
  <si>
    <t>PHAT-SAT LEVEL 5 REQUIREMENTS: Part-Level</t>
  </si>
  <si>
    <t>Perecnt Not Filled in</t>
  </si>
  <si>
    <t>Scores</t>
  </si>
  <si>
    <t>Frequency</t>
  </si>
  <si>
    <t>Including Not Filled In</t>
  </si>
  <si>
    <t>Not Filled in</t>
  </si>
  <si>
    <t>Perecnt Green</t>
  </si>
  <si>
    <t>Percent Yellow</t>
  </si>
  <si>
    <t>Percent Red</t>
  </si>
  <si>
    <t>Not Including Spaces Not Filled In</t>
  </si>
  <si>
    <t>}- not possible with integer 5x5 multiplication</t>
  </si>
  <si>
    <t>\
/ - not possible with integer 5x5 multiplication</t>
  </si>
  <si>
    <t>1x1</t>
  </si>
  <si>
    <t>1x2</t>
  </si>
  <si>
    <t>\
  | - not possible with integer 5x5 multiplication
/</t>
  </si>
  <si>
    <t>1x3</t>
  </si>
  <si>
    <t>1x4</t>
  </si>
  <si>
    <t>1x5</t>
  </si>
  <si>
    <t>2x1</t>
  </si>
  <si>
    <t>\
  |
  | - not possible with integer 5x5 multiplication
/</t>
  </si>
  <si>
    <t>2x2</t>
  </si>
  <si>
    <t>2x3</t>
  </si>
  <si>
    <t>2x4</t>
  </si>
  <si>
    <t>2x5</t>
  </si>
  <si>
    <t>3x1</t>
  </si>
  <si>
    <t>3x2</t>
  </si>
  <si>
    <t>3x3</t>
  </si>
  <si>
    <t>3x4</t>
  </si>
  <si>
    <t>3x5</t>
  </si>
  <si>
    <t>4x1</t>
  </si>
  <si>
    <t>Green</t>
  </si>
  <si>
    <t>4x2</t>
  </si>
  <si>
    <t xml:space="preserve">Yellow </t>
  </si>
  <si>
    <t>4x3</t>
  </si>
  <si>
    <t>Red</t>
  </si>
  <si>
    <t>4x4</t>
  </si>
  <si>
    <t>4x5</t>
  </si>
  <si>
    <t>Sum</t>
  </si>
  <si>
    <t>5x1</t>
  </si>
  <si>
    <t>5x2</t>
  </si>
  <si>
    <t>5x3</t>
  </si>
  <si>
    <t>5x4</t>
  </si>
  <si>
    <t>5x5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</si>
</sst>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2"/>
      <color theme="1"/>
      <name val="Aptos Narrow"/>
      <family val="2"/>
      <scheme val="minor"/>
    </font>
    <font>
      <b/>
      <sz val="18"/>
      <color theme="0"/>
      <name val="Aptos Narrow"/>
      <family val="2"/>
      <scheme val="minor"/>
    </font>
    <font>
      <b/>
      <sz val="13"/>
      <color theme="1"/>
      <name val="Aptos Narrow"/>
      <family val="2"/>
      <scheme val="minor"/>
    </font>
    <font>
      <sz val="11"/>
      <color rgb="FF000000"/>
      <name val="Aptos Narrow"/>
      <family val="2"/>
      <scheme val="minor"/>
    </font>
    <font>
      <sz val="11"/>
      <color rgb="FF242424"/>
      <name val="Aptos Narrow"/>
      <family val="2"/>
    </font>
    <font>
      <sz val="11"/>
      <color rgb="FF000000"/>
      <name val="Aptos Narrow"/>
      <family val="2"/>
    </font>
    <font>
      <b/>
      <sz val="11"/>
      <color rgb="FF000000"/>
      <name val="Aptos Narrow"/>
      <family val="2"/>
      <scheme val="minor"/>
    </font>
    <font>
      <sz val="10"/>
      <color rgb="FF000000"/>
      <name val="Aptos Display"/>
      <family val="2"/>
      <scheme val="major"/>
    </font>
    <font>
      <b/>
      <sz val="9"/>
      <color indexed="81"/>
      <name val="Tahoma"/>
      <family val="2"/>
    </font>
    <font>
      <sz val="9"/>
      <color indexed="81"/>
      <name val="Tahoma"/>
      <family val="2"/>
    </font>
    <font>
      <u/>
      <sz val="11"/>
      <color theme="10"/>
      <name val="Aptos Narrow"/>
      <family val="2"/>
      <scheme val="minor"/>
    </font>
    <font>
      <sz val="11"/>
      <color rgb="FF000000"/>
      <name val="Aptos Narrow"/>
    </font>
  </fonts>
  <fills count="24">
    <fill>
      <patternFill patternType="none"/>
    </fill>
    <fill>
      <patternFill patternType="gray125"/>
    </fill>
    <fill>
      <patternFill patternType="solid">
        <fgColor theme="2" tint="-9.9978637043366805E-2"/>
        <bgColor indexed="64"/>
      </patternFill>
    </fill>
    <fill>
      <patternFill patternType="solid">
        <fgColor rgb="FF9966FF"/>
        <bgColor indexed="64"/>
      </patternFill>
    </fill>
    <fill>
      <patternFill patternType="solid">
        <fgColor theme="2" tint="-0.249977111117893"/>
        <bgColor indexed="64"/>
      </patternFill>
    </fill>
    <fill>
      <patternFill patternType="solid">
        <fgColor rgb="FF6600CC"/>
        <bgColor indexed="64"/>
      </patternFill>
    </fill>
    <fill>
      <patternFill patternType="solid">
        <fgColor rgb="FFFFFF00"/>
        <bgColor indexed="64"/>
      </patternFill>
    </fill>
    <fill>
      <patternFill patternType="solid">
        <fgColor rgb="FFFFA3A3"/>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rgb="FF000000"/>
      </patternFill>
    </fill>
    <fill>
      <patternFill patternType="solid">
        <fgColor rgb="FFFFFFFF"/>
        <bgColor rgb="FF000000"/>
      </patternFill>
    </fill>
    <fill>
      <patternFill patternType="solid">
        <fgColor theme="6"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rgb="FFEAD0F7"/>
        <bgColor indexed="64"/>
      </patternFill>
    </fill>
    <fill>
      <patternFill patternType="solid">
        <fgColor rgb="FFFFFCCC"/>
        <bgColor indexed="64"/>
      </patternFill>
    </fill>
    <fill>
      <patternFill patternType="solid">
        <fgColor theme="7" tint="0.79998168889431442"/>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s>
  <cellStyleXfs count="2">
    <xf numFmtId="0" fontId="0" fillId="0" borderId="0"/>
    <xf numFmtId="0" fontId="15" fillId="0" borderId="0" applyNumberFormat="0" applyFill="0" applyBorder="0" applyAlignment="0" applyProtection="0"/>
  </cellStyleXfs>
  <cellXfs count="109">
    <xf numFmtId="0" fontId="0" fillId="0" borderId="0" xfId="0"/>
    <xf numFmtId="0" fontId="3" fillId="0" borderId="0" xfId="0" applyFont="1"/>
    <xf numFmtId="0" fontId="1" fillId="3" borderId="2" xfId="0" applyFont="1" applyFill="1" applyBorder="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2" fillId="0" borderId="0" xfId="0" applyFont="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6" borderId="2" xfId="0" applyFill="1" applyBorder="1" applyAlignment="1">
      <alignment vertical="center" wrapText="1"/>
    </xf>
    <xf numFmtId="0" fontId="0" fillId="0" borderId="2" xfId="0" quotePrefix="1" applyBorder="1" applyAlignment="1">
      <alignment vertical="center" wrapText="1"/>
    </xf>
    <xf numFmtId="0" fontId="8" fillId="0" borderId="2" xfId="0" applyFont="1" applyBorder="1" applyAlignment="1">
      <alignment vertical="center" wrapText="1"/>
    </xf>
    <xf numFmtId="0" fontId="0" fillId="8" borderId="2" xfId="0" applyFill="1" applyBorder="1" applyAlignment="1">
      <alignment vertical="center" wrapText="1"/>
    </xf>
    <xf numFmtId="0" fontId="11" fillId="8" borderId="2" xfId="0" applyFont="1" applyFill="1" applyBorder="1" applyAlignment="1">
      <alignment vertical="center" wrapText="1"/>
    </xf>
    <xf numFmtId="0" fontId="0" fillId="0" borderId="1" xfId="0" applyBorder="1" applyAlignment="1">
      <alignment horizontal="center" vertical="center" wrapText="1"/>
    </xf>
    <xf numFmtId="0" fontId="0" fillId="8" borderId="2" xfId="0" quotePrefix="1" applyFill="1" applyBorder="1" applyAlignment="1">
      <alignment vertical="center" wrapText="1"/>
    </xf>
    <xf numFmtId="0" fontId="0" fillId="8" borderId="0" xfId="0" applyFill="1" applyAlignment="1">
      <alignment vertical="center" wrapText="1"/>
    </xf>
    <xf numFmtId="0" fontId="0" fillId="8" borderId="0" xfId="0" applyFill="1"/>
    <xf numFmtId="0" fontId="0" fillId="9" borderId="2" xfId="0" applyFill="1" applyBorder="1" applyAlignment="1">
      <alignment vertical="center" wrapText="1"/>
    </xf>
    <xf numFmtId="0" fontId="0" fillId="9" borderId="0" xfId="0" applyFill="1"/>
    <xf numFmtId="0" fontId="0" fillId="9" borderId="0" xfId="0" applyFill="1" applyAlignment="1">
      <alignment vertical="center" wrapText="1"/>
    </xf>
    <xf numFmtId="0" fontId="0" fillId="0" borderId="2" xfId="0" applyBorder="1" applyAlignment="1">
      <alignment horizontal="center" vertical="center" wrapText="1"/>
    </xf>
    <xf numFmtId="0" fontId="8" fillId="6" borderId="2" xfId="0" applyFont="1" applyFill="1" applyBorder="1" applyAlignment="1">
      <alignment vertical="center" wrapText="1"/>
    </xf>
    <xf numFmtId="0" fontId="0" fillId="10" borderId="2" xfId="0" applyFill="1" applyBorder="1" applyAlignment="1">
      <alignment vertical="center" wrapText="1"/>
    </xf>
    <xf numFmtId="0" fontId="0" fillId="0" borderId="2" xfId="0" applyBorder="1" applyAlignment="1">
      <alignment vertical="center"/>
    </xf>
    <xf numFmtId="0" fontId="0" fillId="0" borderId="0" xfId="0" applyAlignment="1">
      <alignment horizontal="center" vertical="center" wrapText="1"/>
    </xf>
    <xf numFmtId="0" fontId="0" fillId="0" borderId="0" xfId="0" applyAlignment="1">
      <alignment horizontal="center"/>
    </xf>
    <xf numFmtId="0" fontId="0" fillId="0" borderId="2" xfId="0" applyBorder="1" applyAlignment="1">
      <alignment wrapText="1"/>
    </xf>
    <xf numFmtId="0" fontId="0" fillId="0" borderId="2" xfId="0" applyBorder="1"/>
    <xf numFmtId="0" fontId="8" fillId="11" borderId="2" xfId="0" applyFont="1" applyFill="1" applyBorder="1" applyAlignment="1">
      <alignment vertical="center" wrapText="1"/>
    </xf>
    <xf numFmtId="0" fontId="8" fillId="0" borderId="2" xfId="0" quotePrefix="1" applyFont="1" applyBorder="1" applyAlignment="1">
      <alignment vertical="center" wrapText="1"/>
    </xf>
    <xf numFmtId="0" fontId="12" fillId="0" borderId="2" xfId="0" applyFont="1" applyBorder="1" applyAlignment="1">
      <alignment horizontal="center" vertical="center" wrapText="1"/>
    </xf>
    <xf numFmtId="0" fontId="0" fillId="0" borderId="2" xfId="0" applyBorder="1" applyAlignment="1">
      <alignment horizontal="center" vertical="center"/>
    </xf>
    <xf numFmtId="0" fontId="0" fillId="8" borderId="2" xfId="0" applyFill="1" applyBorder="1" applyAlignment="1">
      <alignment horizontal="center" vertical="center" wrapText="1"/>
    </xf>
    <xf numFmtId="0" fontId="10" fillId="0" borderId="6" xfId="0" applyFont="1" applyBorder="1" applyAlignment="1">
      <alignment wrapText="1"/>
    </xf>
    <xf numFmtId="0" fontId="10" fillId="0" borderId="8" xfId="0" applyFont="1" applyBorder="1" applyAlignment="1">
      <alignment wrapText="1"/>
    </xf>
    <xf numFmtId="0" fontId="0" fillId="13" borderId="2" xfId="0" applyFill="1" applyBorder="1" applyAlignment="1">
      <alignment vertical="center" wrapText="1"/>
    </xf>
    <xf numFmtId="0" fontId="0" fillId="13" borderId="2" xfId="0" applyFill="1" applyBorder="1" applyAlignment="1">
      <alignment horizontal="center" vertical="center" wrapText="1"/>
    </xf>
    <xf numFmtId="0" fontId="0" fillId="13" borderId="0" xfId="0" applyFill="1"/>
    <xf numFmtId="0" fontId="0" fillId="13" borderId="0" xfId="0" applyFill="1" applyAlignment="1">
      <alignment vertical="center" wrapText="1"/>
    </xf>
    <xf numFmtId="0" fontId="2" fillId="0" borderId="2" xfId="0" applyFont="1" applyBorder="1" applyAlignment="1">
      <alignment vertical="center" wrapText="1"/>
    </xf>
    <xf numFmtId="0" fontId="15" fillId="8" borderId="2" xfId="1" applyFill="1" applyBorder="1" applyAlignment="1">
      <alignment vertical="center" wrapText="1"/>
    </xf>
    <xf numFmtId="0" fontId="2" fillId="0" borderId="1" xfId="0" applyFont="1" applyBorder="1" applyAlignment="1">
      <alignment horizontal="center" vertical="center" wrapText="1"/>
    </xf>
    <xf numFmtId="0" fontId="16" fillId="0" borderId="5" xfId="0" applyFont="1" applyBorder="1" applyAlignment="1">
      <alignment horizontal="center" wrapText="1"/>
    </xf>
    <xf numFmtId="0" fontId="16" fillId="0" borderId="5" xfId="0" applyFont="1" applyBorder="1" applyAlignment="1">
      <alignment wrapText="1"/>
    </xf>
    <xf numFmtId="0" fontId="16" fillId="0" borderId="5" xfId="0" applyFont="1" applyBorder="1" applyAlignment="1">
      <alignment horizontal="center" vertical="center" wrapText="1"/>
    </xf>
    <xf numFmtId="0" fontId="0" fillId="9" borderId="2" xfId="0" applyFill="1" applyBorder="1" applyAlignment="1">
      <alignment horizontal="center" vertical="center" wrapText="1"/>
    </xf>
    <xf numFmtId="0" fontId="5" fillId="2" borderId="5" xfId="0" applyFont="1" applyFill="1" applyBorder="1" applyAlignment="1">
      <alignment horizontal="left" vertical="center" wrapText="1" indent="2"/>
    </xf>
    <xf numFmtId="0" fontId="0" fillId="2" borderId="2" xfId="0" applyFill="1" applyBorder="1" applyAlignment="1">
      <alignment horizontal="center" vertical="center" wrapText="1"/>
    </xf>
    <xf numFmtId="0" fontId="8" fillId="0" borderId="2" xfId="0" applyFont="1" applyBorder="1" applyAlignment="1">
      <alignment horizontal="center" vertical="center" wrapText="1"/>
    </xf>
    <xf numFmtId="0" fontId="10" fillId="0" borderId="2" xfId="0" applyFont="1" applyBorder="1" applyAlignment="1">
      <alignment horizontal="center" wrapText="1"/>
    </xf>
    <xf numFmtId="0" fontId="10" fillId="0" borderId="2" xfId="0" applyFont="1" applyBorder="1" applyAlignment="1">
      <alignment wrapText="1"/>
    </xf>
    <xf numFmtId="0" fontId="10" fillId="0" borderId="2" xfId="0" applyFont="1" applyBorder="1"/>
    <xf numFmtId="0" fontId="16" fillId="0" borderId="2" xfId="0" applyFont="1" applyBorder="1" applyAlignment="1">
      <alignment wrapText="1"/>
    </xf>
    <xf numFmtId="0" fontId="16" fillId="0" borderId="2" xfId="0" applyFont="1" applyBorder="1" applyAlignment="1">
      <alignment horizontal="center" wrapText="1"/>
    </xf>
    <xf numFmtId="0" fontId="16" fillId="12" borderId="2" xfId="0" applyFont="1" applyFill="1" applyBorder="1" applyAlignment="1">
      <alignment wrapText="1"/>
    </xf>
    <xf numFmtId="0" fontId="16" fillId="1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8" fillId="13"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0" fillId="0" borderId="2" xfId="0" applyBorder="1" applyAlignment="1">
      <alignment horizontal="left" vertical="center" wrapText="1"/>
    </xf>
    <xf numFmtId="0" fontId="8" fillId="9" borderId="2" xfId="0" applyFont="1" applyFill="1" applyBorder="1" applyAlignment="1">
      <alignment horizontal="center" vertical="center" wrapText="1"/>
    </xf>
    <xf numFmtId="0" fontId="9" fillId="6" borderId="2" xfId="0" applyFont="1" applyFill="1" applyBorder="1"/>
    <xf numFmtId="0" fontId="9" fillId="0" borderId="2" xfId="0" applyFont="1" applyBorder="1" applyAlignment="1">
      <alignment wrapText="1"/>
    </xf>
    <xf numFmtId="0" fontId="9" fillId="0" borderId="2" xfId="0" applyFont="1" applyBorder="1"/>
    <xf numFmtId="0" fontId="8" fillId="7"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10" fontId="0" fillId="0" borderId="2" xfId="0" applyNumberFormat="1" applyBorder="1" applyAlignment="1">
      <alignment vertical="center" wrapText="1"/>
    </xf>
    <xf numFmtId="0" fontId="2" fillId="0" borderId="2" xfId="0" applyFont="1" applyBorder="1" applyAlignment="1">
      <alignment horizontal="center" vertical="center" wrapText="1"/>
    </xf>
    <xf numFmtId="0" fontId="3" fillId="16" borderId="1" xfId="0" applyFont="1" applyFill="1" applyBorder="1" applyAlignment="1">
      <alignment horizontal="center" vertical="center" wrapText="1"/>
    </xf>
    <xf numFmtId="0" fontId="0" fillId="0" borderId="9" xfId="0" applyBorder="1" applyAlignment="1">
      <alignment vertical="center" wrapText="1"/>
    </xf>
    <xf numFmtId="0" fontId="0" fillId="0" borderId="0" xfId="0" applyAlignment="1">
      <alignment horizontal="left" vertical="center" wrapText="1"/>
    </xf>
    <xf numFmtId="0" fontId="0" fillId="17" borderId="2" xfId="0" applyFill="1" applyBorder="1" applyAlignment="1">
      <alignment vertical="center" wrapText="1"/>
    </xf>
    <xf numFmtId="0" fontId="0" fillId="18" borderId="2" xfId="0" applyFill="1" applyBorder="1" applyAlignment="1">
      <alignment vertical="center" wrapText="1"/>
    </xf>
    <xf numFmtId="0" fontId="0" fillId="6" borderId="0" xfId="0" applyFill="1" applyAlignment="1">
      <alignment horizontal="center" vertical="center" wrapText="1"/>
    </xf>
    <xf numFmtId="0" fontId="0" fillId="19" borderId="0" xfId="0" applyFill="1" applyAlignment="1">
      <alignment horizontal="center" vertical="center" wrapText="1"/>
    </xf>
    <xf numFmtId="0" fontId="16" fillId="8" borderId="2" xfId="0" applyFont="1" applyFill="1" applyBorder="1"/>
    <xf numFmtId="0" fontId="0" fillId="0" borderId="11" xfId="0" applyBorder="1" applyAlignment="1">
      <alignment vertical="center" wrapText="1"/>
    </xf>
    <xf numFmtId="10" fontId="0" fillId="0" borderId="12" xfId="0" applyNumberFormat="1" applyBorder="1" applyAlignment="1">
      <alignment vertical="center" wrapText="1"/>
    </xf>
    <xf numFmtId="0" fontId="2" fillId="15" borderId="13" xfId="0" applyFont="1" applyFill="1" applyBorder="1" applyAlignment="1">
      <alignment horizontal="center" vertical="center" wrapText="1"/>
    </xf>
    <xf numFmtId="10" fontId="2" fillId="15" borderId="14" xfId="0" applyNumberFormat="1"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19" borderId="17" xfId="0" applyFont="1" applyFill="1" applyBorder="1" applyAlignment="1">
      <alignment horizontal="center" vertical="center" wrapText="1"/>
    </xf>
    <xf numFmtId="10" fontId="2" fillId="6" borderId="14" xfId="0" applyNumberFormat="1" applyFont="1" applyFill="1" applyBorder="1" applyAlignment="1">
      <alignment horizontal="center" vertical="center" wrapText="1"/>
    </xf>
    <xf numFmtId="10" fontId="2" fillId="19" borderId="18" xfId="0" applyNumberFormat="1" applyFont="1" applyFill="1" applyBorder="1" applyAlignment="1">
      <alignment horizontal="center" vertical="center" wrapText="1"/>
    </xf>
    <xf numFmtId="0" fontId="2" fillId="19" borderId="15" xfId="0" applyFont="1" applyFill="1" applyBorder="1" applyAlignment="1">
      <alignment horizontal="center" vertical="center" wrapText="1"/>
    </xf>
    <xf numFmtId="10" fontId="2" fillId="19" borderId="16" xfId="0" applyNumberFormat="1" applyFont="1" applyFill="1" applyBorder="1" applyAlignment="1">
      <alignment horizontal="center" vertical="center" wrapText="1"/>
    </xf>
    <xf numFmtId="0" fontId="0" fillId="20" borderId="2" xfId="0" applyFill="1" applyBorder="1" applyAlignment="1">
      <alignment vertical="center" wrapText="1"/>
    </xf>
    <xf numFmtId="0" fontId="0" fillId="14" borderId="2" xfId="0" applyFill="1" applyBorder="1" applyAlignment="1">
      <alignment vertical="center" wrapText="1"/>
    </xf>
    <xf numFmtId="0" fontId="0" fillId="21" borderId="2" xfId="0" applyFill="1" applyBorder="1" applyAlignment="1">
      <alignment vertical="center" wrapText="1"/>
    </xf>
    <xf numFmtId="0" fontId="0" fillId="22" borderId="2" xfId="0" applyFill="1" applyBorder="1" applyAlignment="1">
      <alignment vertical="center" wrapText="1"/>
    </xf>
    <xf numFmtId="0" fontId="11" fillId="0" borderId="0" xfId="0" applyFont="1" applyAlignment="1">
      <alignment horizontal="center" vertical="center" wrapText="1"/>
    </xf>
    <xf numFmtId="0" fontId="0" fillId="23" borderId="2" xfId="0" applyFill="1" applyBorder="1" applyAlignment="1">
      <alignment vertical="center" wrapText="1"/>
    </xf>
    <xf numFmtId="0" fontId="0" fillId="6" borderId="0" xfId="0" applyFill="1" applyAlignment="1">
      <alignment vertical="center" wrapText="1"/>
    </xf>
    <xf numFmtId="0" fontId="0" fillId="19" borderId="0" xfId="0" applyFill="1" applyAlignment="1">
      <alignment vertical="center" wrapText="1"/>
    </xf>
    <xf numFmtId="0" fontId="8" fillId="15" borderId="0" xfId="0" applyFont="1" applyFill="1" applyAlignment="1">
      <alignment vertical="center" wrapText="1"/>
    </xf>
    <xf numFmtId="0" fontId="8" fillId="15" borderId="0" xfId="0" applyFont="1" applyFill="1" applyAlignment="1">
      <alignment horizontal="center" vertical="center" wrapText="1"/>
    </xf>
    <xf numFmtId="0" fontId="0" fillId="8" borderId="7" xfId="0" applyFill="1" applyBorder="1" applyAlignment="1">
      <alignment horizontal="center" vertical="center" wrapText="1"/>
    </xf>
    <xf numFmtId="0" fontId="0" fillId="8" borderId="1" xfId="0" applyFill="1" applyBorder="1" applyAlignment="1">
      <alignment horizontal="center" vertical="center" wrapText="1"/>
    </xf>
    <xf numFmtId="0" fontId="0" fillId="15" borderId="0" xfId="0" applyFill="1" applyAlignment="1">
      <alignment vertical="center" wrapText="1"/>
    </xf>
    <xf numFmtId="0" fontId="5" fillId="2" borderId="2" xfId="0" applyFont="1" applyFill="1" applyBorder="1" applyAlignment="1">
      <alignment horizontal="left" vertical="center" wrapText="1" indent="2"/>
    </xf>
    <xf numFmtId="0" fontId="7" fillId="4" borderId="2" xfId="0" applyFont="1" applyFill="1" applyBorder="1" applyAlignment="1">
      <alignment horizontal="left" vertical="center" wrapText="1" indent="1"/>
    </xf>
    <xf numFmtId="0" fontId="0" fillId="0" borderId="2" xfId="0" applyBorder="1" applyAlignment="1">
      <alignment horizontal="center" vertical="center" wrapText="1"/>
    </xf>
    <xf numFmtId="0" fontId="6" fillId="5" borderId="2" xfId="0" applyFont="1" applyFill="1" applyBorder="1" applyAlignment="1">
      <alignment horizontal="left"/>
    </xf>
    <xf numFmtId="0" fontId="11"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0" borderId="9" xfId="0" applyBorder="1" applyAlignment="1">
      <alignment horizontal="left" vertical="center" wrapText="1"/>
    </xf>
    <xf numFmtId="0" fontId="0" fillId="0" borderId="0" xfId="0" applyAlignment="1">
      <alignment horizontal="left" vertical="center" wrapText="1"/>
    </xf>
  </cellXfs>
  <cellStyles count="2">
    <cellStyle name="Hyperlink" xfId="1" builtinId="8"/>
    <cellStyle name="Normal" xfId="0" builtinId="0"/>
  </cellStyles>
  <dxfs count="234">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bgColor rgb="FF00B05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00B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92D050"/>
        </patternFill>
      </fill>
    </dxf>
    <dxf>
      <fill>
        <patternFill>
          <bgColor rgb="FF00B05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33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FFFF00"/>
        </patternFill>
      </fill>
    </dxf>
    <dxf>
      <fill>
        <patternFill>
          <bgColor rgb="FF00B050"/>
        </patternFill>
      </fill>
    </dxf>
    <dxf>
      <fill>
        <patternFill>
          <bgColor rgb="FF92D05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92D050"/>
        </patternFill>
      </fill>
    </dxf>
    <dxf>
      <fill>
        <patternFill>
          <bgColor rgb="FFFFC000"/>
        </patternFill>
      </fill>
    </dxf>
    <dxf>
      <fill>
        <patternFill>
          <bgColor rgb="FFFF330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33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s>
  <tableStyles count="0" defaultTableStyle="TableStyleMedium2" defaultPivotStyle="PivotStyleLight16"/>
  <colors>
    <mruColors>
      <color rgb="FFFF5050"/>
      <color rgb="FFFF3300"/>
      <color rgb="FF9966FF"/>
      <color rgb="FF6666FF"/>
      <color rgb="FF6600CC"/>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ocumenttasks/documenttask1.xml><?xml version="1.0" encoding="utf-8"?>
<Tasks xmlns="http://schemas.microsoft.com/office/tasks/2019/documenttasks">
  <Task id="{B2DD0B11-6E27-4E9C-8ABF-9610399D6BEB}">
    <Anchor>
      <Comment id="{BCAEE6A7-4F20-44C4-B16F-4BEFF69AF420}"/>
    </Anchor>
    <History>
      <Event time="2025-04-09T13:30:54.51" id="{8573B044-C5F6-415A-833D-2DEB00FC1E50}">
        <Attribution userId="S::pmsnider@ksu.edu::8e0ebc2d-ac24-4893-a19a-1809f9ac35e3" userName="Paul Snider" userProvider="AD"/>
        <Anchor>
          <Comment id="{BCAEE6A7-4F20-44C4-B16F-4BEFF69AF420}"/>
        </Anchor>
        <Create/>
      </Event>
      <Event time="2025-04-09T13:30:54.51" id="{A6E14AAB-89E1-499C-BA79-73507B7E552F}">
        <Attribution userId="S::pmsnider@ksu.edu::8e0ebc2d-ac24-4893-a19a-1809f9ac35e3" userName="Paul Snider" userProvider="AD"/>
        <Anchor>
          <Comment id="{BCAEE6A7-4F20-44C4-B16F-4BEFF69AF420}"/>
        </Anchor>
        <Assign userId="S::walke1@ksu.edu::03abaabf-506d-405a-8901-d5aef3b1ba2f" userName="Bailey Walke" userProvider="AD"/>
      </Event>
      <Event time="2025-04-09T13:30:54.51" id="{2DF2A63B-C5D4-4A33-9160-E9F7C996BE5D}">
        <Attribution userId="S::pmsnider@ksu.edu::8e0ebc2d-ac24-4893-a19a-1809f9ac35e3" userName="Paul Snider" userProvider="AD"/>
        <Anchor>
          <Comment id="{BCAEE6A7-4F20-44C4-B16F-4BEFF69AF420}"/>
        </Anchor>
        <SetTitle title="@Bailey Walke Need Satellite level SWAP requirements."/>
      </Event>
      <Event time="2025-04-09T14:12:30.65" id="{0BAA441F-3FC7-40D8-BAEB-7791E946849B}">
        <Attribution userId="S::walke1@ksu.edu::03abaabf-506d-405a-8901-d5aef3b1ba2f" userName="Bailey Walke" userProvider="AD"/>
        <Progress percentComplete="100"/>
      </Event>
      <Event time="2025-04-09T14:43:27.62" id="{63D579A4-C13D-4481-8EDD-F8ED3EF3E22B}">
        <Attribution userId="S::pmsnider@ksu.edu::8e0ebc2d-ac24-4893-a19a-1809f9ac35e3" userName="Paul Snider" userProvider="AD"/>
        <Progress percentComplete="0"/>
      </Event>
      <Event time="2025-04-09T18:24:39.17" id="{46476C16-19DC-4763-B4C2-DC020D472E96}">
        <Attribution userId="S::walke1@ksu.edu::03abaabf-506d-405a-8901-d5aef3b1ba2f" userName="Bailey Walke" userProvider="AD"/>
        <Progress percentComplete="100"/>
      </Event>
    </History>
  </Task>
  <Task id="{E3D41C32-D34B-4798-8E8D-F6CB6D9624F0}">
    <Anchor>
      <Comment id="{EF71210C-A6E6-401E-B4F7-18A4DA210C26}"/>
    </Anchor>
    <History>
      <Event time="2025-04-09T13:56:45.57" id="{46BE0288-F0FB-46CE-872E-BE6FDC95794A}">
        <Attribution userId="S::pmsnider@ksu.edu::8e0ebc2d-ac24-4893-a19a-1809f9ac35e3" userName="Paul Snider" userProvider="AD"/>
        <Anchor>
          <Comment id="{EF71210C-A6E6-401E-B4F7-18A4DA210C26}"/>
        </Anchor>
        <Create/>
      </Event>
      <Event time="2025-04-09T13:56:45.57" id="{960AF919-531C-406B-9FE4-306879192333}">
        <Attribution userId="S::pmsnider@ksu.edu::8e0ebc2d-ac24-4893-a19a-1809f9ac35e3" userName="Paul Snider" userProvider="AD"/>
        <Anchor>
          <Comment id="{EF71210C-A6E6-401E-B4F7-18A4DA210C26}"/>
        </Anchor>
        <Assign userId="S::walke1@ksu.edu::03abaabf-506d-405a-8901-d5aef3b1ba2f" userName="Bailey Walke" userProvider="AD"/>
      </Event>
      <Event time="2025-04-09T13:56:45.57" id="{57B4EBFE-EDA7-47CB-BAC3-383F883D7714}">
        <Attribution userId="S::pmsnider@ksu.edu::8e0ebc2d-ac24-4893-a19a-1809f9ac35e3" userName="Paul Snider" userProvider="AD"/>
        <Anchor>
          <Comment id="{EF71210C-A6E6-401E-B4F7-18A4DA210C26}"/>
        </Anchor>
        <SetTitle title="@Bailey Walke Suggest changing this to Ground System Requirements. Consider a Level 2 requirements such as The Ground System shall consist of ground station, ground data, ground software and ground support equipment. (Flow each of those down to level 3…"/>
      </Event>
      <Event time="2025-04-09T14:13:56.18" id="{EE42E7D8-8C85-4834-A214-6C9725D52100}">
        <Attribution userId="S::walke1@ksu.edu::03abaabf-506d-405a-8901-d5aef3b1ba2f" userName="Bailey Walke" userProvider="AD"/>
        <Progress percentComplete="100"/>
      </Event>
    </History>
  </Task>
  <Task id="{5311E766-2910-41AF-9144-D04DAB937CF2}">
    <Anchor>
      <Comment id="{EF43B7A2-5CE1-4403-9A9F-E60C5ABFE932}"/>
    </Anchor>
    <History>
      <Event time="2025-04-09T14:13:38.28" id="{935249F5-AD78-4B4F-84BA-C41A86F2DE26}">
        <Attribution userId="S::pmsnider@ksu.edu::8e0ebc2d-ac24-4893-a19a-1809f9ac35e3" userName="Paul Snider" userProvider="AD"/>
        <Anchor>
          <Comment id="{EF43B7A2-5CE1-4403-9A9F-E60C5ABFE932}"/>
        </Anchor>
        <Create/>
      </Event>
      <Event time="2025-04-09T14:13:38.28" id="{038E85A0-0491-45AB-A3F0-8D0BC5D98C63}">
        <Attribution userId="S::pmsnider@ksu.edu::8e0ebc2d-ac24-4893-a19a-1809f9ac35e3" userName="Paul Snider" userProvider="AD"/>
        <Anchor>
          <Comment id="{EF43B7A2-5CE1-4403-9A9F-E60C5ABFE932}"/>
        </Anchor>
        <Assign userId="S::mikebennett106@ksu.edu::06fc2e7c-2387-4994-858d-46821002c1fd" userName="Michael Bennett" userProvider="AD"/>
      </Event>
      <Event time="2025-04-09T14:13:38.28" id="{73B07EC3-E5CF-4583-AED7-3553B5423375}">
        <Attribution userId="S::pmsnider@ksu.edu::8e0ebc2d-ac24-4893-a19a-1809f9ac35e3" userName="Paul Snider" userProvider="AD"/>
        <Anchor>
          <Comment id="{EF43B7A2-5CE1-4403-9A9F-E60C5ABFE932}"/>
        </Anchor>
        <SetTitle title="@Michael Bennett Need requirements for solar array power and area. Need requirements for separation sense to power on after deployment. Need requirements for battery and solar array arming/shorting plugs. Need requirements for install and remove before …"/>
      </Event>
    </History>
  </Task>
  <Task id="{C19A7773-64E8-46D9-BB34-DA0F98DF04D7}">
    <Anchor>
      <Comment id="{E4A9E5C3-FF43-4923-908F-9A750DAEC08D}"/>
    </Anchor>
    <History>
      <Event time="2025-04-09T14:04:38.66" id="{83DC6DBE-8A86-4849-A373-4FEF5D90C324}">
        <Attribution userId="S::pmsnider@ksu.edu::8e0ebc2d-ac24-4893-a19a-1809f9ac35e3" userName="Paul Snider" userProvider="AD"/>
        <Anchor>
          <Comment id="{E4A9E5C3-FF43-4923-908F-9A750DAEC08D}"/>
        </Anchor>
        <Create/>
      </Event>
      <Event time="2025-04-09T14:04:38.66" id="{4380C357-8D12-416F-BE9A-0D043E8A03EB}">
        <Attribution userId="S::pmsnider@ksu.edu::8e0ebc2d-ac24-4893-a19a-1809f9ac35e3" userName="Paul Snider" userProvider="AD"/>
        <Anchor>
          <Comment id="{E4A9E5C3-FF43-4923-908F-9A750DAEC08D}"/>
        </Anchor>
        <Assign userId="S::logkh22@ksu.edu::fcdb2007-cf03-4340-871e-71e43575fbea" userName="Logan Hayward" userProvider="AD"/>
      </Event>
      <Event time="2025-04-09T14:04:38.66" id="{D54F3A31-EE3D-4529-ADC0-9803DC47980B}">
        <Attribution userId="S::pmsnider@ksu.edu::8e0ebc2d-ac24-4893-a19a-1809f9ac35e3" userName="Paul Snider" userProvider="AD"/>
        <Anchor>
          <Comment id="{E4A9E5C3-FF43-4923-908F-9A750DAEC08D}"/>
        </Anchor>
        <SetTitle title="@Logan Hayward @Colby Johnston The interface requirements with the other subsystems should be in the Level 2 Bus Requirements. Need requirement(s) for the communications bus(es) (how data from payloads and subsystems moves around the bus). Need …"/>
      </Event>
    </History>
  </Task>
  <Task id="{B1F22987-DDA4-4BEC-B82F-42DFC1882DCD}">
    <Anchor>
      <Comment id="{2E80D1BE-3AF6-4779-8D60-296D6447DA71}"/>
    </Anchor>
    <History>
      <Event time="2025-04-09T13:19:25.79" id="{C32B0484-9D0E-49C1-B0D9-D1F519A54241}">
        <Attribution userId="S::pmsnider@ksu.edu::8e0ebc2d-ac24-4893-a19a-1809f9ac35e3" userName="Paul Snider" userProvider="AD"/>
        <Anchor>
          <Comment id="{2E80D1BE-3AF6-4779-8D60-296D6447DA71}"/>
        </Anchor>
        <Create/>
      </Event>
      <Event time="2025-04-09T13:19:25.79" id="{3515B0D5-8A18-4D09-8569-85C1A366DD61}">
        <Attribution userId="S::pmsnider@ksu.edu::8e0ebc2d-ac24-4893-a19a-1809f9ac35e3" userName="Paul Snider" userProvider="AD"/>
        <Anchor>
          <Comment id="{2E80D1BE-3AF6-4779-8D60-296D6447DA71}"/>
        </Anchor>
        <Assign userId="S::djrephlo@ksu.edu::aa84b1ee-59d7-4ee1-9449-032966d7c8ea" userName="Derek Rephlo" userProvider="AD"/>
      </Event>
      <Event time="2025-04-09T13:19:25.79" id="{8583CC2B-9724-49A0-A8A5-4EDD972BE417}">
        <Attribution userId="S::pmsnider@ksu.edu::8e0ebc2d-ac24-4893-a19a-1809f9ac35e3" userName="Paul Snider" userProvider="AD"/>
        <Anchor>
          <Comment id="{2E80D1BE-3AF6-4779-8D60-296D6447DA71}"/>
        </Anchor>
        <SetTitle title="@Derek Rephlo Word thermal requirements as shall statements, not will and should statements to enforce verification of the requirements. Will and should statements are goals and not subject to verification."/>
      </Event>
      <Event time="2025-04-09T18:00:04.77" id="{B5674CF1-0E0B-482B-9A2C-0AFE5B508E6C}">
        <Attribution userId="S::djrephlo@ksu.edu::aa84b1ee-59d7-4ee1-9449-032966d7c8ea" userName="Derek Rephlo" userProvider="AD"/>
        <Progress percentComplete="100"/>
      </Event>
    </History>
  </Task>
  <Task id="{F1BC8FAB-A64A-47B1-B31A-020B52C6EE8D}">
    <Anchor>
      <Comment id="{5DAF075A-F94E-413E-A716-635D6C7B606F}"/>
    </Anchor>
    <History>
      <Event time="2025-04-09T13:34:30.93" id="{03E1D9E5-30FE-4559-85F7-33F343C8BA79}">
        <Attribution userId="S::pmsnider@ksu.edu::8e0ebc2d-ac24-4893-a19a-1809f9ac35e3" userName="Paul Snider" userProvider="AD"/>
        <Anchor>
          <Comment id="{5DAF075A-F94E-413E-A716-635D6C7B606F}"/>
        </Anchor>
        <Create/>
      </Event>
      <Event time="2025-04-09T13:34:30.93" id="{48C23B1C-D0F1-42E8-BC2B-E57B8539E70E}">
        <Attribution userId="S::pmsnider@ksu.edu::8e0ebc2d-ac24-4893-a19a-1809f9ac35e3" userName="Paul Snider" userProvider="AD"/>
        <Anchor>
          <Comment id="{5DAF075A-F94E-413E-A716-635D6C7B606F}"/>
        </Anchor>
        <Assign userId="S::cjohnston@ksu.edu::6cde2a96-2379-4680-9c92-ff3a7ea74ace" userName="Colby Johnston" userProvider="AD"/>
      </Event>
      <Event time="2025-04-09T13:34:30.93" id="{B708CCE2-CC86-40E1-907E-FCA820A3C0BD}">
        <Attribution userId="S::pmsnider@ksu.edu::8e0ebc2d-ac24-4893-a19a-1809f9ac35e3" userName="Paul Snider" userProvider="AD"/>
        <Anchor>
          <Comment id="{5DAF075A-F94E-413E-A716-635D6C7B606F}"/>
        </Anchor>
        <SetTitle title="@Colby Johnston Need Bus weight and power requirements."/>
      </Event>
      <Event time="2025-04-09T14:04:49.17" id="{B800731C-DA53-42F3-B2A6-A693B66F7453}">
        <Attribution userId="S::cjohnston@ksu.edu::6cde2a96-2379-4680-9c92-ff3a7ea74ace" userName="Colby Johnston" userProvider="AD"/>
        <Progress percentComplete="100"/>
      </Event>
    </History>
  </Task>
  <Task id="{14319FEB-C789-48DD-B326-DB677DBE9C8A}">
    <Anchor>
      <Comment id="{858FD2B2-7DB0-4EF7-B176-B5EFC69D25EF}"/>
    </Anchor>
    <History>
      <Event time="2025-04-09T13:41:03.04" id="{1786597C-9504-4E6B-807F-A59BFEA49EFC}">
        <Attribution userId="S::pmsnider@ksu.edu::8e0ebc2d-ac24-4893-a19a-1809f9ac35e3" userName="Paul Snider" userProvider="AD"/>
        <Anchor>
          <Comment id="{858FD2B2-7DB0-4EF7-B176-B5EFC69D25EF}"/>
        </Anchor>
        <Create/>
      </Event>
      <Event time="2025-04-09T13:41:03.04" id="{B4EE28E5-D6CE-4156-B2B7-E5E681584993}">
        <Attribution userId="S::pmsnider@ksu.edu::8e0ebc2d-ac24-4893-a19a-1809f9ac35e3" userName="Paul Snider" userProvider="AD"/>
        <Anchor>
          <Comment id="{858FD2B2-7DB0-4EF7-B176-B5EFC69D25EF}"/>
        </Anchor>
        <Assign userId="S::shirkey@ksu.edu::56922c2f-e925-4020-bb9f-92a23a2541bc" userName="Phillip Shirkey" userProvider="AD"/>
      </Event>
      <Event time="2025-04-09T13:41:03.04" id="{76845B14-49AC-4801-9FD0-7A0EE755EEB6}">
        <Attribution userId="S::pmsnider@ksu.edu::8e0ebc2d-ac24-4893-a19a-1809f9ac35e3" userName="Paul Snider" userProvider="AD"/>
        <Anchor>
          <Comment id="{858FD2B2-7DB0-4EF7-B176-B5EFC69D25EF}"/>
        </Anchor>
        <SetTitle title="@Phillip Shirkey Consider approaching level 2 for the payload as: The Payload System shall consist of the primary imaging payload, the hosted neutron detector, and the hosted thermoelectric generator payload. (Level 3 will define the requirements for …"/>
      </Event>
      <Event time="2025-04-09T18:05:34.40" id="{17F8B636-F7E9-4AEE-A7CF-636464921F9A}">
        <Attribution userId="S::shirkey@ksu.edu::56922c2f-e925-4020-bb9f-92a23a2541bc" userName="Phillip Shirkey" userProvider="AD"/>
        <Progress percentComplete="100"/>
      </Event>
    </History>
  </Task>
  <Task id="{25B1E4F9-9D01-46EF-9010-AD4B208A80D9}">
    <Anchor>
      <Comment id="{9F76BBAE-51A7-4C53-B066-2946E7A98257}"/>
    </Anchor>
    <History>
      <Event time="2025-04-09T13:21:01.32" id="{4D430D54-2153-4E17-BC7B-C16E9FAC78A1}">
        <Attribution userId="S::pmsnider@ksu.edu::8e0ebc2d-ac24-4893-a19a-1809f9ac35e3" userName="Paul Snider" userProvider="AD"/>
        <Anchor>
          <Comment id="{9F76BBAE-51A7-4C53-B066-2946E7A98257}"/>
        </Anchor>
        <Create/>
      </Event>
      <Event time="2025-04-09T13:21:01.32" id="{F57B7289-6318-4D70-8C64-1F539368FCCB}">
        <Attribution userId="S::pmsnider@ksu.edu::8e0ebc2d-ac24-4893-a19a-1809f9ac35e3" userName="Paul Snider" userProvider="AD"/>
        <Anchor>
          <Comment id="{9F76BBAE-51A7-4C53-B066-2946E7A98257}"/>
        </Anchor>
        <Assign userId="S::pakessinger@ksu.edu::2d93c848-6ffe-4812-8ec9-163a0ce1f508" userName="Paul Kessinger" userProvider="AD"/>
      </Event>
      <Event time="2025-04-09T13:21:01.32" id="{D2970408-D5ED-45EE-9DD6-F9C3D3442019}">
        <Attribution userId="S::pmsnider@ksu.edu::8e0ebc2d-ac24-4893-a19a-1809f9ac35e3" userName="Paul Snider" userProvider="AD"/>
        <Anchor>
          <Comment id="{9F76BBAE-51A7-4C53-B066-2946E7A98257}"/>
        </Anchor>
        <SetTitle title="@Paul Kessinger Word structure requirements as shall statements, not will and should statements to enforce verification of the requirements. Will and should statements are goals and not subject to verification."/>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247650</xdr:colOff>
      <xdr:row>0</xdr:row>
      <xdr:rowOff>-933450</xdr:rowOff>
    </xdr:from>
    <xdr:to>
      <xdr:col>11</xdr:col>
      <xdr:colOff>247650</xdr:colOff>
      <xdr:row>0</xdr:row>
      <xdr:rowOff>-933450</xdr:rowOff>
    </xdr:to>
    <xdr:pic>
      <xdr:nvPicPr>
        <xdr:cNvPr id="12" name="Picture 2">
          <a:extLst>
            <a:ext uri="{FF2B5EF4-FFF2-40B4-BE49-F238E27FC236}">
              <a16:creationId xmlns:a16="http://schemas.microsoft.com/office/drawing/2014/main" id="{13FED866-8F45-C41C-E3D5-3E0F1E27FE6C}"/>
            </a:ext>
          </a:extLst>
        </xdr:cNvPr>
        <xdr:cNvPicPr>
          <a:picLocks noChangeAspect="1"/>
        </xdr:cNvPicPr>
      </xdr:nvPicPr>
      <xdr:blipFill>
        <a:blip xmlns:r="http://schemas.openxmlformats.org/officeDocument/2006/relationships" r:embed="rId1"/>
        <a:stretch>
          <a:fillRect/>
        </a:stretch>
      </xdr:blipFill>
      <xdr:spPr>
        <a:xfrm>
          <a:off x="18497550" y="-933450"/>
          <a:ext cx="0" cy="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ailey Walke" id="{3CB956DB-0E25-4CDA-AA3C-69CE8D385889}" userId="walke1@ksu.edu" providerId="PeoplePicker"/>
  <person displayName="Logan Hayward" id="{B77C708E-07CF-4CAA-A511-5D540094C8FD}" userId="logkh22@ksu.edu" providerId="PeoplePicker"/>
  <person displayName="Phillip Shirkey" id="{0FFD3B4B-C53F-4BF6-AF2E-8C2DB447F712}" userId="shirkey@ksu.edu" providerId="PeoplePicker"/>
  <person displayName="Derek Rephlo" id="{7185D46E-A0BF-499C-8811-7E2ADEE49AB4}" userId="djrephlo@ksu.edu" providerId="PeoplePicker"/>
  <person displayName="Colby Johnston" id="{8C99F997-395D-4ED1-BA95-A3071DCC7C55}" userId="cjohnston@ksu.edu" providerId="PeoplePicker"/>
  <person displayName="Paul Kessinger" id="{9598651A-8D6F-4E12-9BED-553FD0DF9552}" userId="pakessinger@ksu.edu" providerId="PeoplePicker"/>
  <person displayName="Michael Bennett" id="{6F69540C-DFA3-4677-AC90-A4127F2C92C8}" userId="mikebennett106@ksu.edu" providerId="PeoplePicker"/>
  <person displayName="Paul Snider" id="{9B98F7AA-1D0A-4B87-B4A5-EF232FB7CC09}" userId="S::pmsnider@ksu.edu::8e0ebc2d-ac24-4893-a19a-1809f9ac35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1" dT="2025-04-09T13:30:54.89" personId="{9B98F7AA-1D0A-4B87-B4A5-EF232FB7CC09}" id="{BCAEE6A7-4F20-44C4-B16F-4BEFF69AF420}" done="1">
    <text>@Bailey Walke 
Need Satellite level SWAP requirements.</text>
    <mentions>
      <mention mentionpersonId="{3CB956DB-0E25-4CDA-AA3C-69CE8D385889}" mentionId="{870FEC49-E5DF-44C7-9BC3-B6881CC42EE6}" startIndex="0" length="13"/>
    </mentions>
  </threadedComment>
  <threadedComment ref="A21" dT="2025-04-09T14:45:43.70" personId="{9B98F7AA-1D0A-4B87-B4A5-EF232FB7CC09}" id="{2BE9BCE4-8AE1-44AB-B2B5-9F33E47D829B}" parentId="{BCAEE6A7-4F20-44C4-B16F-4BEFF69AF420}">
    <text xml:space="preserve">@Bailey Walke 
Need requirements for contamination control and cleanliness. Below are some examples from UNP Mission Concept Ussr Guide.
The flight hardware shall be maintained in a class 100,000 level or better facility as defined in FED-STD-209E.
All flight hardware shall be maintained at the Visibly Clean (VC) level (free from manufacturing residue, dirt, oil, grease, processing debris, or other visible particulate when inspected with the unaided or corrected-vision eye).
</text>
    <mentions>
      <mention mentionpersonId="{3CB956DB-0E25-4CDA-AA3C-69CE8D385889}" mentionId="{78A1F3BD-20D9-497A-8A7D-D877D54EA695}" startIndex="0" length="13"/>
    </mentions>
  </threadedComment>
  <threadedComment ref="A64" dT="2025-04-09T13:41:03.44" personId="{9B98F7AA-1D0A-4B87-B4A5-EF232FB7CC09}" id="{858FD2B2-7DB0-4EF7-B176-B5EFC69D25EF}" done="1">
    <text>@Phillip Shirkey 
Consider approaching level 2 for the payload as:
The Payload System shall consist of the primary imaging payload, the hosted neutron detector, and the hosted thermoelectric generator payload. (Level 3 will define the requirements for each of these individually).
The imaging payload shall interface to the bus mechanically, electrically and thermally.
The neutron detector shall interface to the bus mechanically, electrically and thermally.
The TEG shall interface to the solar array (I believe) mechanically, electrically and thermally.
(Level 3 will define the mechanical, electrical and thermal requirements for each of these individually).</text>
    <mentions>
      <mention mentionpersonId="{0FFD3B4B-C53F-4BF6-AF2E-8C2DB447F712}" mentionId="{8463C79D-2C94-403A-B5D2-74820024C5EF}" startIndex="0" length="16"/>
    </mentions>
  </threadedComment>
  <threadedComment ref="A69" dT="2025-04-09T13:34:31.31" personId="{9B98F7AA-1D0A-4B87-B4A5-EF232FB7CC09}" id="{5DAF075A-F94E-413E-A716-635D6C7B606F}" done="1">
    <text>@Colby Johnston 
Need Bus weight and power requirements.</text>
    <mentions>
      <mention mentionpersonId="{8C99F997-395D-4ED1-BA95-A3071DCC7C55}" mentionId="{5CB4DF4A-D2AB-44C6-9395-97D084F8F48D}" startIndex="0" length="15"/>
    </mentions>
  </threadedComment>
  <threadedComment ref="A91" dT="2025-04-09T13:56:46.03" personId="{9B98F7AA-1D0A-4B87-B4A5-EF232FB7CC09}" id="{EF71210C-A6E6-401E-B4F7-18A4DA210C26}" done="1">
    <text>@Bailey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ext>
    <mentions>
      <mention mentionpersonId="{3CB956DB-0E25-4CDA-AA3C-69CE8D385889}" mentionId="{FD4B3C10-A559-43C9-A42E-FAF98182BD76}" startIndex="0" length="13"/>
    </mentions>
  </threadedComment>
  <threadedComment ref="A119" dT="2025-04-09T13:33:36.22" personId="{9B98F7AA-1D0A-4B87-B4A5-EF232FB7CC09}" id="{042034E9-93AE-4ABF-9B9D-7CBCCA72D802}">
    <text>@Phillip Shirkey , @Colby Johnston, @Derek Rephlo 
Need level 3 requirements for the neutron detector and TEG. A couple of these are in 2.2.</text>
    <mentions>
      <mention mentionpersonId="{0FFD3B4B-C53F-4BF6-AF2E-8C2DB447F712}" mentionId="{DF3CC3FA-2933-45A4-8663-3861BE69E8DB}" startIndex="0" length="16"/>
      <mention mentionpersonId="{8C99F997-395D-4ED1-BA95-A3071DCC7C55}" mentionId="{DF9F3668-DFCF-497F-A4B1-2C8B4CC79AEB}" startIndex="19" length="15"/>
      <mention mentionpersonId="{7185D46E-A0BF-499C-8811-7E2ADEE49AB4}" mentionId="{F6165BE3-DAB3-441B-9B4C-537FB76EA915}" startIndex="36" length="13"/>
    </mentions>
  </threadedComment>
  <threadedComment ref="A166" dT="2025-04-09T14:04:39.05" personId="{9B98F7AA-1D0A-4B87-B4A5-EF232FB7CC09}" id="{E4A9E5C3-FF43-4923-908F-9A750DAEC08D}">
    <text>@Logan Hayward @Colby Johnston 
The interface requirements with the other subsystems should be in the Level 2 Bus Requirements.
Need requirement(s) for the communications bus(es) (how data from payloads and subsystems moves around the bus).
Need requirements for the uplink and downklink transmission data rates.</text>
    <mentions>
      <mention mentionpersonId="{B77C708E-07CF-4CAA-A511-5D540094C8FD}" mentionId="{7B8FF82F-4D80-4D11-9A1E-D39B5CA3CDF3}" startIndex="0" length="14"/>
      <mention mentionpersonId="{8C99F997-395D-4ED1-BA95-A3071DCC7C55}" mentionId="{48771181-4D60-4C67-9CE6-7DEC4E722EF6}" startIndex="15" length="15"/>
    </mentions>
  </threadedComment>
  <threadedComment ref="A175" dT="2025-04-09T14:13:38.68" personId="{9B98F7AA-1D0A-4B87-B4A5-EF232FB7CC09}" id="{EF43B7A2-5CE1-4403-9A9F-E60C5ABFE932}">
    <text>@Michael Bennett 
Need requirements for solar array power and area.
Need requirements for separation sense to power on after deployment.
Need requirements for battery and solar array arming/shorting plugs.
Need requirements for install and remove before flight electrical items.</text>
    <mentions>
      <mention mentionpersonId="{6F69540C-DFA3-4677-AC90-A4127F2C92C8}" mentionId="{AFF7EE9F-72D9-4320-B64E-FCE0E1C77BE3}" startIndex="0" length="16"/>
    </mentions>
  </threadedComment>
  <threadedComment ref="A204" dT="2025-04-09T13:21:01.68" personId="{9B98F7AA-1D0A-4B87-B4A5-EF232FB7CC09}" id="{9F76BBAE-51A7-4C53-B066-2946E7A98257}">
    <text>@Paul Kessinger 
Word structure requirements as shall statements, not will and should statements to enforce verification of the requirements. Will and should statements are goals and not subject to verification.</text>
    <mentions>
      <mention mentionpersonId="{9598651A-8D6F-4E12-9BED-553FD0DF9552}" mentionId="{4C0EEB2C-0997-4E0C-B54D-FAADFA9B83BC}" startIndex="0" length="15"/>
    </mentions>
  </threadedComment>
  <threadedComment ref="A214" dT="2025-04-09T13:19:26.15" personId="{9B98F7AA-1D0A-4B87-B4A5-EF232FB7CC09}" id="{2E80D1BE-3AF6-4779-8D60-296D6447DA71}" done="1">
    <text>@Derek Rephlo 
Word thermal requirements as shall statements, not will and should statements to enforce verification of the requirements. Will and should statements are goals and not subject to verification.</text>
    <mentions>
      <mention mentionpersonId="{7185D46E-A0BF-499C-8811-7E2ADEE49AB4}" mentionId="{63124550-ECA5-4FCB-94E9-1A4F6F0F802B}" startIndex="0" length="13"/>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9/04/relationships/documenttask" Target="../documenttasks/documenttask1.xml"/><Relationship Id="rId2" Type="http://schemas.openxmlformats.org/officeDocument/2006/relationships/printerSettings" Target="../printerSettings/printerSettings1.bin"/><Relationship Id="rId1" Type="http://schemas.openxmlformats.org/officeDocument/2006/relationships/hyperlink" Target="https://www.spectrumwiki.com/wiki/display.aspx?From=disp&amp;f=23200000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68FF-9885-4449-8EFF-3F6E291CEF97}">
  <dimension ref="A1:Q649"/>
  <sheetViews>
    <sheetView tabSelected="1" topLeftCell="C1" zoomScale="70" zoomScaleNormal="70" workbookViewId="0">
      <pane ySplit="2" topLeftCell="A275" activePane="bottomLeft" state="frozen"/>
      <selection pane="bottomLeft" activeCell="K306" sqref="K306"/>
    </sheetView>
  </sheetViews>
  <sheetFormatPr defaultColWidth="8.85546875" defaultRowHeight="15" customHeight="1"/>
  <cols>
    <col min="1" max="1" width="12.42578125" customWidth="1"/>
    <col min="2" max="2" width="36.85546875" customWidth="1"/>
    <col min="3" max="3" width="70.140625" customWidth="1"/>
    <col min="4" max="4" width="47.42578125" customWidth="1"/>
    <col min="5" max="5" width="27.85546875" customWidth="1"/>
    <col min="6" max="6" width="9.7109375" style="25" customWidth="1"/>
    <col min="7" max="7" width="10.42578125" style="25" customWidth="1"/>
    <col min="8" max="8" width="9.7109375" style="25" customWidth="1"/>
    <col min="9" max="9" width="16.28515625" customWidth="1"/>
    <col min="10" max="11" width="16.42578125" customWidth="1"/>
    <col min="12" max="12" width="11.42578125" customWidth="1"/>
    <col min="13" max="13" width="50.42578125" customWidth="1"/>
    <col min="14" max="14" width="17.42578125" customWidth="1"/>
    <col min="15" max="15" width="28.42578125" customWidth="1"/>
    <col min="16" max="16" width="11.7109375" customWidth="1"/>
  </cols>
  <sheetData>
    <row r="1" spans="1:17" ht="23.45">
      <c r="A1" s="102" t="s">
        <v>0</v>
      </c>
      <c r="B1" s="102"/>
      <c r="C1" s="102"/>
      <c r="D1" s="102"/>
      <c r="E1" s="102"/>
      <c r="F1" s="102"/>
      <c r="G1" s="102"/>
      <c r="H1" s="102"/>
      <c r="I1" s="102"/>
      <c r="J1" s="102"/>
      <c r="K1" s="102"/>
      <c r="L1" s="102"/>
      <c r="M1" s="102"/>
      <c r="N1" s="102"/>
      <c r="O1" s="102"/>
      <c r="P1" s="102"/>
    </row>
    <row r="2" spans="1:17" s="1" customFormat="1" ht="28.9">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row>
    <row r="3" spans="1:17" s="3" customFormat="1" ht="17.45">
      <c r="A3" s="100" t="s">
        <v>17</v>
      </c>
      <c r="B3" s="100"/>
      <c r="C3" s="100"/>
      <c r="D3" s="100"/>
      <c r="E3" s="100"/>
      <c r="F3" s="100"/>
      <c r="G3" s="100"/>
      <c r="H3" s="100"/>
      <c r="I3" s="100"/>
      <c r="J3" s="100"/>
      <c r="K3" s="100"/>
      <c r="L3" s="100"/>
      <c r="M3" s="100"/>
      <c r="N3" s="100"/>
      <c r="O3" s="100"/>
      <c r="P3" s="100"/>
      <c r="Q3"/>
    </row>
    <row r="4" spans="1:17" s="3" customFormat="1" ht="43.15">
      <c r="A4" s="4" t="s">
        <v>18</v>
      </c>
      <c r="B4" s="4" t="s">
        <v>19</v>
      </c>
      <c r="C4" s="4" t="s">
        <v>20</v>
      </c>
      <c r="D4" s="4" t="s">
        <v>21</v>
      </c>
      <c r="E4" s="4"/>
      <c r="F4" s="47"/>
      <c r="G4" s="47"/>
      <c r="H4" s="47">
        <v>0</v>
      </c>
      <c r="I4" s="4"/>
      <c r="J4" s="4"/>
      <c r="K4" s="48" t="s">
        <v>22</v>
      </c>
      <c r="L4" s="30" t="s">
        <v>23</v>
      </c>
      <c r="M4" s="4" t="s">
        <v>24</v>
      </c>
      <c r="N4" s="4"/>
      <c r="O4" s="4"/>
      <c r="P4" s="4"/>
      <c r="Q4"/>
    </row>
    <row r="5" spans="1:17" s="3" customFormat="1" ht="28.9">
      <c r="A5" s="4" t="s">
        <v>25</v>
      </c>
      <c r="B5" s="4" t="s">
        <v>26</v>
      </c>
      <c r="C5" s="4" t="s">
        <v>27</v>
      </c>
      <c r="D5" s="4" t="s">
        <v>28</v>
      </c>
      <c r="E5" s="4"/>
      <c r="F5" s="47"/>
      <c r="G5" s="47"/>
      <c r="H5" s="47">
        <v>0</v>
      </c>
      <c r="I5" s="4"/>
      <c r="J5" s="4"/>
      <c r="K5" s="48" t="s">
        <v>22</v>
      </c>
      <c r="L5" s="31" t="s">
        <v>23</v>
      </c>
      <c r="M5" s="4" t="s">
        <v>29</v>
      </c>
      <c r="N5" s="4"/>
      <c r="O5" s="4"/>
      <c r="P5" s="4"/>
      <c r="Q5"/>
    </row>
    <row r="6" spans="1:17" s="3" customFormat="1" ht="43.15">
      <c r="A6" s="4" t="s">
        <v>30</v>
      </c>
      <c r="B6" s="4" t="s">
        <v>31</v>
      </c>
      <c r="C6" s="4" t="s">
        <v>32</v>
      </c>
      <c r="D6" s="4" t="s">
        <v>33</v>
      </c>
      <c r="E6" s="4"/>
      <c r="F6" s="47"/>
      <c r="G6" s="47"/>
      <c r="H6" s="47">
        <v>0</v>
      </c>
      <c r="I6" s="4"/>
      <c r="J6" s="4"/>
      <c r="K6" s="48" t="s">
        <v>22</v>
      </c>
      <c r="L6" s="20" t="s">
        <v>23</v>
      </c>
      <c r="M6" s="4" t="s">
        <v>34</v>
      </c>
      <c r="N6" s="4"/>
      <c r="O6" s="4"/>
      <c r="P6" s="4"/>
      <c r="Q6"/>
    </row>
    <row r="7" spans="1:17" s="3" customFormat="1" ht="43.15">
      <c r="A7" s="4" t="s">
        <v>35</v>
      </c>
      <c r="B7" s="4" t="s">
        <v>36</v>
      </c>
      <c r="C7" s="4" t="s">
        <v>37</v>
      </c>
      <c r="D7" s="4" t="s">
        <v>38</v>
      </c>
      <c r="E7" s="4"/>
      <c r="F7" s="47"/>
      <c r="G7" s="47"/>
      <c r="H7" s="47">
        <v>0</v>
      </c>
      <c r="I7" s="4"/>
      <c r="J7" s="4"/>
      <c r="K7" s="48" t="s">
        <v>22</v>
      </c>
      <c r="L7" s="20" t="s">
        <v>23</v>
      </c>
      <c r="M7" s="4" t="s">
        <v>39</v>
      </c>
      <c r="N7" s="4"/>
      <c r="O7" s="4"/>
      <c r="P7" s="4"/>
      <c r="Q7"/>
    </row>
    <row r="8" spans="1:17" s="3" customFormat="1" ht="14.45">
      <c r="A8" s="20"/>
      <c r="B8" s="20"/>
      <c r="C8" s="20"/>
      <c r="D8" s="20"/>
      <c r="E8" s="20"/>
      <c r="F8" s="20"/>
      <c r="G8" s="20"/>
      <c r="H8" s="20"/>
      <c r="I8" s="20"/>
      <c r="J8" s="20"/>
      <c r="K8" s="20"/>
      <c r="L8" s="20"/>
      <c r="M8" s="4"/>
      <c r="N8" s="20"/>
      <c r="O8" s="20"/>
      <c r="P8" s="20"/>
      <c r="Q8"/>
    </row>
    <row r="9" spans="1:17" s="3" customFormat="1" ht="17.45">
      <c r="A9" s="100" t="s">
        <v>40</v>
      </c>
      <c r="B9" s="100"/>
      <c r="C9" s="100"/>
      <c r="D9" s="100"/>
      <c r="E9" s="100"/>
      <c r="F9" s="100"/>
      <c r="G9" s="100"/>
      <c r="H9" s="100"/>
      <c r="I9" s="100"/>
      <c r="J9" s="100"/>
      <c r="K9" s="100"/>
      <c r="L9" s="100"/>
      <c r="M9" s="100"/>
      <c r="N9" s="100"/>
      <c r="O9" s="100"/>
      <c r="P9" s="100"/>
      <c r="Q9"/>
    </row>
    <row r="10" spans="1:17" s="3" customFormat="1" ht="28.9">
      <c r="A10" s="4" t="s">
        <v>41</v>
      </c>
      <c r="B10" s="4" t="s">
        <v>42</v>
      </c>
      <c r="C10" s="4" t="s">
        <v>43</v>
      </c>
      <c r="D10" s="4" t="s">
        <v>44</v>
      </c>
      <c r="E10" s="4" t="s">
        <v>25</v>
      </c>
      <c r="F10" s="20">
        <v>5</v>
      </c>
      <c r="G10" s="20">
        <v>3</v>
      </c>
      <c r="H10" s="20">
        <f t="shared" ref="H10:H18" si="0">F10*G10</f>
        <v>15</v>
      </c>
      <c r="I10" s="4"/>
      <c r="J10" s="4"/>
      <c r="K10" s="48" t="s">
        <v>22</v>
      </c>
      <c r="L10" s="20" t="s">
        <v>45</v>
      </c>
      <c r="M10" s="4" t="s">
        <v>46</v>
      </c>
      <c r="N10" s="4"/>
      <c r="O10" s="4"/>
      <c r="P10" s="4"/>
      <c r="Q10"/>
    </row>
    <row r="11" spans="1:17" s="3" customFormat="1" ht="43.15">
      <c r="A11" s="4" t="s">
        <v>47</v>
      </c>
      <c r="B11" s="4" t="s">
        <v>48</v>
      </c>
      <c r="C11" s="4" t="s">
        <v>49</v>
      </c>
      <c r="D11" s="4"/>
      <c r="E11" s="4" t="s">
        <v>25</v>
      </c>
      <c r="F11" s="20">
        <v>5</v>
      </c>
      <c r="G11" s="20">
        <v>3</v>
      </c>
      <c r="H11" s="20">
        <f t="shared" si="0"/>
        <v>15</v>
      </c>
      <c r="I11" s="4"/>
      <c r="J11" s="4"/>
      <c r="K11" s="48" t="s">
        <v>22</v>
      </c>
      <c r="L11" s="20" t="s">
        <v>50</v>
      </c>
      <c r="M11" s="4" t="s">
        <v>51</v>
      </c>
      <c r="N11" s="4"/>
      <c r="O11" s="4"/>
      <c r="P11" s="4"/>
      <c r="Q11"/>
    </row>
    <row r="12" spans="1:17" s="3" customFormat="1" ht="28.9">
      <c r="A12" s="4" t="s">
        <v>52</v>
      </c>
      <c r="B12" s="4" t="s">
        <v>53</v>
      </c>
      <c r="C12" s="4" t="s">
        <v>54</v>
      </c>
      <c r="D12" s="4"/>
      <c r="E12" s="4" t="s">
        <v>18</v>
      </c>
      <c r="F12" s="20">
        <v>4</v>
      </c>
      <c r="G12" s="20">
        <v>3</v>
      </c>
      <c r="H12" s="20">
        <f t="shared" si="0"/>
        <v>12</v>
      </c>
      <c r="I12" s="4" t="s">
        <v>55</v>
      </c>
      <c r="J12" s="4" t="s">
        <v>56</v>
      </c>
      <c r="K12" s="48" t="s">
        <v>22</v>
      </c>
      <c r="L12" s="20" t="s">
        <v>57</v>
      </c>
      <c r="M12" s="4" t="s">
        <v>58</v>
      </c>
      <c r="N12" s="4"/>
      <c r="O12" s="4"/>
      <c r="P12" s="4"/>
      <c r="Q12"/>
    </row>
    <row r="13" spans="1:17" s="3" customFormat="1" ht="43.15">
      <c r="A13" s="4" t="s">
        <v>59</v>
      </c>
      <c r="B13" s="4" t="s">
        <v>60</v>
      </c>
      <c r="C13" s="4" t="s">
        <v>61</v>
      </c>
      <c r="D13" s="4" t="s">
        <v>62</v>
      </c>
      <c r="E13" s="4" t="s">
        <v>18</v>
      </c>
      <c r="F13" s="20">
        <v>4</v>
      </c>
      <c r="G13" s="20">
        <v>3</v>
      </c>
      <c r="H13" s="20">
        <f t="shared" si="0"/>
        <v>12</v>
      </c>
      <c r="I13" s="4"/>
      <c r="J13" s="4"/>
      <c r="K13" s="48"/>
      <c r="L13" s="20" t="s">
        <v>45</v>
      </c>
      <c r="M13" s="4" t="s">
        <v>63</v>
      </c>
      <c r="N13" s="4"/>
      <c r="O13" s="4"/>
      <c r="P13" s="4"/>
      <c r="Q13"/>
    </row>
    <row r="14" spans="1:17" s="3" customFormat="1" ht="43.15">
      <c r="A14" s="4" t="s">
        <v>64</v>
      </c>
      <c r="B14" s="4" t="s">
        <v>65</v>
      </c>
      <c r="C14" s="4" t="s">
        <v>66</v>
      </c>
      <c r="D14" s="4" t="s">
        <v>67</v>
      </c>
      <c r="E14" s="4" t="s">
        <v>18</v>
      </c>
      <c r="F14" s="20">
        <v>3</v>
      </c>
      <c r="G14" s="20">
        <v>3</v>
      </c>
      <c r="H14" s="20">
        <f t="shared" si="0"/>
        <v>9</v>
      </c>
      <c r="I14" s="4"/>
      <c r="J14" s="4"/>
      <c r="K14" s="48"/>
      <c r="L14" s="20" t="s">
        <v>57</v>
      </c>
      <c r="M14" s="4" t="s">
        <v>68</v>
      </c>
      <c r="N14" s="4"/>
      <c r="O14" s="4"/>
      <c r="P14" s="4"/>
      <c r="Q14"/>
    </row>
    <row r="15" spans="1:17" s="3" customFormat="1" ht="57.6">
      <c r="A15" s="4" t="s">
        <v>69</v>
      </c>
      <c r="B15" s="4" t="s">
        <v>70</v>
      </c>
      <c r="C15" s="11" t="s">
        <v>71</v>
      </c>
      <c r="D15" s="11" t="s">
        <v>72</v>
      </c>
      <c r="E15" s="4" t="s">
        <v>18</v>
      </c>
      <c r="F15" s="20">
        <v>5</v>
      </c>
      <c r="G15" s="20">
        <v>2</v>
      </c>
      <c r="H15" s="20">
        <f t="shared" si="0"/>
        <v>10</v>
      </c>
      <c r="I15" s="4"/>
      <c r="J15" s="4"/>
      <c r="K15" s="48"/>
      <c r="L15" s="32" t="s">
        <v>45</v>
      </c>
      <c r="M15" s="11" t="s">
        <v>73</v>
      </c>
      <c r="N15" s="4"/>
      <c r="O15" s="4"/>
      <c r="P15" s="4"/>
      <c r="Q15"/>
    </row>
    <row r="16" spans="1:17" s="3" customFormat="1" ht="43.15">
      <c r="A16" s="4" t="s">
        <v>74</v>
      </c>
      <c r="B16" s="4" t="s">
        <v>75</v>
      </c>
      <c r="C16" s="11" t="s">
        <v>76</v>
      </c>
      <c r="D16" s="11" t="s">
        <v>77</v>
      </c>
      <c r="E16" s="4" t="s">
        <v>18</v>
      </c>
      <c r="F16" s="20">
        <v>5</v>
      </c>
      <c r="G16" s="20">
        <v>2</v>
      </c>
      <c r="H16" s="20">
        <f t="shared" si="0"/>
        <v>10</v>
      </c>
      <c r="I16" s="4"/>
      <c r="J16" s="4"/>
      <c r="K16" s="48"/>
      <c r="L16" s="32" t="s">
        <v>78</v>
      </c>
      <c r="M16" s="11" t="s">
        <v>79</v>
      </c>
      <c r="N16" s="4"/>
      <c r="O16" s="4"/>
      <c r="P16" s="4"/>
      <c r="Q16"/>
    </row>
    <row r="17" spans="1:17" s="3" customFormat="1" ht="43.15">
      <c r="A17" s="4" t="s">
        <v>80</v>
      </c>
      <c r="B17" s="4" t="s">
        <v>81</v>
      </c>
      <c r="C17" s="4" t="s">
        <v>82</v>
      </c>
      <c r="D17" s="4" t="s">
        <v>83</v>
      </c>
      <c r="E17" s="4" t="s">
        <v>18</v>
      </c>
      <c r="F17" s="20">
        <v>5</v>
      </c>
      <c r="G17" s="20">
        <v>1</v>
      </c>
      <c r="H17" s="20">
        <f t="shared" si="0"/>
        <v>5</v>
      </c>
      <c r="I17" s="4"/>
      <c r="J17" s="4"/>
      <c r="K17" s="48"/>
      <c r="L17" s="20" t="s">
        <v>23</v>
      </c>
      <c r="M17" s="4" t="s">
        <v>84</v>
      </c>
      <c r="N17" s="4"/>
      <c r="O17" s="4"/>
      <c r="P17" s="4"/>
      <c r="Q17"/>
    </row>
    <row r="18" spans="1:17" s="3" customFormat="1" ht="43.15">
      <c r="A18" s="4" t="s">
        <v>85</v>
      </c>
      <c r="B18" s="4" t="s">
        <v>86</v>
      </c>
      <c r="C18" s="4" t="s">
        <v>87</v>
      </c>
      <c r="D18" s="4" t="s">
        <v>88</v>
      </c>
      <c r="E18" s="4" t="s">
        <v>18</v>
      </c>
      <c r="F18" s="20">
        <v>5</v>
      </c>
      <c r="G18" s="20">
        <v>1</v>
      </c>
      <c r="H18" s="20">
        <f t="shared" si="0"/>
        <v>5</v>
      </c>
      <c r="I18" s="4"/>
      <c r="J18" s="4"/>
      <c r="K18" s="48"/>
      <c r="L18" s="20" t="s">
        <v>23</v>
      </c>
      <c r="M18" s="4" t="s">
        <v>89</v>
      </c>
      <c r="N18" s="4"/>
      <c r="O18" s="4"/>
      <c r="P18" s="4"/>
      <c r="Q18"/>
    </row>
    <row r="19" spans="1:17" s="3" customFormat="1" ht="14.45">
      <c r="A19" s="101"/>
      <c r="B19" s="101"/>
      <c r="C19" s="101"/>
      <c r="D19" s="101"/>
      <c r="E19" s="101"/>
      <c r="F19" s="101"/>
      <c r="G19" s="101"/>
      <c r="H19" s="101"/>
      <c r="I19" s="101"/>
      <c r="J19" s="101"/>
      <c r="K19" s="101"/>
      <c r="L19" s="101"/>
      <c r="M19" s="101"/>
      <c r="N19" s="101"/>
      <c r="O19" s="101"/>
      <c r="P19" s="101"/>
      <c r="Q19"/>
    </row>
    <row r="20" spans="1:17" s="3" customFormat="1" ht="17.45">
      <c r="A20" s="100" t="s">
        <v>90</v>
      </c>
      <c r="B20" s="100"/>
      <c r="C20" s="100"/>
      <c r="D20" s="100"/>
      <c r="E20" s="100"/>
      <c r="F20" s="100"/>
      <c r="G20" s="100"/>
      <c r="H20" s="100"/>
      <c r="I20" s="100"/>
      <c r="J20" s="100"/>
      <c r="K20" s="100"/>
      <c r="L20" s="100"/>
      <c r="M20" s="100"/>
      <c r="N20" s="100"/>
      <c r="O20" s="100"/>
      <c r="P20" s="100"/>
      <c r="Q20"/>
    </row>
    <row r="21" spans="1:17" s="5" customFormat="1" ht="15.6">
      <c r="A21" s="99" t="s">
        <v>91</v>
      </c>
      <c r="B21" s="99"/>
      <c r="C21" s="99"/>
      <c r="D21" s="99"/>
      <c r="E21" s="99"/>
      <c r="F21" s="99"/>
      <c r="G21" s="99"/>
      <c r="H21" s="99"/>
      <c r="I21" s="99"/>
      <c r="J21" s="99"/>
      <c r="K21" s="99"/>
      <c r="L21" s="99"/>
      <c r="M21" s="99"/>
      <c r="N21" s="99"/>
      <c r="O21" s="99"/>
      <c r="P21" s="99"/>
      <c r="Q21"/>
    </row>
    <row r="22" spans="1:17" s="38" customFormat="1" ht="28.9">
      <c r="A22" s="86" t="s">
        <v>92</v>
      </c>
      <c r="B22" s="4" t="s">
        <v>93</v>
      </c>
      <c r="C22" s="4" t="s">
        <v>94</v>
      </c>
      <c r="D22" s="4" t="s">
        <v>95</v>
      </c>
      <c r="E22" s="4" t="s">
        <v>96</v>
      </c>
      <c r="F22" s="20">
        <v>4</v>
      </c>
      <c r="G22" s="20">
        <v>3</v>
      </c>
      <c r="H22" s="20">
        <f>F22*G22</f>
        <v>12</v>
      </c>
      <c r="I22" s="4" t="s">
        <v>97</v>
      </c>
      <c r="J22" s="4" t="s">
        <v>97</v>
      </c>
      <c r="K22" s="48"/>
      <c r="L22" s="20" t="s">
        <v>23</v>
      </c>
      <c r="M22" s="4" t="s">
        <v>98</v>
      </c>
      <c r="N22" s="4"/>
      <c r="O22" s="4"/>
      <c r="P22" s="4"/>
      <c r="Q22" s="37"/>
    </row>
    <row r="23" spans="1:17" s="38" customFormat="1" ht="28.9">
      <c r="A23" s="86" t="s">
        <v>99</v>
      </c>
      <c r="B23" s="4" t="s">
        <v>100</v>
      </c>
      <c r="C23" s="4" t="s">
        <v>101</v>
      </c>
      <c r="D23" s="4" t="s">
        <v>102</v>
      </c>
      <c r="E23" s="4" t="s">
        <v>96</v>
      </c>
      <c r="F23" s="20">
        <v>4</v>
      </c>
      <c r="G23" s="20">
        <v>3</v>
      </c>
      <c r="H23" s="20">
        <f>F23*G23</f>
        <v>12</v>
      </c>
      <c r="I23" s="4" t="s">
        <v>103</v>
      </c>
      <c r="J23" s="9" t="s">
        <v>104</v>
      </c>
      <c r="K23" s="48"/>
      <c r="L23" s="20" t="s">
        <v>105</v>
      </c>
      <c r="M23" s="4" t="s">
        <v>106</v>
      </c>
      <c r="N23" s="4"/>
      <c r="O23" s="4"/>
      <c r="P23" s="4"/>
      <c r="Q23" s="37"/>
    </row>
    <row r="24" spans="1:17" s="38" customFormat="1" ht="43.15">
      <c r="A24" s="86" t="s">
        <v>107</v>
      </c>
      <c r="B24" s="4" t="s">
        <v>108</v>
      </c>
      <c r="C24" s="4" t="s">
        <v>109</v>
      </c>
      <c r="D24" s="4" t="s">
        <v>110</v>
      </c>
      <c r="E24" s="4" t="s">
        <v>96</v>
      </c>
      <c r="F24" s="20">
        <v>2</v>
      </c>
      <c r="G24" s="20">
        <v>1</v>
      </c>
      <c r="H24" s="20">
        <f>F24*G24</f>
        <v>2</v>
      </c>
      <c r="I24" s="4" t="s">
        <v>111</v>
      </c>
      <c r="J24" s="4" t="s">
        <v>112</v>
      </c>
      <c r="K24" s="48"/>
      <c r="L24" s="20" t="s">
        <v>105</v>
      </c>
      <c r="M24" s="4" t="s">
        <v>113</v>
      </c>
      <c r="N24" s="4"/>
      <c r="O24" s="4"/>
      <c r="P24" s="4"/>
      <c r="Q24" s="37"/>
    </row>
    <row r="25" spans="1:17" s="38" customFormat="1" ht="28.9">
      <c r="A25" s="86" t="s">
        <v>114</v>
      </c>
      <c r="B25" s="4" t="s">
        <v>115</v>
      </c>
      <c r="C25" s="4" t="s">
        <v>116</v>
      </c>
      <c r="D25" s="4" t="s">
        <v>117</v>
      </c>
      <c r="E25" s="4" t="s">
        <v>96</v>
      </c>
      <c r="F25" s="20">
        <v>5</v>
      </c>
      <c r="G25" s="20">
        <v>3</v>
      </c>
      <c r="H25" s="20">
        <f>F25*G25</f>
        <v>15</v>
      </c>
      <c r="I25" s="4" t="s">
        <v>118</v>
      </c>
      <c r="J25" s="4" t="s">
        <v>119</v>
      </c>
      <c r="K25" s="48"/>
      <c r="L25" s="20" t="s">
        <v>23</v>
      </c>
      <c r="M25" s="4" t="s">
        <v>120</v>
      </c>
      <c r="N25" s="4"/>
      <c r="O25" s="4"/>
      <c r="P25" s="4"/>
      <c r="Q25" s="37"/>
    </row>
    <row r="26" spans="1:17" s="38" customFormat="1" ht="28.9">
      <c r="A26" s="86" t="s">
        <v>121</v>
      </c>
      <c r="B26" s="4" t="s">
        <v>122</v>
      </c>
      <c r="C26" s="4" t="s">
        <v>123</v>
      </c>
      <c r="D26" s="4" t="s">
        <v>124</v>
      </c>
      <c r="E26" s="4" t="s">
        <v>96</v>
      </c>
      <c r="F26" s="20">
        <v>3</v>
      </c>
      <c r="G26" s="20">
        <v>3</v>
      </c>
      <c r="H26" s="20">
        <f>F26*G26</f>
        <v>9</v>
      </c>
      <c r="I26" s="4" t="s">
        <v>125</v>
      </c>
      <c r="J26" s="4" t="s">
        <v>126</v>
      </c>
      <c r="K26" s="48"/>
      <c r="L26" s="20" t="s">
        <v>50</v>
      </c>
      <c r="M26" s="4" t="s">
        <v>127</v>
      </c>
      <c r="N26" s="4"/>
      <c r="O26" s="4"/>
      <c r="P26" s="4"/>
      <c r="Q26" s="37"/>
    </row>
    <row r="27" spans="1:17" s="3" customFormat="1" ht="43.15">
      <c r="A27" s="71" t="s">
        <v>128</v>
      </c>
      <c r="B27" s="4" t="s">
        <v>129</v>
      </c>
      <c r="C27" s="4" t="s">
        <v>130</v>
      </c>
      <c r="D27" s="4" t="s">
        <v>131</v>
      </c>
      <c r="E27" s="4" t="s">
        <v>47</v>
      </c>
      <c r="F27" s="20">
        <v>5</v>
      </c>
      <c r="G27" s="20">
        <v>3</v>
      </c>
      <c r="H27" s="20">
        <f t="shared" ref="H27:H34" si="1">F27*G27</f>
        <v>15</v>
      </c>
      <c r="I27" s="4"/>
      <c r="J27" s="4"/>
      <c r="K27" s="48" t="s">
        <v>22</v>
      </c>
      <c r="L27" s="49" t="s">
        <v>23</v>
      </c>
      <c r="M27" s="50" t="s">
        <v>132</v>
      </c>
      <c r="N27" s="4"/>
      <c r="O27" s="4"/>
      <c r="P27" s="4"/>
      <c r="Q27"/>
    </row>
    <row r="28" spans="1:17" s="3" customFormat="1" ht="28.9">
      <c r="A28" s="71" t="s">
        <v>133</v>
      </c>
      <c r="B28" s="4" t="s">
        <v>134</v>
      </c>
      <c r="C28" s="4" t="s">
        <v>135</v>
      </c>
      <c r="D28" s="4" t="s">
        <v>136</v>
      </c>
      <c r="E28" s="4" t="s">
        <v>47</v>
      </c>
      <c r="F28" s="20">
        <v>4</v>
      </c>
      <c r="G28" s="20">
        <v>2</v>
      </c>
      <c r="H28" s="20">
        <f t="shared" si="1"/>
        <v>8</v>
      </c>
      <c r="I28" s="4"/>
      <c r="J28" s="4"/>
      <c r="K28" s="48"/>
      <c r="L28" s="49" t="s">
        <v>137</v>
      </c>
      <c r="M28" s="50" t="s">
        <v>138</v>
      </c>
      <c r="N28" s="4"/>
      <c r="O28" s="4"/>
      <c r="P28" s="4"/>
      <c r="Q28"/>
    </row>
    <row r="29" spans="1:17" s="3" customFormat="1" ht="28.9">
      <c r="A29" s="71" t="s">
        <v>139</v>
      </c>
      <c r="B29" s="4" t="s">
        <v>140</v>
      </c>
      <c r="C29" s="4" t="s">
        <v>141</v>
      </c>
      <c r="D29" s="4" t="s">
        <v>136</v>
      </c>
      <c r="E29" s="4" t="s">
        <v>47</v>
      </c>
      <c r="F29" s="20">
        <v>4</v>
      </c>
      <c r="G29" s="20">
        <v>2</v>
      </c>
      <c r="H29" s="20">
        <f t="shared" si="1"/>
        <v>8</v>
      </c>
      <c r="I29" s="4"/>
      <c r="J29" s="4"/>
      <c r="K29" s="48"/>
      <c r="L29" s="20" t="s">
        <v>23</v>
      </c>
      <c r="M29" s="4" t="s">
        <v>142</v>
      </c>
      <c r="N29" s="4"/>
      <c r="O29" s="4"/>
      <c r="P29" s="4"/>
      <c r="Q29"/>
    </row>
    <row r="30" spans="1:17" s="3" customFormat="1" ht="28.9">
      <c r="A30" s="71" t="s">
        <v>143</v>
      </c>
      <c r="B30" s="4" t="s">
        <v>144</v>
      </c>
      <c r="C30" s="4" t="s">
        <v>145</v>
      </c>
      <c r="D30" s="4" t="s">
        <v>146</v>
      </c>
      <c r="E30" s="4" t="s">
        <v>80</v>
      </c>
      <c r="F30" s="20">
        <v>1</v>
      </c>
      <c r="G30" s="20">
        <v>1</v>
      </c>
      <c r="H30" s="20">
        <f>F30*G30</f>
        <v>1</v>
      </c>
      <c r="I30" s="4" t="s">
        <v>147</v>
      </c>
      <c r="J30" s="4" t="s">
        <v>147</v>
      </c>
      <c r="K30" s="48"/>
      <c r="L30" s="20" t="s">
        <v>57</v>
      </c>
      <c r="M30" s="4" t="s">
        <v>148</v>
      </c>
      <c r="N30" s="4"/>
      <c r="O30" s="4"/>
      <c r="P30" s="4"/>
      <c r="Q30"/>
    </row>
    <row r="31" spans="1:17" s="3" customFormat="1" ht="28.9">
      <c r="A31" s="87" t="s">
        <v>149</v>
      </c>
      <c r="B31" s="4" t="s">
        <v>150</v>
      </c>
      <c r="C31" s="4" t="s">
        <v>151</v>
      </c>
      <c r="D31" s="4" t="s">
        <v>152</v>
      </c>
      <c r="E31" s="4" t="s">
        <v>153</v>
      </c>
      <c r="F31" s="20">
        <v>4</v>
      </c>
      <c r="G31" s="20">
        <v>3</v>
      </c>
      <c r="H31" s="20">
        <f t="shared" si="1"/>
        <v>12</v>
      </c>
      <c r="I31" s="4" t="s">
        <v>154</v>
      </c>
      <c r="J31" s="4" t="s">
        <v>155</v>
      </c>
      <c r="K31" s="48" t="s">
        <v>22</v>
      </c>
      <c r="L31" s="20" t="s">
        <v>23</v>
      </c>
      <c r="M31" s="4" t="s">
        <v>156</v>
      </c>
      <c r="N31" s="4"/>
      <c r="O31" s="4"/>
      <c r="P31" s="4"/>
      <c r="Q31"/>
    </row>
    <row r="32" spans="1:17" s="3" customFormat="1" ht="28.9">
      <c r="A32" s="87" t="s">
        <v>157</v>
      </c>
      <c r="B32" s="4" t="s">
        <v>158</v>
      </c>
      <c r="C32" s="4" t="s">
        <v>159</v>
      </c>
      <c r="D32" s="4" t="s">
        <v>152</v>
      </c>
      <c r="E32" s="4" t="s">
        <v>153</v>
      </c>
      <c r="F32" s="20">
        <v>3</v>
      </c>
      <c r="G32" s="20">
        <v>3</v>
      </c>
      <c r="H32" s="20">
        <f t="shared" si="1"/>
        <v>9</v>
      </c>
      <c r="I32" s="4"/>
      <c r="J32" s="4"/>
      <c r="K32" s="48" t="s">
        <v>22</v>
      </c>
      <c r="L32" s="20" t="s">
        <v>23</v>
      </c>
      <c r="M32" s="4" t="s">
        <v>160</v>
      </c>
      <c r="N32" s="4"/>
      <c r="O32" s="4"/>
      <c r="P32" s="4"/>
      <c r="Q32"/>
    </row>
    <row r="33" spans="1:17" s="3" customFormat="1" ht="28.9">
      <c r="A33" s="87" t="s">
        <v>161</v>
      </c>
      <c r="B33" s="4" t="s">
        <v>162</v>
      </c>
      <c r="C33" s="4" t="s">
        <v>163</v>
      </c>
      <c r="D33" s="4" t="s">
        <v>152</v>
      </c>
      <c r="E33" s="4" t="s">
        <v>153</v>
      </c>
      <c r="F33" s="20">
        <v>3</v>
      </c>
      <c r="G33" s="20">
        <v>2</v>
      </c>
      <c r="H33" s="20">
        <f>F33*G33</f>
        <v>6</v>
      </c>
      <c r="I33" s="4"/>
      <c r="J33" s="4"/>
      <c r="K33" s="48" t="s">
        <v>22</v>
      </c>
      <c r="L33" s="20" t="s">
        <v>23</v>
      </c>
      <c r="M33" s="4" t="s">
        <v>164</v>
      </c>
      <c r="N33" s="4"/>
      <c r="O33" s="4"/>
      <c r="P33" s="4"/>
      <c r="Q33"/>
    </row>
    <row r="34" spans="1:17" s="3" customFormat="1" ht="28.9">
      <c r="A34" s="87" t="s">
        <v>165</v>
      </c>
      <c r="B34" s="4" t="s">
        <v>166</v>
      </c>
      <c r="C34" s="4" t="s">
        <v>167</v>
      </c>
      <c r="D34" s="4" t="s">
        <v>152</v>
      </c>
      <c r="E34" s="4" t="s">
        <v>153</v>
      </c>
      <c r="F34" s="20">
        <v>4</v>
      </c>
      <c r="G34" s="20">
        <v>1</v>
      </c>
      <c r="H34" s="20">
        <f t="shared" si="1"/>
        <v>4</v>
      </c>
      <c r="I34" s="4" t="s">
        <v>97</v>
      </c>
      <c r="J34" s="4" t="s">
        <v>97</v>
      </c>
      <c r="K34" s="48" t="s">
        <v>22</v>
      </c>
      <c r="L34" s="49" t="s">
        <v>168</v>
      </c>
      <c r="M34" s="50" t="s">
        <v>169</v>
      </c>
      <c r="N34" s="4"/>
      <c r="O34" s="4"/>
      <c r="P34" s="4"/>
      <c r="Q34"/>
    </row>
    <row r="35" spans="1:17" s="3" customFormat="1" ht="28.9">
      <c r="A35" s="87" t="s">
        <v>170</v>
      </c>
      <c r="B35" s="4" t="s">
        <v>171</v>
      </c>
      <c r="C35" s="50" t="s">
        <v>172</v>
      </c>
      <c r="D35" s="51"/>
      <c r="E35" s="4" t="s">
        <v>153</v>
      </c>
      <c r="F35" s="20">
        <v>4</v>
      </c>
      <c r="G35" s="20">
        <v>1</v>
      </c>
      <c r="H35" s="20">
        <f t="shared" ref="H35:H62" si="2">F35*G35</f>
        <v>4</v>
      </c>
      <c r="I35" s="4"/>
      <c r="J35" s="4"/>
      <c r="K35" s="48"/>
      <c r="L35" s="49" t="s">
        <v>168</v>
      </c>
      <c r="M35" s="50" t="s">
        <v>173</v>
      </c>
      <c r="N35" s="4"/>
      <c r="O35" s="4"/>
      <c r="P35" s="4"/>
      <c r="Q35"/>
    </row>
    <row r="36" spans="1:17" s="3" customFormat="1" ht="28.9">
      <c r="A36" s="87" t="s">
        <v>174</v>
      </c>
      <c r="B36" s="4" t="s">
        <v>175</v>
      </c>
      <c r="C36" s="4" t="s">
        <v>176</v>
      </c>
      <c r="D36" s="4"/>
      <c r="E36" s="4" t="s">
        <v>153</v>
      </c>
      <c r="F36" s="20">
        <v>4</v>
      </c>
      <c r="G36" s="20">
        <v>4</v>
      </c>
      <c r="H36" s="20">
        <f t="shared" si="2"/>
        <v>16</v>
      </c>
      <c r="I36" s="4"/>
      <c r="J36" s="4"/>
      <c r="K36" s="48" t="s">
        <v>22</v>
      </c>
      <c r="L36" s="20" t="s">
        <v>45</v>
      </c>
      <c r="M36" s="4" t="s">
        <v>177</v>
      </c>
      <c r="N36" s="4"/>
      <c r="O36" s="4"/>
      <c r="P36" s="4"/>
      <c r="Q36"/>
    </row>
    <row r="37" spans="1:17" s="3" customFormat="1" ht="43.15">
      <c r="A37" s="87" t="s">
        <v>178</v>
      </c>
      <c r="B37" s="4" t="s">
        <v>179</v>
      </c>
      <c r="C37" s="52" t="s">
        <v>180</v>
      </c>
      <c r="D37" s="52" t="s">
        <v>181</v>
      </c>
      <c r="E37" s="4" t="s">
        <v>153</v>
      </c>
      <c r="F37" s="20">
        <v>4</v>
      </c>
      <c r="G37" s="20">
        <v>3</v>
      </c>
      <c r="H37" s="20">
        <f t="shared" si="2"/>
        <v>12</v>
      </c>
      <c r="I37" s="4"/>
      <c r="J37" s="4"/>
      <c r="K37" s="48"/>
      <c r="L37" s="20" t="s">
        <v>23</v>
      </c>
      <c r="M37" s="4" t="s">
        <v>182</v>
      </c>
      <c r="N37" s="4"/>
      <c r="O37" s="4"/>
      <c r="P37" s="4"/>
      <c r="Q37"/>
    </row>
    <row r="38" spans="1:17" s="3" customFormat="1" ht="57.6">
      <c r="A38" s="22" t="s">
        <v>183</v>
      </c>
      <c r="B38" s="4" t="s">
        <v>184</v>
      </c>
      <c r="C38" s="4" t="s">
        <v>185</v>
      </c>
      <c r="D38" s="4" t="s">
        <v>186</v>
      </c>
      <c r="E38" s="4" t="s">
        <v>187</v>
      </c>
      <c r="F38" s="20">
        <v>3</v>
      </c>
      <c r="G38" s="20">
        <v>3</v>
      </c>
      <c r="H38" s="20">
        <f t="shared" si="2"/>
        <v>9</v>
      </c>
      <c r="I38" s="8"/>
      <c r="J38" s="8"/>
      <c r="K38" s="48"/>
      <c r="L38" s="53" t="s">
        <v>188</v>
      </c>
      <c r="M38" s="52" t="s">
        <v>189</v>
      </c>
      <c r="N38" s="4"/>
      <c r="O38" s="4"/>
      <c r="P38" s="4"/>
      <c r="Q38"/>
    </row>
    <row r="39" spans="1:17" s="3" customFormat="1" ht="43.15">
      <c r="A39" s="22" t="s">
        <v>190</v>
      </c>
      <c r="B39" s="4" t="s">
        <v>191</v>
      </c>
      <c r="C39" s="4" t="s">
        <v>192</v>
      </c>
      <c r="D39" s="4" t="s">
        <v>193</v>
      </c>
      <c r="E39" s="4" t="s">
        <v>194</v>
      </c>
      <c r="F39" s="20">
        <v>5</v>
      </c>
      <c r="G39" s="20">
        <v>3</v>
      </c>
      <c r="H39" s="20">
        <f t="shared" si="2"/>
        <v>15</v>
      </c>
      <c r="I39" s="4"/>
      <c r="J39" s="4"/>
      <c r="K39" s="48" t="s">
        <v>22</v>
      </c>
      <c r="L39" s="49" t="s">
        <v>45</v>
      </c>
      <c r="M39" s="50" t="s">
        <v>195</v>
      </c>
      <c r="N39" s="4"/>
      <c r="O39" s="4"/>
      <c r="P39" s="4"/>
      <c r="Q39"/>
    </row>
    <row r="40" spans="1:17" s="3" customFormat="1" ht="28.9">
      <c r="A40" s="22" t="s">
        <v>196</v>
      </c>
      <c r="B40" s="4" t="s">
        <v>197</v>
      </c>
      <c r="C40" s="4" t="s">
        <v>198</v>
      </c>
      <c r="D40" s="52" t="s">
        <v>199</v>
      </c>
      <c r="E40" s="4" t="s">
        <v>194</v>
      </c>
      <c r="F40" s="20">
        <v>5</v>
      </c>
      <c r="G40" s="20">
        <v>2</v>
      </c>
      <c r="H40" s="20">
        <f t="shared" si="2"/>
        <v>10</v>
      </c>
      <c r="I40" s="4"/>
      <c r="J40" s="4"/>
      <c r="K40" s="48" t="s">
        <v>22</v>
      </c>
      <c r="L40" s="53" t="s">
        <v>137</v>
      </c>
      <c r="M40" s="52" t="s">
        <v>200</v>
      </c>
      <c r="N40" s="4"/>
      <c r="O40" s="4"/>
      <c r="P40" s="4"/>
      <c r="Q40"/>
    </row>
    <row r="41" spans="1:17" s="3" customFormat="1" ht="43.15">
      <c r="A41" s="88" t="s">
        <v>201</v>
      </c>
      <c r="B41" s="54" t="s">
        <v>202</v>
      </c>
      <c r="C41" s="54" t="s">
        <v>203</v>
      </c>
      <c r="D41" s="54" t="s">
        <v>204</v>
      </c>
      <c r="E41" s="4" t="s">
        <v>205</v>
      </c>
      <c r="F41" s="20">
        <v>5</v>
      </c>
      <c r="G41" s="20">
        <v>1</v>
      </c>
      <c r="H41" s="20">
        <f t="shared" si="2"/>
        <v>5</v>
      </c>
      <c r="I41" s="4"/>
      <c r="J41" s="4"/>
      <c r="K41" s="48"/>
      <c r="L41" s="55" t="s">
        <v>188</v>
      </c>
      <c r="M41" s="54" t="s">
        <v>206</v>
      </c>
      <c r="N41" s="4"/>
      <c r="O41" s="4"/>
      <c r="P41" s="4"/>
      <c r="Q41"/>
    </row>
    <row r="42" spans="1:17" s="3" customFormat="1" ht="43.15">
      <c r="A42" s="87" t="s">
        <v>207</v>
      </c>
      <c r="B42" s="50" t="s">
        <v>208</v>
      </c>
      <c r="C42" s="50" t="s">
        <v>209</v>
      </c>
      <c r="D42" s="52" t="s">
        <v>181</v>
      </c>
      <c r="E42" s="4" t="s">
        <v>187</v>
      </c>
      <c r="F42" s="20">
        <v>5</v>
      </c>
      <c r="G42" s="20">
        <v>2</v>
      </c>
      <c r="H42" s="20">
        <f t="shared" si="2"/>
        <v>10</v>
      </c>
      <c r="I42" s="4"/>
      <c r="J42" s="4"/>
      <c r="K42" s="48"/>
      <c r="L42" s="20" t="s">
        <v>23</v>
      </c>
      <c r="M42" s="4" t="s">
        <v>210</v>
      </c>
      <c r="N42" s="4"/>
      <c r="O42" s="4"/>
      <c r="P42" s="4"/>
      <c r="Q42"/>
    </row>
    <row r="43" spans="1:17" s="3" customFormat="1" ht="28.9">
      <c r="A43" s="88" t="s">
        <v>211</v>
      </c>
      <c r="B43" s="50" t="s">
        <v>212</v>
      </c>
      <c r="C43" s="50" t="s">
        <v>213</v>
      </c>
      <c r="D43" s="50" t="s">
        <v>214</v>
      </c>
      <c r="E43" s="4" t="s">
        <v>215</v>
      </c>
      <c r="F43" s="20">
        <v>4</v>
      </c>
      <c r="G43" s="20">
        <v>1</v>
      </c>
      <c r="H43" s="20">
        <f t="shared" si="2"/>
        <v>4</v>
      </c>
      <c r="I43" s="4"/>
      <c r="J43" s="4"/>
      <c r="K43" s="48"/>
      <c r="L43" s="56" t="s">
        <v>23</v>
      </c>
      <c r="M43" s="50" t="s">
        <v>216</v>
      </c>
      <c r="N43" s="4"/>
      <c r="O43" s="4"/>
      <c r="P43" s="4"/>
      <c r="Q43"/>
    </row>
    <row r="44" spans="1:17" s="38" customFormat="1" ht="43.15">
      <c r="A44" s="88" t="s">
        <v>217</v>
      </c>
      <c r="B44" s="4" t="s">
        <v>218</v>
      </c>
      <c r="C44" s="52" t="s">
        <v>219</v>
      </c>
      <c r="D44" s="52" t="s">
        <v>220</v>
      </c>
      <c r="E44" s="4" t="s">
        <v>215</v>
      </c>
      <c r="F44" s="36">
        <v>4</v>
      </c>
      <c r="G44" s="36">
        <v>1</v>
      </c>
      <c r="H44" s="20">
        <f t="shared" si="2"/>
        <v>4</v>
      </c>
      <c r="I44" s="35"/>
      <c r="J44" s="35"/>
      <c r="K44" s="57"/>
      <c r="L44" s="53" t="s">
        <v>221</v>
      </c>
      <c r="M44" s="52" t="s">
        <v>222</v>
      </c>
      <c r="N44" s="35"/>
      <c r="O44" s="35"/>
      <c r="P44" s="35"/>
      <c r="Q44" s="37"/>
    </row>
    <row r="45" spans="1:17" s="38" customFormat="1" ht="28.9">
      <c r="A45" s="88" t="s">
        <v>223</v>
      </c>
      <c r="B45" s="4" t="s">
        <v>224</v>
      </c>
      <c r="C45" s="52" t="s">
        <v>225</v>
      </c>
      <c r="D45" s="52" t="s">
        <v>226</v>
      </c>
      <c r="E45" s="4" t="s">
        <v>215</v>
      </c>
      <c r="F45" s="36">
        <v>4</v>
      </c>
      <c r="G45" s="36">
        <v>1</v>
      </c>
      <c r="H45" s="20">
        <f t="shared" si="2"/>
        <v>4</v>
      </c>
      <c r="I45" s="35"/>
      <c r="J45" s="35"/>
      <c r="K45" s="57"/>
      <c r="L45" s="53" t="s">
        <v>221</v>
      </c>
      <c r="M45" s="52" t="s">
        <v>227</v>
      </c>
      <c r="N45" s="35"/>
      <c r="O45" s="35"/>
      <c r="P45" s="35"/>
      <c r="Q45" s="37"/>
    </row>
    <row r="46" spans="1:17" s="3" customFormat="1" ht="28.9">
      <c r="A46" s="89" t="s">
        <v>228</v>
      </c>
      <c r="B46" s="4" t="s">
        <v>229</v>
      </c>
      <c r="C46" s="4" t="s">
        <v>230</v>
      </c>
      <c r="D46" s="4" t="s">
        <v>231</v>
      </c>
      <c r="E46" s="4" t="s">
        <v>232</v>
      </c>
      <c r="F46" s="20">
        <v>5</v>
      </c>
      <c r="G46" s="20">
        <v>2</v>
      </c>
      <c r="H46" s="20">
        <f t="shared" si="2"/>
        <v>10</v>
      </c>
      <c r="I46" s="4" t="s">
        <v>97</v>
      </c>
      <c r="J46" s="4" t="s">
        <v>97</v>
      </c>
      <c r="K46" s="48" t="s">
        <v>22</v>
      </c>
      <c r="L46" s="32" t="s">
        <v>78</v>
      </c>
      <c r="M46" s="11" t="s">
        <v>79</v>
      </c>
      <c r="N46" s="4"/>
      <c r="O46" s="4"/>
      <c r="P46" s="4"/>
      <c r="Q46"/>
    </row>
    <row r="47" spans="1:17" s="3" customFormat="1" ht="43.15">
      <c r="A47" s="89" t="s">
        <v>233</v>
      </c>
      <c r="B47" s="4" t="s">
        <v>234</v>
      </c>
      <c r="C47" s="4" t="s">
        <v>235</v>
      </c>
      <c r="D47" s="4" t="s">
        <v>236</v>
      </c>
      <c r="E47" s="4" t="s">
        <v>237</v>
      </c>
      <c r="F47" s="20">
        <v>4</v>
      </c>
      <c r="G47" s="20">
        <v>3</v>
      </c>
      <c r="H47" s="20">
        <f t="shared" si="2"/>
        <v>12</v>
      </c>
      <c r="I47" s="8"/>
      <c r="J47" s="8"/>
      <c r="K47" s="48"/>
      <c r="L47" s="58" t="s">
        <v>57</v>
      </c>
      <c r="M47" s="52" t="s">
        <v>238</v>
      </c>
      <c r="N47" s="4"/>
      <c r="O47" s="4"/>
      <c r="P47" s="4"/>
      <c r="Q47"/>
    </row>
    <row r="48" spans="1:17" s="3" customFormat="1" ht="43.15">
      <c r="A48" s="89" t="s">
        <v>239</v>
      </c>
      <c r="B48" s="4" t="s">
        <v>240</v>
      </c>
      <c r="C48" s="4" t="s">
        <v>241</v>
      </c>
      <c r="D48" s="4" t="s">
        <v>236</v>
      </c>
      <c r="E48" s="4" t="s">
        <v>237</v>
      </c>
      <c r="F48" s="20">
        <v>4</v>
      </c>
      <c r="G48" s="20">
        <v>2</v>
      </c>
      <c r="H48" s="20">
        <f t="shared" si="2"/>
        <v>8</v>
      </c>
      <c r="I48" s="4" t="s">
        <v>97</v>
      </c>
      <c r="J48" s="4" t="s">
        <v>97</v>
      </c>
      <c r="K48" s="48"/>
      <c r="L48" s="56" t="s">
        <v>242</v>
      </c>
      <c r="M48" s="50" t="s">
        <v>243</v>
      </c>
      <c r="N48" s="4"/>
      <c r="O48" s="4"/>
      <c r="P48" s="4"/>
      <c r="Q48"/>
    </row>
    <row r="49" spans="1:17" s="3" customFormat="1" ht="14.45">
      <c r="A49" s="89" t="s">
        <v>244</v>
      </c>
      <c r="B49" s="4" t="s">
        <v>245</v>
      </c>
      <c r="C49" s="4" t="s">
        <v>246</v>
      </c>
      <c r="D49" s="4" t="s">
        <v>236</v>
      </c>
      <c r="E49" s="4" t="s">
        <v>237</v>
      </c>
      <c r="F49" s="20">
        <v>4</v>
      </c>
      <c r="G49" s="20">
        <v>1</v>
      </c>
      <c r="H49" s="20">
        <f t="shared" si="2"/>
        <v>4</v>
      </c>
      <c r="I49" s="8"/>
      <c r="J49" s="8"/>
      <c r="K49" s="48"/>
      <c r="L49" s="42" t="s">
        <v>57</v>
      </c>
      <c r="M49" s="43" t="s">
        <v>247</v>
      </c>
      <c r="N49" s="4"/>
      <c r="O49" s="4"/>
      <c r="P49" s="4"/>
      <c r="Q49"/>
    </row>
    <row r="50" spans="1:17" s="3" customFormat="1" ht="28.9">
      <c r="A50" s="89" t="s">
        <v>248</v>
      </c>
      <c r="B50" s="4" t="s">
        <v>249</v>
      </c>
      <c r="C50" s="4" t="s">
        <v>250</v>
      </c>
      <c r="D50" s="4" t="s">
        <v>236</v>
      </c>
      <c r="E50" s="4" t="s">
        <v>237</v>
      </c>
      <c r="F50" s="20">
        <v>4</v>
      </c>
      <c r="G50" s="20">
        <v>2</v>
      </c>
      <c r="H50" s="20">
        <f t="shared" si="2"/>
        <v>8</v>
      </c>
      <c r="I50" s="4" t="s">
        <v>97</v>
      </c>
      <c r="J50" s="4" t="s">
        <v>97</v>
      </c>
      <c r="K50" s="48"/>
      <c r="L50" s="20" t="s">
        <v>251</v>
      </c>
      <c r="M50" s="4" t="s">
        <v>252</v>
      </c>
      <c r="N50" s="4"/>
      <c r="O50" s="4"/>
      <c r="P50" s="4"/>
      <c r="Q50"/>
    </row>
    <row r="51" spans="1:17" s="3" customFormat="1" ht="28.9">
      <c r="A51" s="89" t="s">
        <v>253</v>
      </c>
      <c r="B51" s="4" t="s">
        <v>254</v>
      </c>
      <c r="C51" s="4" t="s">
        <v>255</v>
      </c>
      <c r="D51" s="4" t="s">
        <v>236</v>
      </c>
      <c r="E51" s="4" t="s">
        <v>237</v>
      </c>
      <c r="F51" s="20">
        <v>4</v>
      </c>
      <c r="G51" s="20">
        <v>2</v>
      </c>
      <c r="H51" s="20">
        <f t="shared" si="2"/>
        <v>8</v>
      </c>
      <c r="I51" s="4" t="s">
        <v>97</v>
      </c>
      <c r="J51" s="4" t="s">
        <v>97</v>
      </c>
      <c r="K51" s="48"/>
      <c r="L51" s="20" t="s">
        <v>23</v>
      </c>
      <c r="M51" s="4" t="s">
        <v>256</v>
      </c>
      <c r="N51" s="4"/>
      <c r="O51" s="4"/>
      <c r="P51" s="4"/>
      <c r="Q51"/>
    </row>
    <row r="52" spans="1:17" s="3" customFormat="1" ht="28.9">
      <c r="A52" s="89" t="s">
        <v>257</v>
      </c>
      <c r="B52" s="4" t="s">
        <v>258</v>
      </c>
      <c r="C52" s="4" t="s">
        <v>259</v>
      </c>
      <c r="D52" s="4" t="s">
        <v>260</v>
      </c>
      <c r="E52" s="4" t="s">
        <v>261</v>
      </c>
      <c r="F52" s="20">
        <v>5</v>
      </c>
      <c r="G52" s="20">
        <v>2</v>
      </c>
      <c r="H52" s="20">
        <f t="shared" si="2"/>
        <v>10</v>
      </c>
      <c r="I52" s="4" t="s">
        <v>97</v>
      </c>
      <c r="J52" s="4" t="s">
        <v>97</v>
      </c>
      <c r="K52" s="48"/>
      <c r="L52" s="20" t="s">
        <v>23</v>
      </c>
      <c r="M52" s="4" t="s">
        <v>262</v>
      </c>
      <c r="N52" s="4"/>
      <c r="O52" s="4"/>
      <c r="P52" s="4"/>
      <c r="Q52"/>
    </row>
    <row r="53" spans="1:17" s="3" customFormat="1" ht="43.15">
      <c r="A53" s="89" t="s">
        <v>263</v>
      </c>
      <c r="B53" s="4" t="s">
        <v>264</v>
      </c>
      <c r="C53" s="4" t="s">
        <v>265</v>
      </c>
      <c r="D53" s="4" t="s">
        <v>266</v>
      </c>
      <c r="E53" s="4" t="s">
        <v>69</v>
      </c>
      <c r="F53" s="20">
        <v>4</v>
      </c>
      <c r="G53" s="20">
        <v>2</v>
      </c>
      <c r="H53" s="20">
        <f t="shared" si="2"/>
        <v>8</v>
      </c>
      <c r="I53" s="4" t="s">
        <v>97</v>
      </c>
      <c r="J53" s="4" t="s">
        <v>97</v>
      </c>
      <c r="K53" s="48"/>
      <c r="L53" s="20" t="s">
        <v>267</v>
      </c>
      <c r="M53" s="4" t="s">
        <v>268</v>
      </c>
      <c r="N53" s="4"/>
      <c r="O53" s="4"/>
      <c r="P53" s="4"/>
      <c r="Q53"/>
    </row>
    <row r="54" spans="1:17" s="3" customFormat="1" ht="28.9">
      <c r="A54" s="89" t="s">
        <v>269</v>
      </c>
      <c r="B54" s="4" t="s">
        <v>270</v>
      </c>
      <c r="C54" s="4" t="s">
        <v>271</v>
      </c>
      <c r="D54" s="4" t="s">
        <v>266</v>
      </c>
      <c r="E54" s="4" t="s">
        <v>69</v>
      </c>
      <c r="F54" s="20">
        <v>4</v>
      </c>
      <c r="G54" s="20">
        <v>2</v>
      </c>
      <c r="H54" s="20">
        <f t="shared" si="2"/>
        <v>8</v>
      </c>
      <c r="I54" s="4" t="s">
        <v>97</v>
      </c>
      <c r="J54" s="4" t="s">
        <v>97</v>
      </c>
      <c r="K54" s="48"/>
      <c r="L54" s="20" t="s">
        <v>57</v>
      </c>
      <c r="M54" s="4" t="s">
        <v>272</v>
      </c>
      <c r="N54" s="4"/>
      <c r="O54" s="4"/>
      <c r="P54" s="4"/>
      <c r="Q54"/>
    </row>
    <row r="55" spans="1:17" s="3" customFormat="1" ht="57.6">
      <c r="A55" s="89" t="s">
        <v>273</v>
      </c>
      <c r="B55" s="4" t="s">
        <v>274</v>
      </c>
      <c r="C55" s="4" t="s">
        <v>275</v>
      </c>
      <c r="D55" s="4" t="s">
        <v>276</v>
      </c>
      <c r="E55" s="4" t="s">
        <v>69</v>
      </c>
      <c r="F55" s="20">
        <v>4</v>
      </c>
      <c r="G55" s="20">
        <v>2</v>
      </c>
      <c r="H55" s="20">
        <f t="shared" si="2"/>
        <v>8</v>
      </c>
      <c r="I55" s="4" t="s">
        <v>97</v>
      </c>
      <c r="J55" s="4" t="s">
        <v>97</v>
      </c>
      <c r="K55" s="48"/>
      <c r="L55" s="20" t="s">
        <v>50</v>
      </c>
      <c r="M55" s="4" t="s">
        <v>277</v>
      </c>
      <c r="N55" s="4"/>
      <c r="O55" s="4"/>
      <c r="P55" s="4"/>
      <c r="Q55"/>
    </row>
    <row r="56" spans="1:17" s="3" customFormat="1" ht="28.9">
      <c r="A56" s="89" t="s">
        <v>278</v>
      </c>
      <c r="B56" s="4" t="s">
        <v>279</v>
      </c>
      <c r="C56" s="4" t="s">
        <v>280</v>
      </c>
      <c r="D56" s="4" t="s">
        <v>281</v>
      </c>
      <c r="E56" s="4" t="s">
        <v>69</v>
      </c>
      <c r="F56" s="20">
        <v>4</v>
      </c>
      <c r="G56" s="20">
        <v>2</v>
      </c>
      <c r="H56" s="20">
        <f t="shared" si="2"/>
        <v>8</v>
      </c>
      <c r="I56" s="4" t="s">
        <v>97</v>
      </c>
      <c r="J56" s="4" t="s">
        <v>97</v>
      </c>
      <c r="K56" s="48"/>
      <c r="L56" s="20" t="s">
        <v>23</v>
      </c>
      <c r="M56" s="4" t="s">
        <v>282</v>
      </c>
      <c r="N56" s="4"/>
      <c r="O56" s="4"/>
      <c r="P56" s="4"/>
      <c r="Q56"/>
    </row>
    <row r="57" spans="1:17" s="3" customFormat="1" ht="28.9">
      <c r="A57" s="89" t="s">
        <v>283</v>
      </c>
      <c r="B57" s="26" t="s">
        <v>284</v>
      </c>
      <c r="C57" s="4" t="s">
        <v>285</v>
      </c>
      <c r="D57" s="4" t="s">
        <v>286</v>
      </c>
      <c r="E57" s="4" t="s">
        <v>69</v>
      </c>
      <c r="F57" s="20">
        <v>2</v>
      </c>
      <c r="G57" s="20">
        <v>2</v>
      </c>
      <c r="H57" s="20">
        <f t="shared" si="2"/>
        <v>4</v>
      </c>
      <c r="I57" s="4" t="s">
        <v>97</v>
      </c>
      <c r="J57" s="4" t="s">
        <v>97</v>
      </c>
      <c r="K57" s="48"/>
      <c r="L57" s="20" t="s">
        <v>23</v>
      </c>
      <c r="M57" s="4" t="s">
        <v>287</v>
      </c>
      <c r="N57" s="4"/>
      <c r="O57" s="4"/>
      <c r="P57" s="4"/>
      <c r="Q57"/>
    </row>
    <row r="58" spans="1:17" s="3" customFormat="1" ht="28.9">
      <c r="A58" s="89" t="s">
        <v>288</v>
      </c>
      <c r="B58" s="4" t="s">
        <v>289</v>
      </c>
      <c r="C58" s="52" t="s">
        <v>290</v>
      </c>
      <c r="D58" s="52" t="s">
        <v>291</v>
      </c>
      <c r="E58" s="4" t="s">
        <v>292</v>
      </c>
      <c r="F58" s="20">
        <v>2</v>
      </c>
      <c r="G58" s="20">
        <v>1</v>
      </c>
      <c r="H58" s="20">
        <f t="shared" si="2"/>
        <v>2</v>
      </c>
      <c r="I58" s="4"/>
      <c r="J58" s="4"/>
      <c r="K58" s="48"/>
      <c r="L58" s="53" t="s">
        <v>57</v>
      </c>
      <c r="M58" s="52" t="s">
        <v>247</v>
      </c>
      <c r="N58" s="4"/>
      <c r="O58" s="4"/>
      <c r="P58" s="4"/>
      <c r="Q58"/>
    </row>
    <row r="59" spans="1:17" s="3" customFormat="1" ht="28.9">
      <c r="A59" s="88" t="s">
        <v>293</v>
      </c>
      <c r="B59" s="4" t="s">
        <v>294</v>
      </c>
      <c r="C59" s="52" t="s">
        <v>295</v>
      </c>
      <c r="D59" s="52" t="s">
        <v>296</v>
      </c>
      <c r="E59" s="4" t="s">
        <v>292</v>
      </c>
      <c r="F59" s="20">
        <v>2</v>
      </c>
      <c r="G59" s="20">
        <v>2</v>
      </c>
      <c r="H59" s="20">
        <f t="shared" si="2"/>
        <v>4</v>
      </c>
      <c r="I59" s="4"/>
      <c r="J59" s="4"/>
      <c r="K59" s="48"/>
      <c r="L59" s="53" t="s">
        <v>137</v>
      </c>
      <c r="M59" s="52" t="s">
        <v>297</v>
      </c>
      <c r="N59" s="4"/>
      <c r="O59" s="4"/>
      <c r="P59" s="4"/>
      <c r="Q59"/>
    </row>
    <row r="60" spans="1:17" s="3" customFormat="1" ht="43.15">
      <c r="A60" s="88" t="s">
        <v>298</v>
      </c>
      <c r="B60" s="50" t="s">
        <v>299</v>
      </c>
      <c r="C60" s="52" t="s">
        <v>300</v>
      </c>
      <c r="D60" s="52" t="s">
        <v>301</v>
      </c>
      <c r="E60" s="4" t="s">
        <v>292</v>
      </c>
      <c r="F60" s="20">
        <v>2</v>
      </c>
      <c r="G60" s="20">
        <v>2</v>
      </c>
      <c r="H60" s="20">
        <f t="shared" si="2"/>
        <v>4</v>
      </c>
      <c r="I60" s="4"/>
      <c r="J60" s="4"/>
      <c r="K60" s="48"/>
      <c r="L60" s="53" t="s">
        <v>302</v>
      </c>
      <c r="M60" s="52" t="s">
        <v>303</v>
      </c>
      <c r="N60" s="4"/>
      <c r="O60" s="4"/>
      <c r="P60" s="4"/>
      <c r="Q60"/>
    </row>
    <row r="61" spans="1:17" s="3" customFormat="1" ht="28.9">
      <c r="A61" s="88" t="s">
        <v>304</v>
      </c>
      <c r="B61" s="50" t="s">
        <v>305</v>
      </c>
      <c r="C61" s="52" t="s">
        <v>306</v>
      </c>
      <c r="D61" s="52" t="s">
        <v>307</v>
      </c>
      <c r="E61" s="4" t="s">
        <v>292</v>
      </c>
      <c r="F61" s="20">
        <v>3</v>
      </c>
      <c r="G61" s="20">
        <v>2</v>
      </c>
      <c r="H61" s="20">
        <f t="shared" si="2"/>
        <v>6</v>
      </c>
      <c r="I61" s="4"/>
      <c r="J61" s="4"/>
      <c r="K61" s="48"/>
      <c r="L61" s="53" t="s">
        <v>308</v>
      </c>
      <c r="M61" s="52" t="s">
        <v>309</v>
      </c>
      <c r="N61" s="4"/>
      <c r="O61" s="4"/>
      <c r="P61" s="4"/>
      <c r="Q61"/>
    </row>
    <row r="62" spans="1:17" s="3" customFormat="1" ht="28.9">
      <c r="A62" s="88" t="s">
        <v>310</v>
      </c>
      <c r="B62" s="50" t="s">
        <v>311</v>
      </c>
      <c r="C62" s="50" t="s">
        <v>312</v>
      </c>
      <c r="D62" s="50"/>
      <c r="E62" s="4" t="s">
        <v>292</v>
      </c>
      <c r="F62" s="20">
        <v>5</v>
      </c>
      <c r="G62" s="20">
        <v>1</v>
      </c>
      <c r="H62" s="20">
        <f t="shared" si="2"/>
        <v>5</v>
      </c>
      <c r="I62" s="4"/>
      <c r="J62" s="4"/>
      <c r="K62" s="48"/>
      <c r="L62" s="56" t="s">
        <v>23</v>
      </c>
      <c r="M62" s="50" t="s">
        <v>313</v>
      </c>
      <c r="N62" s="4"/>
      <c r="O62" s="4"/>
      <c r="P62" s="4"/>
      <c r="Q62"/>
    </row>
    <row r="63" spans="1:17" s="3" customFormat="1" ht="14.45">
      <c r="A63" s="4"/>
      <c r="B63" s="50"/>
      <c r="C63" s="50"/>
      <c r="D63" s="50"/>
      <c r="E63" s="4"/>
      <c r="F63" s="20"/>
      <c r="G63" s="20"/>
      <c r="H63" s="20"/>
      <c r="I63" s="4"/>
      <c r="J63" s="4"/>
      <c r="K63" s="48"/>
      <c r="L63" s="56"/>
      <c r="M63" s="50"/>
      <c r="N63" s="4"/>
      <c r="O63" s="4"/>
      <c r="P63" s="4"/>
      <c r="Q63"/>
    </row>
    <row r="64" spans="1:17" s="5" customFormat="1" ht="15.6">
      <c r="A64" s="99" t="s">
        <v>314</v>
      </c>
      <c r="B64" s="99"/>
      <c r="C64" s="99"/>
      <c r="D64" s="99"/>
      <c r="E64" s="99"/>
      <c r="F64" s="99"/>
      <c r="G64" s="99"/>
      <c r="H64" s="99"/>
      <c r="I64" s="99"/>
      <c r="J64" s="99"/>
      <c r="K64" s="99"/>
      <c r="L64" s="99"/>
      <c r="M64" s="99"/>
      <c r="N64" s="99"/>
      <c r="O64" s="99"/>
      <c r="P64" s="99"/>
      <c r="Q64"/>
    </row>
    <row r="65" spans="1:17" s="3" customFormat="1" ht="28.9">
      <c r="A65" s="4" t="s">
        <v>315</v>
      </c>
      <c r="B65" s="4" t="s">
        <v>316</v>
      </c>
      <c r="C65" s="4" t="s">
        <v>317</v>
      </c>
      <c r="D65" s="4" t="s">
        <v>318</v>
      </c>
      <c r="E65" s="4"/>
      <c r="F65" s="20">
        <v>5</v>
      </c>
      <c r="G65" s="20">
        <v>1</v>
      </c>
      <c r="H65" s="20">
        <f t="shared" ref="H65:H68" si="3">F65*G65</f>
        <v>5</v>
      </c>
      <c r="I65" s="4" t="s">
        <v>319</v>
      </c>
      <c r="J65" s="4"/>
      <c r="K65" s="48"/>
      <c r="L65" s="20" t="s">
        <v>23</v>
      </c>
      <c r="M65" s="4" t="s">
        <v>320</v>
      </c>
      <c r="N65" s="4"/>
      <c r="O65" s="4"/>
      <c r="P65" s="4"/>
      <c r="Q65"/>
    </row>
    <row r="66" spans="1:17" s="3" customFormat="1" ht="28.9">
      <c r="A66" s="4" t="s">
        <v>321</v>
      </c>
      <c r="B66" s="4" t="s">
        <v>322</v>
      </c>
      <c r="C66" s="4" t="s">
        <v>323</v>
      </c>
      <c r="D66" s="4" t="s">
        <v>324</v>
      </c>
      <c r="E66" s="4"/>
      <c r="F66" s="20">
        <v>5</v>
      </c>
      <c r="G66" s="20">
        <v>2</v>
      </c>
      <c r="H66" s="20">
        <f t="shared" si="3"/>
        <v>10</v>
      </c>
      <c r="I66" s="4" t="s">
        <v>319</v>
      </c>
      <c r="J66" s="4"/>
      <c r="K66" s="48"/>
      <c r="L66" s="20" t="s">
        <v>23</v>
      </c>
      <c r="M66" s="4" t="s">
        <v>325</v>
      </c>
      <c r="N66" s="4"/>
      <c r="O66" s="4"/>
      <c r="P66" s="4"/>
      <c r="Q66"/>
    </row>
    <row r="67" spans="1:17" s="3" customFormat="1" ht="43.15">
      <c r="A67" s="4" t="s">
        <v>326</v>
      </c>
      <c r="B67" s="4" t="s">
        <v>327</v>
      </c>
      <c r="C67" s="70" t="s">
        <v>328</v>
      </c>
      <c r="D67" s="4" t="s">
        <v>329</v>
      </c>
      <c r="E67" s="4"/>
      <c r="F67" s="20">
        <v>4</v>
      </c>
      <c r="G67" s="20">
        <v>3</v>
      </c>
      <c r="H67" s="20">
        <f t="shared" si="3"/>
        <v>12</v>
      </c>
      <c r="I67" s="4" t="s">
        <v>319</v>
      </c>
      <c r="J67" s="4"/>
      <c r="K67" s="48"/>
      <c r="L67" s="20" t="s">
        <v>50</v>
      </c>
      <c r="M67" s="4" t="s">
        <v>330</v>
      </c>
      <c r="N67" s="4"/>
      <c r="O67" s="4"/>
      <c r="P67" s="4"/>
      <c r="Q67"/>
    </row>
    <row r="68" spans="1:17" s="3" customFormat="1" ht="35.25" customHeight="1">
      <c r="A68" s="4" t="s">
        <v>331</v>
      </c>
      <c r="B68" s="4" t="s">
        <v>332</v>
      </c>
      <c r="C68" s="4" t="s">
        <v>333</v>
      </c>
      <c r="D68" s="4" t="s">
        <v>334</v>
      </c>
      <c r="E68" s="4"/>
      <c r="F68" s="20">
        <v>4</v>
      </c>
      <c r="G68" s="20">
        <v>3</v>
      </c>
      <c r="H68" s="20">
        <f t="shared" si="3"/>
        <v>12</v>
      </c>
      <c r="I68" s="4" t="s">
        <v>319</v>
      </c>
      <c r="J68" s="4"/>
      <c r="K68" s="48" t="s">
        <v>22</v>
      </c>
      <c r="L68" s="20" t="s">
        <v>50</v>
      </c>
      <c r="M68" s="4" t="s">
        <v>335</v>
      </c>
      <c r="N68" s="4"/>
      <c r="O68" s="4"/>
      <c r="P68" s="4"/>
      <c r="Q68"/>
    </row>
    <row r="69" spans="1:17" s="5" customFormat="1" ht="15.6">
      <c r="A69" s="99" t="s">
        <v>336</v>
      </c>
      <c r="B69" s="99"/>
      <c r="C69" s="99"/>
      <c r="D69" s="99"/>
      <c r="E69" s="99"/>
      <c r="F69" s="99"/>
      <c r="G69" s="99"/>
      <c r="H69" s="99"/>
      <c r="I69" s="99"/>
      <c r="J69" s="99"/>
      <c r="K69" s="99"/>
      <c r="L69" s="99"/>
      <c r="M69" s="99"/>
      <c r="N69" s="99"/>
      <c r="O69" s="99"/>
      <c r="P69" s="99"/>
      <c r="Q69"/>
    </row>
    <row r="70" spans="1:17" s="3" customFormat="1" ht="43.15">
      <c r="A70" s="71" t="s">
        <v>337</v>
      </c>
      <c r="B70" s="4" t="s">
        <v>338</v>
      </c>
      <c r="C70" s="4" t="s">
        <v>339</v>
      </c>
      <c r="D70" s="4" t="s">
        <v>340</v>
      </c>
      <c r="E70" s="4" t="s">
        <v>52</v>
      </c>
      <c r="F70" s="20">
        <v>5</v>
      </c>
      <c r="G70" s="20">
        <v>1</v>
      </c>
      <c r="H70" s="20">
        <f t="shared" ref="H70:H78" si="4">F70*G70</f>
        <v>5</v>
      </c>
      <c r="I70" s="4"/>
      <c r="J70" s="4"/>
      <c r="K70" s="48" t="s">
        <v>22</v>
      </c>
      <c r="L70" s="56" t="s">
        <v>23</v>
      </c>
      <c r="M70" s="50" t="s">
        <v>341</v>
      </c>
      <c r="N70" s="4"/>
      <c r="O70" s="4"/>
      <c r="P70" s="4"/>
      <c r="Q70"/>
    </row>
    <row r="71" spans="1:17" s="3" customFormat="1" ht="43.15">
      <c r="A71" s="71" t="s">
        <v>342</v>
      </c>
      <c r="B71" s="4" t="s">
        <v>343</v>
      </c>
      <c r="C71" s="4" t="s">
        <v>344</v>
      </c>
      <c r="D71" s="4" t="s">
        <v>345</v>
      </c>
      <c r="E71" s="4" t="s">
        <v>52</v>
      </c>
      <c r="F71" s="20">
        <v>5</v>
      </c>
      <c r="G71" s="20">
        <v>1</v>
      </c>
      <c r="H71" s="20">
        <f t="shared" si="4"/>
        <v>5</v>
      </c>
      <c r="I71" s="4"/>
      <c r="J71" s="4"/>
      <c r="K71" s="48" t="s">
        <v>22</v>
      </c>
      <c r="L71" s="56" t="s">
        <v>308</v>
      </c>
      <c r="M71" s="50" t="s">
        <v>346</v>
      </c>
      <c r="N71" s="4"/>
      <c r="O71" s="4"/>
      <c r="P71" s="4"/>
      <c r="Q71"/>
    </row>
    <row r="72" spans="1:17" s="3" customFormat="1" ht="43.15">
      <c r="A72" s="71" t="s">
        <v>347</v>
      </c>
      <c r="B72" s="4" t="s">
        <v>348</v>
      </c>
      <c r="C72" s="4" t="s">
        <v>349</v>
      </c>
      <c r="D72" s="4" t="s">
        <v>350</v>
      </c>
      <c r="E72" s="4" t="s">
        <v>351</v>
      </c>
      <c r="F72" s="20">
        <v>1</v>
      </c>
      <c r="G72" s="20">
        <v>1</v>
      </c>
      <c r="H72" s="20">
        <f t="shared" si="4"/>
        <v>1</v>
      </c>
      <c r="I72" s="4"/>
      <c r="J72" s="4"/>
      <c r="K72" s="48" t="s">
        <v>22</v>
      </c>
      <c r="L72" s="56" t="s">
        <v>23</v>
      </c>
      <c r="M72" s="50" t="s">
        <v>352</v>
      </c>
      <c r="N72" s="4"/>
      <c r="O72" s="4"/>
      <c r="P72" s="4"/>
      <c r="Q72"/>
    </row>
    <row r="73" spans="1:17" s="3" customFormat="1" ht="28.9">
      <c r="A73" s="72" t="s">
        <v>353</v>
      </c>
      <c r="B73" s="33" t="s">
        <v>354</v>
      </c>
      <c r="C73" s="33" t="s">
        <v>355</v>
      </c>
      <c r="D73" s="33" t="s">
        <v>356</v>
      </c>
      <c r="E73" s="4" t="s">
        <v>59</v>
      </c>
      <c r="F73" s="20">
        <v>4</v>
      </c>
      <c r="G73" s="20">
        <v>2</v>
      </c>
      <c r="H73" s="20">
        <f t="shared" si="4"/>
        <v>8</v>
      </c>
      <c r="I73" s="4"/>
      <c r="J73" s="4"/>
      <c r="K73" s="48"/>
      <c r="L73" s="42" t="s">
        <v>221</v>
      </c>
      <c r="M73" s="43" t="s">
        <v>357</v>
      </c>
      <c r="N73" s="4"/>
      <c r="O73" s="4"/>
      <c r="P73" s="4"/>
      <c r="Q73"/>
    </row>
    <row r="74" spans="1:17" s="3" customFormat="1" ht="28.9">
      <c r="A74" s="72" t="s">
        <v>358</v>
      </c>
      <c r="B74" s="34" t="s">
        <v>359</v>
      </c>
      <c r="C74" s="34" t="s">
        <v>360</v>
      </c>
      <c r="D74" s="34" t="s">
        <v>356</v>
      </c>
      <c r="E74" s="4" t="s">
        <v>59</v>
      </c>
      <c r="F74" s="20">
        <v>3</v>
      </c>
      <c r="G74" s="20">
        <v>2</v>
      </c>
      <c r="H74" s="20">
        <f t="shared" si="4"/>
        <v>6</v>
      </c>
      <c r="I74" s="4"/>
      <c r="J74" s="4"/>
      <c r="K74" s="48"/>
      <c r="L74" s="42" t="s">
        <v>221</v>
      </c>
      <c r="M74" s="43" t="s">
        <v>361</v>
      </c>
      <c r="N74" s="4"/>
      <c r="O74" s="4"/>
      <c r="P74" s="4"/>
      <c r="Q74"/>
    </row>
    <row r="75" spans="1:17" s="3" customFormat="1" ht="43.15">
      <c r="A75" s="72" t="s">
        <v>362</v>
      </c>
      <c r="B75" s="34" t="s">
        <v>363</v>
      </c>
      <c r="C75" s="34" t="s">
        <v>364</v>
      </c>
      <c r="D75" s="34" t="s">
        <v>356</v>
      </c>
      <c r="E75" s="4" t="s">
        <v>59</v>
      </c>
      <c r="F75" s="20">
        <v>5</v>
      </c>
      <c r="G75" s="20">
        <v>3</v>
      </c>
      <c r="H75" s="20">
        <f t="shared" si="4"/>
        <v>15</v>
      </c>
      <c r="I75" s="4"/>
      <c r="J75" s="4"/>
      <c r="K75" s="48"/>
      <c r="L75" s="42" t="s">
        <v>78</v>
      </c>
      <c r="M75" s="43" t="s">
        <v>365</v>
      </c>
      <c r="N75" s="4"/>
      <c r="O75" s="4"/>
      <c r="P75" s="4"/>
      <c r="Q75"/>
    </row>
    <row r="76" spans="1:17" s="3" customFormat="1" ht="43.15">
      <c r="A76" s="72" t="s">
        <v>366</v>
      </c>
      <c r="B76" s="34" t="s">
        <v>367</v>
      </c>
      <c r="C76" s="34" t="s">
        <v>368</v>
      </c>
      <c r="D76" s="34" t="s">
        <v>369</v>
      </c>
      <c r="E76" s="4" t="s">
        <v>370</v>
      </c>
      <c r="F76" s="20">
        <v>5</v>
      </c>
      <c r="G76" s="20">
        <v>3</v>
      </c>
      <c r="H76" s="20">
        <f t="shared" si="4"/>
        <v>15</v>
      </c>
      <c r="I76" s="4"/>
      <c r="J76" s="4"/>
      <c r="K76" s="48"/>
      <c r="L76" s="42" t="s">
        <v>242</v>
      </c>
      <c r="M76" s="43" t="s">
        <v>243</v>
      </c>
      <c r="N76" s="4"/>
      <c r="O76" s="4"/>
      <c r="P76" s="4"/>
      <c r="Q76"/>
    </row>
    <row r="77" spans="1:17" s="3" customFormat="1" ht="43.15">
      <c r="A77" s="72" t="s">
        <v>371</v>
      </c>
      <c r="B77" s="34" t="s">
        <v>372</v>
      </c>
      <c r="C77" s="34" t="s">
        <v>373</v>
      </c>
      <c r="D77" s="34" t="s">
        <v>374</v>
      </c>
      <c r="E77" s="4" t="s">
        <v>375</v>
      </c>
      <c r="F77" s="20">
        <v>5</v>
      </c>
      <c r="G77" s="20">
        <v>3</v>
      </c>
      <c r="H77" s="20">
        <f t="shared" si="4"/>
        <v>15</v>
      </c>
      <c r="I77" s="4"/>
      <c r="J77" s="4"/>
      <c r="K77" s="48"/>
      <c r="L77" s="44" t="s">
        <v>57</v>
      </c>
      <c r="M77" s="43" t="s">
        <v>238</v>
      </c>
      <c r="N77" s="4"/>
      <c r="O77" s="4"/>
      <c r="P77" s="4"/>
      <c r="Q77"/>
    </row>
    <row r="78" spans="1:17" s="3" customFormat="1" ht="28.9">
      <c r="A78" s="72" t="s">
        <v>376</v>
      </c>
      <c r="B78" s="4" t="s">
        <v>377</v>
      </c>
      <c r="C78" s="4" t="s">
        <v>378</v>
      </c>
      <c r="D78" s="4" t="s">
        <v>379</v>
      </c>
      <c r="E78" s="4" t="s">
        <v>380</v>
      </c>
      <c r="F78" s="20">
        <v>5</v>
      </c>
      <c r="G78" s="20">
        <v>3</v>
      </c>
      <c r="H78" s="20">
        <f t="shared" si="4"/>
        <v>15</v>
      </c>
      <c r="I78" s="4"/>
      <c r="J78" s="4"/>
      <c r="K78" s="48" t="s">
        <v>22</v>
      </c>
      <c r="L78" s="56" t="s">
        <v>137</v>
      </c>
      <c r="M78" s="50" t="s">
        <v>381</v>
      </c>
      <c r="N78" s="4"/>
      <c r="O78" s="4"/>
      <c r="P78" s="4"/>
      <c r="Q78"/>
    </row>
    <row r="79" spans="1:17" s="3" customFormat="1" ht="43.15">
      <c r="A79" s="72" t="s">
        <v>382</v>
      </c>
      <c r="B79" s="50" t="s">
        <v>383</v>
      </c>
      <c r="C79" s="50" t="s">
        <v>384</v>
      </c>
      <c r="D79" s="50" t="s">
        <v>385</v>
      </c>
      <c r="E79" s="4" t="s">
        <v>386</v>
      </c>
      <c r="F79" s="20">
        <v>5</v>
      </c>
      <c r="G79" s="20">
        <v>2</v>
      </c>
      <c r="H79" s="20">
        <f t="shared" ref="H79:H90" si="5">F79*G79</f>
        <v>10</v>
      </c>
      <c r="I79" s="4"/>
      <c r="J79" s="4"/>
      <c r="K79" s="48"/>
      <c r="L79" s="56" t="s">
        <v>23</v>
      </c>
      <c r="M79" s="50" t="s">
        <v>387</v>
      </c>
      <c r="N79" s="4"/>
      <c r="O79" s="4"/>
      <c r="P79" s="4"/>
      <c r="Q79"/>
    </row>
    <row r="80" spans="1:17" s="3" customFormat="1" ht="43.15">
      <c r="A80" s="71" t="s">
        <v>388</v>
      </c>
      <c r="B80" s="50" t="s">
        <v>389</v>
      </c>
      <c r="C80" s="50" t="s">
        <v>390</v>
      </c>
      <c r="D80" s="50" t="s">
        <v>391</v>
      </c>
      <c r="E80" s="4" t="s">
        <v>392</v>
      </c>
      <c r="F80" s="20">
        <v>4</v>
      </c>
      <c r="G80" s="20">
        <v>3</v>
      </c>
      <c r="H80" s="20">
        <f t="shared" si="5"/>
        <v>12</v>
      </c>
      <c r="I80" s="4"/>
      <c r="J80" s="4"/>
      <c r="K80" s="48"/>
      <c r="L80" s="56" t="s">
        <v>393</v>
      </c>
      <c r="M80" s="50" t="s">
        <v>394</v>
      </c>
      <c r="N80" s="4"/>
      <c r="O80" s="4"/>
      <c r="P80" s="4"/>
      <c r="Q80"/>
    </row>
    <row r="81" spans="1:17" s="3" customFormat="1" ht="43.15">
      <c r="A81" s="72" t="s">
        <v>395</v>
      </c>
      <c r="B81" s="50" t="s">
        <v>396</v>
      </c>
      <c r="C81" s="50" t="s">
        <v>397</v>
      </c>
      <c r="D81" s="50" t="s">
        <v>398</v>
      </c>
      <c r="E81" s="4" t="s">
        <v>399</v>
      </c>
      <c r="F81" s="20">
        <v>5</v>
      </c>
      <c r="G81" s="20">
        <v>1</v>
      </c>
      <c r="H81" s="20">
        <f t="shared" si="5"/>
        <v>5</v>
      </c>
      <c r="I81" s="4"/>
      <c r="J81" s="4"/>
      <c r="K81" s="48"/>
      <c r="L81" s="56" t="s">
        <v>23</v>
      </c>
      <c r="M81" s="50" t="s">
        <v>400</v>
      </c>
      <c r="N81" s="4"/>
      <c r="O81" s="4"/>
      <c r="P81" s="4"/>
      <c r="Q81"/>
    </row>
    <row r="82" spans="1:17" s="3" customFormat="1" ht="28.9">
      <c r="A82" s="72" t="s">
        <v>401</v>
      </c>
      <c r="B82" s="50" t="s">
        <v>402</v>
      </c>
      <c r="C82" s="50" t="s">
        <v>403</v>
      </c>
      <c r="D82" s="50" t="s">
        <v>404</v>
      </c>
      <c r="E82" s="4" t="s">
        <v>399</v>
      </c>
      <c r="F82" s="20">
        <v>4</v>
      </c>
      <c r="G82" s="20">
        <v>1</v>
      </c>
      <c r="H82" s="20">
        <f t="shared" si="5"/>
        <v>4</v>
      </c>
      <c r="I82" s="4"/>
      <c r="J82" s="4"/>
      <c r="K82" s="48"/>
      <c r="L82" s="56" t="s">
        <v>405</v>
      </c>
      <c r="M82" s="50" t="s">
        <v>406</v>
      </c>
      <c r="N82" s="4"/>
      <c r="O82" s="4"/>
      <c r="P82" s="4"/>
      <c r="Q82"/>
    </row>
    <row r="83" spans="1:17" s="3" customFormat="1" ht="43.15">
      <c r="A83" s="72" t="s">
        <v>407</v>
      </c>
      <c r="B83" s="50" t="s">
        <v>408</v>
      </c>
      <c r="C83" s="50" t="s">
        <v>409</v>
      </c>
      <c r="D83" s="50" t="s">
        <v>410</v>
      </c>
      <c r="E83" s="4" t="s">
        <v>399</v>
      </c>
      <c r="F83" s="20">
        <v>4</v>
      </c>
      <c r="G83" s="20">
        <v>1</v>
      </c>
      <c r="H83" s="20">
        <f t="shared" si="5"/>
        <v>4</v>
      </c>
      <c r="I83" s="4"/>
      <c r="J83" s="4"/>
      <c r="K83" s="48"/>
      <c r="L83" s="56" t="s">
        <v>23</v>
      </c>
      <c r="M83" s="50" t="s">
        <v>411</v>
      </c>
      <c r="N83" s="4"/>
      <c r="O83" s="4"/>
      <c r="P83" s="4"/>
      <c r="Q83"/>
    </row>
    <row r="84" spans="1:17" s="3" customFormat="1" ht="43.15">
      <c r="A84" s="72" t="s">
        <v>412</v>
      </c>
      <c r="B84" s="50" t="s">
        <v>413</v>
      </c>
      <c r="C84" s="50" t="s">
        <v>414</v>
      </c>
      <c r="D84" s="50" t="s">
        <v>415</v>
      </c>
      <c r="E84" s="4" t="s">
        <v>416</v>
      </c>
      <c r="F84" s="20">
        <v>3</v>
      </c>
      <c r="G84" s="20">
        <v>2</v>
      </c>
      <c r="H84" s="20">
        <f t="shared" si="5"/>
        <v>6</v>
      </c>
      <c r="I84" s="4"/>
      <c r="J84" s="4"/>
      <c r="K84" s="48"/>
      <c r="L84" s="56" t="s">
        <v>45</v>
      </c>
      <c r="M84" s="50" t="s">
        <v>417</v>
      </c>
      <c r="N84" s="4"/>
      <c r="O84" s="4"/>
      <c r="P84" s="4"/>
      <c r="Q84"/>
    </row>
    <row r="85" spans="1:17" s="3" customFormat="1" ht="43.15">
      <c r="A85" s="72" t="s">
        <v>418</v>
      </c>
      <c r="B85" s="50" t="s">
        <v>419</v>
      </c>
      <c r="C85" s="50" t="s">
        <v>420</v>
      </c>
      <c r="D85" s="50" t="s">
        <v>421</v>
      </c>
      <c r="E85" s="4" t="s">
        <v>422</v>
      </c>
      <c r="F85" s="20">
        <v>2</v>
      </c>
      <c r="G85" s="20">
        <v>1</v>
      </c>
      <c r="H85" s="20">
        <f t="shared" si="5"/>
        <v>2</v>
      </c>
      <c r="I85" s="4"/>
      <c r="J85" s="4"/>
      <c r="K85" s="48"/>
      <c r="L85" s="56" t="s">
        <v>45</v>
      </c>
      <c r="M85" s="50" t="s">
        <v>423</v>
      </c>
      <c r="N85" s="4"/>
      <c r="O85" s="4"/>
      <c r="P85" s="4"/>
      <c r="Q85"/>
    </row>
    <row r="86" spans="1:17" s="3" customFormat="1" ht="43.15">
      <c r="A86" s="72" t="s">
        <v>424</v>
      </c>
      <c r="B86" s="50" t="s">
        <v>425</v>
      </c>
      <c r="C86" s="50" t="s">
        <v>426</v>
      </c>
      <c r="D86" s="50" t="s">
        <v>427</v>
      </c>
      <c r="E86" s="4" t="s">
        <v>422</v>
      </c>
      <c r="F86" s="20">
        <v>2</v>
      </c>
      <c r="G86" s="20">
        <v>1</v>
      </c>
      <c r="H86" s="20">
        <f t="shared" si="5"/>
        <v>2</v>
      </c>
      <c r="I86" s="4"/>
      <c r="J86" s="4"/>
      <c r="K86" s="48"/>
      <c r="L86" s="56" t="s">
        <v>168</v>
      </c>
      <c r="M86" s="50" t="s">
        <v>428</v>
      </c>
      <c r="N86" s="4"/>
      <c r="O86" s="4"/>
      <c r="P86" s="4"/>
      <c r="Q86"/>
    </row>
    <row r="87" spans="1:17" s="3" customFormat="1" ht="43.15">
      <c r="A87" s="72" t="s">
        <v>429</v>
      </c>
      <c r="B87" s="50" t="s">
        <v>430</v>
      </c>
      <c r="C87" s="50" t="s">
        <v>431</v>
      </c>
      <c r="D87" s="50" t="s">
        <v>432</v>
      </c>
      <c r="E87" s="4" t="s">
        <v>433</v>
      </c>
      <c r="F87" s="20">
        <v>3</v>
      </c>
      <c r="G87" s="20">
        <v>2</v>
      </c>
      <c r="H87" s="20">
        <f t="shared" si="5"/>
        <v>6</v>
      </c>
      <c r="I87" s="4"/>
      <c r="J87" s="4"/>
      <c r="K87" s="48"/>
      <c r="L87" s="56" t="s">
        <v>78</v>
      </c>
      <c r="M87" s="50" t="s">
        <v>434</v>
      </c>
      <c r="N87" s="4"/>
      <c r="O87" s="4"/>
      <c r="P87" s="4"/>
      <c r="Q87"/>
    </row>
    <row r="88" spans="1:17" s="3" customFormat="1" ht="28.9">
      <c r="A88" s="71" t="s">
        <v>435</v>
      </c>
      <c r="B88" s="50" t="s">
        <v>436</v>
      </c>
      <c r="C88" s="50" t="s">
        <v>437</v>
      </c>
      <c r="D88" s="50" t="s">
        <v>438</v>
      </c>
      <c r="E88" s="4" t="s">
        <v>399</v>
      </c>
      <c r="F88" s="20">
        <v>4</v>
      </c>
      <c r="G88" s="20">
        <v>2</v>
      </c>
      <c r="H88" s="20">
        <f t="shared" si="5"/>
        <v>8</v>
      </c>
      <c r="I88" s="4"/>
      <c r="J88" s="4"/>
      <c r="K88" s="48"/>
      <c r="L88" s="56" t="s">
        <v>439</v>
      </c>
      <c r="M88" s="50" t="s">
        <v>440</v>
      </c>
      <c r="N88" s="4"/>
      <c r="O88" s="4"/>
      <c r="P88" s="4"/>
      <c r="Q88"/>
    </row>
    <row r="89" spans="1:17" s="3" customFormat="1" ht="43.15">
      <c r="A89" s="71" t="s">
        <v>441</v>
      </c>
      <c r="B89" s="50" t="s">
        <v>442</v>
      </c>
      <c r="C89" s="50" t="s">
        <v>443</v>
      </c>
      <c r="D89" s="50" t="s">
        <v>444</v>
      </c>
      <c r="E89" s="4" t="s">
        <v>399</v>
      </c>
      <c r="F89" s="20">
        <v>4</v>
      </c>
      <c r="G89" s="20">
        <v>2</v>
      </c>
      <c r="H89" s="20">
        <f t="shared" si="5"/>
        <v>8</v>
      </c>
      <c r="I89" s="4"/>
      <c r="J89" s="4"/>
      <c r="K89" s="48"/>
      <c r="L89" s="56" t="s">
        <v>242</v>
      </c>
      <c r="M89" s="50" t="s">
        <v>445</v>
      </c>
      <c r="N89" s="4"/>
      <c r="O89" s="4"/>
      <c r="P89" s="4"/>
      <c r="Q89"/>
    </row>
    <row r="90" spans="1:17" s="3" customFormat="1" ht="57.6">
      <c r="A90" s="72" t="s">
        <v>446</v>
      </c>
      <c r="B90" s="50" t="s">
        <v>447</v>
      </c>
      <c r="C90" s="50" t="s">
        <v>448</v>
      </c>
      <c r="D90" s="50" t="s">
        <v>449</v>
      </c>
      <c r="E90" s="4" t="s">
        <v>41</v>
      </c>
      <c r="F90" s="20">
        <v>3</v>
      </c>
      <c r="G90" s="20">
        <v>4</v>
      </c>
      <c r="H90" s="20">
        <f t="shared" si="5"/>
        <v>12</v>
      </c>
      <c r="I90" s="4" t="s">
        <v>450</v>
      </c>
      <c r="J90" s="4" t="s">
        <v>451</v>
      </c>
      <c r="K90" s="48"/>
      <c r="L90" s="56" t="s">
        <v>251</v>
      </c>
      <c r="M90" s="50" t="s">
        <v>452</v>
      </c>
      <c r="N90" s="4"/>
      <c r="O90" s="4"/>
      <c r="P90" s="4"/>
      <c r="Q90"/>
    </row>
    <row r="91" spans="1:17" s="3" customFormat="1" ht="15.6">
      <c r="A91" s="99" t="s">
        <v>453</v>
      </c>
      <c r="B91" s="99"/>
      <c r="C91" s="99"/>
      <c r="D91" s="99"/>
      <c r="E91" s="99"/>
      <c r="F91" s="99"/>
      <c r="G91" s="99"/>
      <c r="H91" s="99"/>
      <c r="I91" s="99"/>
      <c r="J91" s="99"/>
      <c r="K91" s="99"/>
      <c r="L91" s="99"/>
      <c r="M91" s="99"/>
      <c r="N91" s="99"/>
      <c r="O91" s="99"/>
      <c r="P91" s="99"/>
      <c r="Q91"/>
    </row>
    <row r="92" spans="1:17" s="3" customFormat="1" ht="57.6">
      <c r="A92" s="4" t="s">
        <v>454</v>
      </c>
      <c r="B92" s="4" t="s">
        <v>455</v>
      </c>
      <c r="C92" s="4" t="s">
        <v>456</v>
      </c>
      <c r="D92" s="4" t="s">
        <v>457</v>
      </c>
      <c r="E92" s="4" t="s">
        <v>458</v>
      </c>
      <c r="F92" s="20">
        <v>5</v>
      </c>
      <c r="G92" s="20">
        <v>3</v>
      </c>
      <c r="H92" s="20">
        <f t="shared" ref="H92:H94" si="6">F92*G92</f>
        <v>15</v>
      </c>
      <c r="I92" s="4"/>
      <c r="J92" s="4"/>
      <c r="K92" s="48" t="s">
        <v>22</v>
      </c>
      <c r="L92" s="20" t="s">
        <v>23</v>
      </c>
      <c r="M92" s="4" t="s">
        <v>459</v>
      </c>
      <c r="N92" s="4"/>
      <c r="O92" s="4"/>
      <c r="P92" s="4"/>
      <c r="Q92"/>
    </row>
    <row r="93" spans="1:17" s="3" customFormat="1" ht="28.9">
      <c r="A93" s="4" t="s">
        <v>460</v>
      </c>
      <c r="B93" s="4" t="s">
        <v>461</v>
      </c>
      <c r="C93" s="4" t="s">
        <v>462</v>
      </c>
      <c r="D93" s="4" t="s">
        <v>463</v>
      </c>
      <c r="E93" s="4" t="s">
        <v>458</v>
      </c>
      <c r="F93" s="20">
        <v>5</v>
      </c>
      <c r="G93" s="20">
        <v>2</v>
      </c>
      <c r="H93" s="20">
        <f t="shared" si="6"/>
        <v>10</v>
      </c>
      <c r="I93" s="4"/>
      <c r="J93" s="4"/>
      <c r="K93" s="48" t="s">
        <v>22</v>
      </c>
      <c r="L93" s="20" t="s">
        <v>23</v>
      </c>
      <c r="M93" s="4" t="s">
        <v>464</v>
      </c>
      <c r="N93" s="4"/>
      <c r="O93" s="4"/>
      <c r="P93" s="4"/>
      <c r="Q93"/>
    </row>
    <row r="94" spans="1:17" s="3" customFormat="1" ht="28.9">
      <c r="A94" s="4" t="s">
        <v>465</v>
      </c>
      <c r="B94" s="4" t="s">
        <v>466</v>
      </c>
      <c r="C94" s="4" t="s">
        <v>467</v>
      </c>
      <c r="D94" s="4"/>
      <c r="E94" s="4" t="s">
        <v>468</v>
      </c>
      <c r="F94" s="20">
        <v>3</v>
      </c>
      <c r="G94" s="20">
        <v>2</v>
      </c>
      <c r="H94" s="20">
        <f t="shared" si="6"/>
        <v>6</v>
      </c>
      <c r="I94" s="4"/>
      <c r="J94" s="4"/>
      <c r="K94" s="48"/>
      <c r="L94" s="20" t="s">
        <v>23</v>
      </c>
      <c r="M94" s="4" t="s">
        <v>469</v>
      </c>
      <c r="N94" s="4"/>
      <c r="O94" s="4"/>
      <c r="P94" s="4"/>
      <c r="Q94"/>
    </row>
    <row r="95" spans="1:17" s="3" customFormat="1" ht="15.6">
      <c r="A95" s="99" t="s">
        <v>470</v>
      </c>
      <c r="B95" s="99"/>
      <c r="C95" s="99"/>
      <c r="D95" s="99"/>
      <c r="E95" s="99"/>
      <c r="F95" s="99"/>
      <c r="G95" s="99"/>
      <c r="H95" s="99"/>
      <c r="I95" s="99"/>
      <c r="J95" s="99"/>
      <c r="K95" s="99"/>
      <c r="L95" s="99"/>
      <c r="M95" s="99"/>
      <c r="N95" s="99"/>
      <c r="O95" s="99"/>
      <c r="P95" s="99"/>
      <c r="Q95"/>
    </row>
    <row r="96" spans="1:17" s="3" customFormat="1" ht="43.15">
      <c r="A96" s="59" t="s">
        <v>471</v>
      </c>
      <c r="B96" s="59" t="s">
        <v>472</v>
      </c>
      <c r="C96" s="59" t="s">
        <v>473</v>
      </c>
      <c r="D96" s="59" t="s">
        <v>474</v>
      </c>
      <c r="E96" s="59" t="s">
        <v>458</v>
      </c>
      <c r="F96" s="20"/>
      <c r="G96" s="20"/>
      <c r="H96" s="20">
        <f>F96*G96</f>
        <v>0</v>
      </c>
      <c r="I96" s="20"/>
      <c r="J96" s="20"/>
      <c r="K96" s="20"/>
      <c r="L96" s="20" t="s">
        <v>45</v>
      </c>
      <c r="M96" s="20" t="s">
        <v>475</v>
      </c>
      <c r="N96" s="20"/>
      <c r="O96" s="20"/>
      <c r="P96" s="20"/>
      <c r="Q96"/>
    </row>
    <row r="97" spans="1:17" s="5" customFormat="1" ht="17.45">
      <c r="A97" s="100" t="s">
        <v>476</v>
      </c>
      <c r="B97" s="100"/>
      <c r="C97" s="100"/>
      <c r="D97" s="100"/>
      <c r="E97" s="100"/>
      <c r="F97" s="100"/>
      <c r="G97" s="100"/>
      <c r="H97" s="100"/>
      <c r="I97" s="100"/>
      <c r="J97" s="100"/>
      <c r="K97" s="100"/>
      <c r="L97" s="100"/>
      <c r="M97" s="100"/>
      <c r="N97" s="100"/>
      <c r="O97" s="100"/>
      <c r="P97" s="100"/>
      <c r="Q97"/>
    </row>
    <row r="98" spans="1:17" s="3" customFormat="1" ht="15.6">
      <c r="A98" s="99" t="s">
        <v>477</v>
      </c>
      <c r="B98" s="99"/>
      <c r="C98" s="99"/>
      <c r="D98" s="99"/>
      <c r="E98" s="99"/>
      <c r="F98" s="99"/>
      <c r="G98" s="99"/>
      <c r="H98" s="99"/>
      <c r="I98" s="99"/>
      <c r="J98" s="99"/>
      <c r="K98" s="99"/>
      <c r="L98" s="99"/>
      <c r="M98" s="99"/>
      <c r="N98" s="99"/>
      <c r="O98" s="99"/>
      <c r="P98" s="99"/>
      <c r="Q98"/>
    </row>
    <row r="99" spans="1:17" s="3" customFormat="1" ht="57.6">
      <c r="A99" s="72" t="s">
        <v>478</v>
      </c>
      <c r="B99" s="4" t="s">
        <v>479</v>
      </c>
      <c r="C99" s="4" t="s">
        <v>480</v>
      </c>
      <c r="D99" s="4" t="s">
        <v>481</v>
      </c>
      <c r="E99" s="4" t="s">
        <v>482</v>
      </c>
      <c r="F99" s="20">
        <v>5</v>
      </c>
      <c r="G99" s="20">
        <v>2</v>
      </c>
      <c r="H99" s="20">
        <f t="shared" ref="H99:H117" si="7">F99*G99</f>
        <v>10</v>
      </c>
      <c r="I99" s="4"/>
      <c r="J99" s="4"/>
      <c r="K99" s="48" t="s">
        <v>22</v>
      </c>
      <c r="L99" s="20" t="s">
        <v>50</v>
      </c>
      <c r="M99" s="4" t="s">
        <v>483</v>
      </c>
      <c r="N99" s="4"/>
      <c r="O99" s="4"/>
      <c r="P99" s="4"/>
      <c r="Q99"/>
    </row>
    <row r="100" spans="1:17" s="3" customFormat="1" ht="72">
      <c r="A100" s="72" t="s">
        <v>484</v>
      </c>
      <c r="B100" s="4" t="s">
        <v>485</v>
      </c>
      <c r="C100" s="4" t="s">
        <v>486</v>
      </c>
      <c r="D100" s="4" t="s">
        <v>487</v>
      </c>
      <c r="E100" s="4" t="s">
        <v>337</v>
      </c>
      <c r="F100" s="20">
        <v>4</v>
      </c>
      <c r="G100" s="20">
        <v>2</v>
      </c>
      <c r="H100" s="20">
        <f t="shared" si="7"/>
        <v>8</v>
      </c>
      <c r="I100" s="4"/>
      <c r="J100" s="4"/>
      <c r="K100" s="48" t="s">
        <v>22</v>
      </c>
      <c r="L100" s="20" t="s">
        <v>45</v>
      </c>
      <c r="M100" s="4" t="s">
        <v>488</v>
      </c>
      <c r="N100" s="4"/>
      <c r="O100" s="4"/>
      <c r="P100" s="4"/>
      <c r="Q100"/>
    </row>
    <row r="101" spans="1:17" s="3" customFormat="1" ht="43.15">
      <c r="A101" s="71" t="s">
        <v>489</v>
      </c>
      <c r="B101" s="4" t="s">
        <v>490</v>
      </c>
      <c r="C101" s="4" t="s">
        <v>491</v>
      </c>
      <c r="D101" s="4" t="s">
        <v>492</v>
      </c>
      <c r="E101" s="4" t="s">
        <v>337</v>
      </c>
      <c r="F101" s="20">
        <v>4</v>
      </c>
      <c r="G101" s="20">
        <v>4</v>
      </c>
      <c r="H101" s="20">
        <f>F101*G101</f>
        <v>16</v>
      </c>
      <c r="I101" s="4"/>
      <c r="J101" s="4"/>
      <c r="K101" s="48"/>
      <c r="L101" s="20" t="s">
        <v>45</v>
      </c>
      <c r="M101" s="4" t="s">
        <v>493</v>
      </c>
      <c r="N101" s="4"/>
      <c r="O101" s="4"/>
      <c r="P101" s="4"/>
      <c r="Q101"/>
    </row>
    <row r="102" spans="1:17" s="3" customFormat="1" ht="43.15">
      <c r="A102" s="71" t="s">
        <v>494</v>
      </c>
      <c r="B102" s="4" t="s">
        <v>495</v>
      </c>
      <c r="C102" s="4" t="s">
        <v>496</v>
      </c>
      <c r="D102" s="4" t="s">
        <v>497</v>
      </c>
      <c r="E102" s="4" t="s">
        <v>337</v>
      </c>
      <c r="F102" s="20">
        <v>5</v>
      </c>
      <c r="G102" s="20">
        <v>2</v>
      </c>
      <c r="H102" s="20">
        <f t="shared" si="7"/>
        <v>10</v>
      </c>
      <c r="I102" s="4"/>
      <c r="J102" s="4"/>
      <c r="K102" s="48"/>
      <c r="L102" s="20" t="s">
        <v>45</v>
      </c>
      <c r="M102" s="4" t="s">
        <v>498</v>
      </c>
      <c r="N102" s="4"/>
      <c r="O102" s="4"/>
      <c r="P102" s="4"/>
      <c r="Q102"/>
    </row>
    <row r="103" spans="1:17" s="3" customFormat="1" ht="57.6">
      <c r="A103" s="71" t="s">
        <v>499</v>
      </c>
      <c r="B103" s="4" t="s">
        <v>500</v>
      </c>
      <c r="C103" s="4" t="s">
        <v>501</v>
      </c>
      <c r="D103" s="4" t="s">
        <v>502</v>
      </c>
      <c r="E103" s="4" t="s">
        <v>503</v>
      </c>
      <c r="F103" s="20">
        <v>3</v>
      </c>
      <c r="G103" s="20">
        <v>1</v>
      </c>
      <c r="H103" s="20">
        <f t="shared" si="7"/>
        <v>3</v>
      </c>
      <c r="I103" s="4"/>
      <c r="J103" s="4"/>
      <c r="K103" s="48"/>
      <c r="L103" s="20" t="s">
        <v>50</v>
      </c>
      <c r="M103" s="4" t="s">
        <v>504</v>
      </c>
      <c r="N103" s="4"/>
      <c r="O103" s="4"/>
      <c r="P103" s="4"/>
      <c r="Q103"/>
    </row>
    <row r="104" spans="1:17" s="3" customFormat="1" ht="43.15">
      <c r="A104" s="71" t="s">
        <v>505</v>
      </c>
      <c r="B104" s="4" t="s">
        <v>506</v>
      </c>
      <c r="C104" s="4" t="s">
        <v>507</v>
      </c>
      <c r="D104" s="4" t="s">
        <v>508</v>
      </c>
      <c r="E104" s="4" t="s">
        <v>337</v>
      </c>
      <c r="F104" s="20">
        <v>5</v>
      </c>
      <c r="G104" s="20">
        <v>4</v>
      </c>
      <c r="H104" s="20">
        <f t="shared" si="7"/>
        <v>20</v>
      </c>
      <c r="I104" s="4"/>
      <c r="J104" s="4"/>
      <c r="K104" s="48" t="s">
        <v>22</v>
      </c>
      <c r="L104" s="20" t="s">
        <v>23</v>
      </c>
      <c r="M104" s="4" t="s">
        <v>509</v>
      </c>
      <c r="N104" s="4"/>
      <c r="O104" s="4"/>
      <c r="P104" s="4"/>
      <c r="Q104"/>
    </row>
    <row r="105" spans="1:17" s="3" customFormat="1" ht="28.9">
      <c r="A105" s="72" t="s">
        <v>510</v>
      </c>
      <c r="B105" s="4" t="s">
        <v>511</v>
      </c>
      <c r="C105" s="4" t="s">
        <v>512</v>
      </c>
      <c r="D105" s="4" t="s">
        <v>513</v>
      </c>
      <c r="E105" s="4" t="s">
        <v>337</v>
      </c>
      <c r="F105" s="20">
        <v>4</v>
      </c>
      <c r="G105" s="20">
        <v>2</v>
      </c>
      <c r="H105" s="20">
        <f t="shared" si="7"/>
        <v>8</v>
      </c>
      <c r="I105" s="4"/>
      <c r="J105" s="4"/>
      <c r="K105" s="48" t="s">
        <v>22</v>
      </c>
      <c r="L105" s="20" t="s">
        <v>45</v>
      </c>
      <c r="M105" s="4" t="s">
        <v>514</v>
      </c>
      <c r="N105" s="4"/>
      <c r="O105" s="4"/>
      <c r="P105" s="4"/>
      <c r="Q105"/>
    </row>
    <row r="106" spans="1:17" s="3" customFormat="1" ht="28.9">
      <c r="A106" s="71" t="s">
        <v>515</v>
      </c>
      <c r="B106" s="4" t="s">
        <v>516</v>
      </c>
      <c r="C106" s="4" t="s">
        <v>517</v>
      </c>
      <c r="D106" s="4" t="s">
        <v>518</v>
      </c>
      <c r="E106" s="4" t="s">
        <v>519</v>
      </c>
      <c r="F106" s="20">
        <v>5</v>
      </c>
      <c r="G106" s="20">
        <v>2</v>
      </c>
      <c r="H106" s="20">
        <f t="shared" si="7"/>
        <v>10</v>
      </c>
      <c r="I106" s="4"/>
      <c r="J106" s="4"/>
      <c r="K106" s="48" t="s">
        <v>22</v>
      </c>
      <c r="L106" s="20" t="s">
        <v>45</v>
      </c>
      <c r="M106" s="4" t="s">
        <v>520</v>
      </c>
      <c r="N106" s="4"/>
      <c r="O106" s="4"/>
      <c r="P106" s="4"/>
      <c r="Q106"/>
    </row>
    <row r="107" spans="1:17" s="3" customFormat="1" ht="43.15">
      <c r="A107" s="71" t="s">
        <v>521</v>
      </c>
      <c r="B107" s="4" t="s">
        <v>522</v>
      </c>
      <c r="C107" s="4" t="s">
        <v>523</v>
      </c>
      <c r="D107" s="4" t="s">
        <v>524</v>
      </c>
      <c r="E107" s="4" t="s">
        <v>519</v>
      </c>
      <c r="F107" s="20">
        <v>5</v>
      </c>
      <c r="G107" s="20">
        <v>2</v>
      </c>
      <c r="H107" s="20">
        <f t="shared" si="7"/>
        <v>10</v>
      </c>
      <c r="I107" s="4"/>
      <c r="J107" s="4"/>
      <c r="K107" s="48" t="s">
        <v>22</v>
      </c>
      <c r="L107" s="20" t="s">
        <v>267</v>
      </c>
      <c r="M107" s="4" t="s">
        <v>525</v>
      </c>
      <c r="N107" s="4"/>
      <c r="O107" s="4"/>
      <c r="P107" s="4"/>
      <c r="Q107"/>
    </row>
    <row r="108" spans="1:17" s="3" customFormat="1" ht="43.15">
      <c r="A108" s="71" t="s">
        <v>526</v>
      </c>
      <c r="B108" s="4" t="s">
        <v>527</v>
      </c>
      <c r="C108" s="4" t="s">
        <v>528</v>
      </c>
      <c r="D108" s="4" t="s">
        <v>529</v>
      </c>
      <c r="E108" s="4" t="s">
        <v>519</v>
      </c>
      <c r="F108" s="20">
        <v>5</v>
      </c>
      <c r="G108" s="20">
        <v>2</v>
      </c>
      <c r="H108" s="20">
        <f t="shared" si="7"/>
        <v>10</v>
      </c>
      <c r="I108" s="4"/>
      <c r="J108" s="4"/>
      <c r="K108" s="48" t="s">
        <v>22</v>
      </c>
      <c r="L108" s="20" t="s">
        <v>45</v>
      </c>
      <c r="M108" s="4" t="s">
        <v>530</v>
      </c>
      <c r="N108" s="4"/>
      <c r="O108" s="4"/>
      <c r="P108" s="4"/>
      <c r="Q108"/>
    </row>
    <row r="109" spans="1:17" s="3" customFormat="1" ht="28.9">
      <c r="A109" s="71" t="s">
        <v>531</v>
      </c>
      <c r="B109" s="4" t="s">
        <v>532</v>
      </c>
      <c r="C109" s="4" t="s">
        <v>533</v>
      </c>
      <c r="D109" s="4" t="s">
        <v>534</v>
      </c>
      <c r="E109" s="4" t="s">
        <v>519</v>
      </c>
      <c r="F109" s="20">
        <v>5</v>
      </c>
      <c r="G109" s="20">
        <v>2</v>
      </c>
      <c r="H109" s="20">
        <f t="shared" si="7"/>
        <v>10</v>
      </c>
      <c r="I109" s="4"/>
      <c r="J109" s="4"/>
      <c r="K109" s="48"/>
      <c r="L109" s="20" t="s">
        <v>45</v>
      </c>
      <c r="M109" s="4" t="s">
        <v>535</v>
      </c>
      <c r="N109" s="4"/>
      <c r="O109" s="4"/>
      <c r="P109" s="4"/>
      <c r="Q109"/>
    </row>
    <row r="110" spans="1:17" s="3" customFormat="1" ht="43.15">
      <c r="A110" s="71" t="s">
        <v>536</v>
      </c>
      <c r="B110" s="4" t="s">
        <v>537</v>
      </c>
      <c r="C110" s="4" t="s">
        <v>538</v>
      </c>
      <c r="D110" s="4" t="s">
        <v>502</v>
      </c>
      <c r="E110" s="4" t="s">
        <v>503</v>
      </c>
      <c r="F110" s="20">
        <v>3</v>
      </c>
      <c r="G110" s="20">
        <v>1</v>
      </c>
      <c r="H110" s="20">
        <f t="shared" si="7"/>
        <v>3</v>
      </c>
      <c r="I110" s="4"/>
      <c r="J110" s="4"/>
      <c r="K110" s="48"/>
      <c r="L110" s="20" t="s">
        <v>23</v>
      </c>
      <c r="M110" s="4" t="s">
        <v>539</v>
      </c>
      <c r="N110" s="4"/>
      <c r="O110" s="4"/>
      <c r="P110" s="4"/>
      <c r="Q110"/>
    </row>
    <row r="111" spans="1:17" s="3" customFormat="1" ht="28.9">
      <c r="A111" s="71" t="s">
        <v>540</v>
      </c>
      <c r="B111" s="4" t="s">
        <v>541</v>
      </c>
      <c r="C111" s="4" t="s">
        <v>542</v>
      </c>
      <c r="D111" s="4" t="s">
        <v>543</v>
      </c>
      <c r="E111" s="4" t="s">
        <v>519</v>
      </c>
      <c r="F111" s="20">
        <v>4</v>
      </c>
      <c r="G111" s="20">
        <v>2</v>
      </c>
      <c r="H111" s="20">
        <f t="shared" si="7"/>
        <v>8</v>
      </c>
      <c r="I111" s="4"/>
      <c r="J111" s="4"/>
      <c r="K111" s="48"/>
      <c r="L111" s="20" t="s">
        <v>45</v>
      </c>
      <c r="M111" s="4" t="s">
        <v>544</v>
      </c>
      <c r="N111" s="4"/>
      <c r="O111" s="4"/>
      <c r="P111" s="4"/>
      <c r="Q111"/>
    </row>
    <row r="112" spans="1:17" s="3" customFormat="1" ht="43.15">
      <c r="A112" s="72" t="s">
        <v>545</v>
      </c>
      <c r="B112" s="4" t="s">
        <v>546</v>
      </c>
      <c r="C112" s="4" t="s">
        <v>547</v>
      </c>
      <c r="D112" s="4" t="s">
        <v>548</v>
      </c>
      <c r="E112" s="4" t="s">
        <v>549</v>
      </c>
      <c r="F112" s="20">
        <v>5</v>
      </c>
      <c r="G112" s="20">
        <v>3</v>
      </c>
      <c r="H112" s="20">
        <f t="shared" si="7"/>
        <v>15</v>
      </c>
      <c r="I112" s="4"/>
      <c r="J112" s="4"/>
      <c r="K112" s="48"/>
      <c r="L112" s="20" t="s">
        <v>45</v>
      </c>
      <c r="M112" s="4" t="s">
        <v>550</v>
      </c>
      <c r="N112" s="4"/>
      <c r="O112" s="4"/>
      <c r="P112" s="4"/>
      <c r="Q112"/>
    </row>
    <row r="113" spans="1:17" s="3" customFormat="1" ht="57.6">
      <c r="A113" s="72" t="s">
        <v>551</v>
      </c>
      <c r="B113" s="4" t="s">
        <v>552</v>
      </c>
      <c r="C113" s="4" t="s">
        <v>553</v>
      </c>
      <c r="D113" s="4" t="s">
        <v>554</v>
      </c>
      <c r="E113" s="4" t="s">
        <v>555</v>
      </c>
      <c r="F113" s="20">
        <v>5</v>
      </c>
      <c r="G113" s="20">
        <v>4</v>
      </c>
      <c r="H113" s="20">
        <f t="shared" si="7"/>
        <v>20</v>
      </c>
      <c r="I113" s="4"/>
      <c r="J113" s="4"/>
      <c r="K113" s="48"/>
      <c r="L113" s="20" t="s">
        <v>267</v>
      </c>
      <c r="M113" s="4" t="s">
        <v>556</v>
      </c>
      <c r="N113" s="4"/>
      <c r="O113" s="4"/>
      <c r="P113" s="4"/>
      <c r="Q113"/>
    </row>
    <row r="114" spans="1:17" s="3" customFormat="1" ht="57.6">
      <c r="A114" s="72" t="s">
        <v>557</v>
      </c>
      <c r="B114" s="4" t="s">
        <v>558</v>
      </c>
      <c r="C114" s="4" t="s">
        <v>559</v>
      </c>
      <c r="D114" s="4" t="s">
        <v>560</v>
      </c>
      <c r="E114" s="4" t="s">
        <v>337</v>
      </c>
      <c r="F114" s="20">
        <v>5</v>
      </c>
      <c r="G114" s="20">
        <v>4</v>
      </c>
      <c r="H114" s="20">
        <f t="shared" si="7"/>
        <v>20</v>
      </c>
      <c r="I114" s="4"/>
      <c r="J114" s="4"/>
      <c r="K114" s="48"/>
      <c r="L114" s="20" t="s">
        <v>45</v>
      </c>
      <c r="M114" s="4" t="s">
        <v>561</v>
      </c>
      <c r="N114" s="4"/>
      <c r="O114" s="4"/>
      <c r="P114" s="4"/>
      <c r="Q114"/>
    </row>
    <row r="115" spans="1:17" s="3" customFormat="1" ht="57.6">
      <c r="A115" s="72" t="s">
        <v>562</v>
      </c>
      <c r="B115" s="4" t="s">
        <v>563</v>
      </c>
      <c r="C115" s="4" t="s">
        <v>564</v>
      </c>
      <c r="D115" s="4" t="s">
        <v>481</v>
      </c>
      <c r="E115" s="4" t="s">
        <v>565</v>
      </c>
      <c r="F115" s="20">
        <v>3</v>
      </c>
      <c r="G115" s="20">
        <v>1</v>
      </c>
      <c r="H115" s="20">
        <f t="shared" si="7"/>
        <v>3</v>
      </c>
      <c r="I115" s="4"/>
      <c r="J115" s="4"/>
      <c r="K115" s="48"/>
      <c r="L115" s="20" t="s">
        <v>50</v>
      </c>
      <c r="M115" s="4" t="s">
        <v>566</v>
      </c>
      <c r="N115" s="4"/>
      <c r="O115" s="4"/>
      <c r="P115" s="4"/>
      <c r="Q115"/>
    </row>
    <row r="116" spans="1:17" s="3" customFormat="1" ht="72">
      <c r="A116" s="72" t="s">
        <v>567</v>
      </c>
      <c r="B116" s="4" t="s">
        <v>568</v>
      </c>
      <c r="C116" s="4" t="s">
        <v>569</v>
      </c>
      <c r="D116" s="4" t="s">
        <v>570</v>
      </c>
      <c r="E116" s="4" t="s">
        <v>571</v>
      </c>
      <c r="F116" s="20">
        <v>4</v>
      </c>
      <c r="G116" s="20">
        <v>2</v>
      </c>
      <c r="H116" s="20">
        <f t="shared" si="7"/>
        <v>8</v>
      </c>
      <c r="I116" s="4"/>
      <c r="J116" s="4"/>
      <c r="K116" s="48"/>
      <c r="L116" s="20" t="s">
        <v>45</v>
      </c>
      <c r="M116" s="4" t="s">
        <v>572</v>
      </c>
      <c r="N116" s="4"/>
      <c r="O116" s="4"/>
      <c r="P116" s="4"/>
      <c r="Q116"/>
    </row>
    <row r="117" spans="1:17" s="3" customFormat="1" ht="43.15">
      <c r="A117" s="71" t="s">
        <v>573</v>
      </c>
      <c r="B117" s="4" t="s">
        <v>574</v>
      </c>
      <c r="C117" s="4" t="s">
        <v>575</v>
      </c>
      <c r="D117" s="4" t="s">
        <v>576</v>
      </c>
      <c r="E117" s="4" t="s">
        <v>577</v>
      </c>
      <c r="F117" s="20">
        <v>5</v>
      </c>
      <c r="G117" s="20">
        <v>4</v>
      </c>
      <c r="H117" s="20">
        <f t="shared" si="7"/>
        <v>20</v>
      </c>
      <c r="I117" s="4"/>
      <c r="J117" s="4"/>
      <c r="K117" s="48"/>
      <c r="L117" s="20" t="s">
        <v>23</v>
      </c>
      <c r="M117" s="4" t="s">
        <v>578</v>
      </c>
      <c r="N117" s="4"/>
      <c r="O117" s="4"/>
      <c r="P117" s="4"/>
      <c r="Q117"/>
    </row>
    <row r="118" spans="1:17" s="5" customFormat="1" ht="14.45">
      <c r="A118" s="4"/>
      <c r="B118" s="4"/>
      <c r="C118" s="4"/>
      <c r="D118" s="4"/>
      <c r="E118" s="4"/>
      <c r="F118" s="20"/>
      <c r="G118" s="20"/>
      <c r="H118" s="20"/>
      <c r="I118" s="4"/>
      <c r="J118" s="4"/>
      <c r="K118" s="48"/>
      <c r="L118" s="4"/>
      <c r="M118" s="4"/>
      <c r="N118" s="4"/>
      <c r="O118" s="4"/>
      <c r="P118" s="4"/>
      <c r="Q118"/>
    </row>
    <row r="119" spans="1:17" s="19" customFormat="1" ht="15.6">
      <c r="A119" s="99" t="s">
        <v>579</v>
      </c>
      <c r="B119" s="99"/>
      <c r="C119" s="99"/>
      <c r="D119" s="99"/>
      <c r="E119" s="99"/>
      <c r="F119" s="99"/>
      <c r="G119" s="99"/>
      <c r="H119" s="99"/>
      <c r="I119" s="99"/>
      <c r="J119" s="99"/>
      <c r="K119" s="99"/>
      <c r="L119" s="99"/>
      <c r="M119" s="99"/>
      <c r="N119" s="99"/>
      <c r="O119" s="99"/>
      <c r="P119" s="99"/>
      <c r="Q119" s="18"/>
    </row>
    <row r="120" spans="1:17" s="3" customFormat="1" ht="42" customHeight="1">
      <c r="A120" s="17" t="s">
        <v>580</v>
      </c>
      <c r="B120" s="17" t="s">
        <v>581</v>
      </c>
      <c r="C120" s="17" t="s">
        <v>582</v>
      </c>
      <c r="D120" s="17" t="s">
        <v>583</v>
      </c>
      <c r="E120" s="17" t="s">
        <v>315</v>
      </c>
      <c r="F120" s="20">
        <v>5</v>
      </c>
      <c r="G120" s="20">
        <v>1</v>
      </c>
      <c r="H120" s="20">
        <f t="shared" ref="H120:H129" si="8">F120*G120</f>
        <v>5</v>
      </c>
      <c r="I120" s="17"/>
      <c r="J120" s="17"/>
      <c r="K120" s="60" t="s">
        <v>22</v>
      </c>
      <c r="L120" s="45" t="s">
        <v>242</v>
      </c>
      <c r="M120" s="17" t="s">
        <v>584</v>
      </c>
      <c r="N120" s="17"/>
      <c r="O120" s="17"/>
      <c r="P120" s="17"/>
      <c r="Q120"/>
    </row>
    <row r="121" spans="1:17" s="19" customFormat="1" ht="43.15">
      <c r="A121" s="4" t="s">
        <v>585</v>
      </c>
      <c r="B121" s="4" t="s">
        <v>586</v>
      </c>
      <c r="C121" s="4" t="s">
        <v>587</v>
      </c>
      <c r="D121" s="4" t="s">
        <v>588</v>
      </c>
      <c r="E121" s="4" t="s">
        <v>315</v>
      </c>
      <c r="F121" s="20">
        <v>4</v>
      </c>
      <c r="G121" s="20">
        <v>1</v>
      </c>
      <c r="H121" s="20">
        <f t="shared" si="8"/>
        <v>4</v>
      </c>
      <c r="I121" s="4"/>
      <c r="J121" s="4"/>
      <c r="K121" s="48" t="s">
        <v>22</v>
      </c>
      <c r="L121" s="20" t="s">
        <v>242</v>
      </c>
      <c r="M121" s="4" t="s">
        <v>589</v>
      </c>
      <c r="N121" s="4"/>
      <c r="O121" s="4"/>
      <c r="P121" s="4"/>
      <c r="Q121" s="18"/>
    </row>
    <row r="122" spans="1:17" s="19" customFormat="1" ht="43.15">
      <c r="A122" s="17" t="s">
        <v>590</v>
      </c>
      <c r="B122" s="17" t="s">
        <v>591</v>
      </c>
      <c r="C122" s="17" t="s">
        <v>592</v>
      </c>
      <c r="D122" s="17" t="s">
        <v>593</v>
      </c>
      <c r="E122" s="17" t="s">
        <v>149</v>
      </c>
      <c r="F122" s="20">
        <v>4</v>
      </c>
      <c r="G122" s="20">
        <v>1</v>
      </c>
      <c r="H122" s="20">
        <f t="shared" si="8"/>
        <v>4</v>
      </c>
      <c r="I122" s="17"/>
      <c r="J122" s="17"/>
      <c r="K122" s="60" t="s">
        <v>22</v>
      </c>
      <c r="L122" s="45" t="s">
        <v>242</v>
      </c>
      <c r="M122" s="17" t="s">
        <v>594</v>
      </c>
      <c r="N122" s="17"/>
      <c r="O122" s="17"/>
      <c r="P122" s="17"/>
      <c r="Q122" s="18"/>
    </row>
    <row r="123" spans="1:17" s="3" customFormat="1" ht="28.9">
      <c r="A123" s="17" t="s">
        <v>595</v>
      </c>
      <c r="B123" s="17" t="s">
        <v>596</v>
      </c>
      <c r="C123" s="17" t="s">
        <v>597</v>
      </c>
      <c r="D123" s="17" t="s">
        <v>598</v>
      </c>
      <c r="E123" s="17" t="s">
        <v>315</v>
      </c>
      <c r="F123" s="20">
        <v>4</v>
      </c>
      <c r="G123" s="20">
        <v>1</v>
      </c>
      <c r="H123" s="20">
        <f t="shared" si="8"/>
        <v>4</v>
      </c>
      <c r="I123" s="17"/>
      <c r="J123" s="17"/>
      <c r="K123" s="60" t="s">
        <v>22</v>
      </c>
      <c r="L123" s="45" t="s">
        <v>242</v>
      </c>
      <c r="M123" s="17" t="s">
        <v>599</v>
      </c>
      <c r="N123" s="17"/>
      <c r="O123" s="17"/>
      <c r="P123" s="17"/>
      <c r="Q123"/>
    </row>
    <row r="124" spans="1:17" s="3" customFormat="1" ht="28.9">
      <c r="A124" s="4" t="s">
        <v>600</v>
      </c>
      <c r="B124" s="4" t="s">
        <v>601</v>
      </c>
      <c r="C124" s="4" t="s">
        <v>602</v>
      </c>
      <c r="D124" s="4" t="s">
        <v>603</v>
      </c>
      <c r="E124" s="4" t="s">
        <v>321</v>
      </c>
      <c r="F124" s="20">
        <v>4</v>
      </c>
      <c r="G124" s="20">
        <v>2</v>
      </c>
      <c r="H124" s="20">
        <f t="shared" si="8"/>
        <v>8</v>
      </c>
      <c r="I124" s="4"/>
      <c r="J124" s="4"/>
      <c r="K124" s="48" t="s">
        <v>22</v>
      </c>
      <c r="L124" s="20" t="s">
        <v>23</v>
      </c>
      <c r="M124" s="4" t="s">
        <v>604</v>
      </c>
      <c r="N124" s="4"/>
      <c r="O124" s="4"/>
      <c r="P124" s="4"/>
      <c r="Q124"/>
    </row>
    <row r="125" spans="1:17" s="3" customFormat="1" ht="28.9">
      <c r="A125" s="4" t="s">
        <v>605</v>
      </c>
      <c r="B125" s="4" t="s">
        <v>606</v>
      </c>
      <c r="C125" s="4" t="s">
        <v>607</v>
      </c>
      <c r="D125" s="4" t="s">
        <v>608</v>
      </c>
      <c r="E125" s="4" t="s">
        <v>321</v>
      </c>
      <c r="F125" s="20">
        <v>3</v>
      </c>
      <c r="G125" s="20">
        <v>2</v>
      </c>
      <c r="H125" s="20">
        <f t="shared" si="8"/>
        <v>6</v>
      </c>
      <c r="I125" s="4"/>
      <c r="J125" s="4"/>
      <c r="K125" s="48"/>
      <c r="L125" s="20" t="s">
        <v>221</v>
      </c>
      <c r="M125" s="4" t="s">
        <v>609</v>
      </c>
      <c r="N125" s="4"/>
      <c r="O125" s="4"/>
      <c r="P125" s="4"/>
      <c r="Q125"/>
    </row>
    <row r="126" spans="1:17" s="3" customFormat="1" ht="43.15">
      <c r="A126" s="4" t="s">
        <v>610</v>
      </c>
      <c r="B126" s="4" t="s">
        <v>611</v>
      </c>
      <c r="C126" s="4" t="s">
        <v>612</v>
      </c>
      <c r="D126" s="4" t="s">
        <v>613</v>
      </c>
      <c r="E126" s="4" t="s">
        <v>614</v>
      </c>
      <c r="F126" s="20">
        <v>4</v>
      </c>
      <c r="G126" s="20">
        <v>3</v>
      </c>
      <c r="H126" s="20">
        <f t="shared" si="8"/>
        <v>12</v>
      </c>
      <c r="I126" s="4"/>
      <c r="J126" s="4"/>
      <c r="K126" s="48"/>
      <c r="L126" s="20" t="s">
        <v>23</v>
      </c>
      <c r="M126" s="4" t="s">
        <v>615</v>
      </c>
      <c r="N126" s="4"/>
      <c r="O126" s="4"/>
      <c r="P126" s="4"/>
      <c r="Q126"/>
    </row>
    <row r="127" spans="1:17" s="3" customFormat="1" ht="27.75" customHeight="1">
      <c r="A127" s="4" t="s">
        <v>616</v>
      </c>
      <c r="B127" s="4" t="s">
        <v>617</v>
      </c>
      <c r="C127" s="4" t="s">
        <v>618</v>
      </c>
      <c r="D127" s="4" t="s">
        <v>619</v>
      </c>
      <c r="E127" s="4" t="s">
        <v>315</v>
      </c>
      <c r="F127" s="20">
        <v>3</v>
      </c>
      <c r="G127" s="20">
        <v>1</v>
      </c>
      <c r="H127" s="20">
        <f t="shared" si="8"/>
        <v>3</v>
      </c>
      <c r="I127" s="4"/>
      <c r="J127" s="4"/>
      <c r="K127" s="48"/>
      <c r="L127" s="20" t="s">
        <v>23</v>
      </c>
      <c r="M127" s="4" t="s">
        <v>620</v>
      </c>
      <c r="N127" s="4"/>
      <c r="O127" s="4"/>
      <c r="P127" s="4"/>
      <c r="Q127"/>
    </row>
    <row r="128" spans="1:17" s="3" customFormat="1" ht="43.15">
      <c r="A128" s="4" t="s">
        <v>621</v>
      </c>
      <c r="B128" s="4" t="s">
        <v>622</v>
      </c>
      <c r="C128" s="4" t="s">
        <v>623</v>
      </c>
      <c r="D128" s="4" t="s">
        <v>624</v>
      </c>
      <c r="E128" s="4" t="s">
        <v>315</v>
      </c>
      <c r="F128" s="20">
        <v>4</v>
      </c>
      <c r="G128" s="20">
        <v>1</v>
      </c>
      <c r="H128" s="20">
        <f t="shared" si="8"/>
        <v>4</v>
      </c>
      <c r="I128" s="4"/>
      <c r="J128" s="4"/>
      <c r="K128" s="48"/>
      <c r="L128" s="20" t="s">
        <v>50</v>
      </c>
      <c r="M128" s="4" t="s">
        <v>625</v>
      </c>
      <c r="N128" s="4"/>
      <c r="O128" s="4"/>
      <c r="P128" s="4"/>
      <c r="Q128"/>
    </row>
    <row r="129" spans="1:17" s="19" customFormat="1" ht="43.15">
      <c r="A129" s="4" t="s">
        <v>626</v>
      </c>
      <c r="B129" s="4" t="s">
        <v>627</v>
      </c>
      <c r="C129" s="4" t="s">
        <v>628</v>
      </c>
      <c r="D129" s="4" t="s">
        <v>629</v>
      </c>
      <c r="E129" s="4" t="s">
        <v>321</v>
      </c>
      <c r="F129" s="20">
        <v>4</v>
      </c>
      <c r="G129" s="20">
        <v>2</v>
      </c>
      <c r="H129" s="20">
        <f t="shared" si="8"/>
        <v>8</v>
      </c>
      <c r="I129" s="4"/>
      <c r="J129" s="4"/>
      <c r="K129" s="48"/>
      <c r="L129" s="20" t="s">
        <v>242</v>
      </c>
      <c r="M129" s="4" t="s">
        <v>630</v>
      </c>
      <c r="N129" s="4"/>
      <c r="O129" s="4"/>
      <c r="P129" s="4"/>
      <c r="Q129" s="18"/>
    </row>
    <row r="130" spans="1:17" s="3" customFormat="1" ht="15.6">
      <c r="A130" s="99" t="s">
        <v>631</v>
      </c>
      <c r="B130" s="99"/>
      <c r="C130" s="99"/>
      <c r="D130" s="99"/>
      <c r="E130" s="99"/>
      <c r="F130" s="99"/>
      <c r="G130" s="99"/>
      <c r="H130" s="99"/>
      <c r="I130" s="99"/>
      <c r="J130" s="99"/>
      <c r="K130" s="99"/>
      <c r="L130" s="99"/>
      <c r="M130" s="99"/>
      <c r="N130" s="99"/>
      <c r="O130" s="99"/>
      <c r="P130" s="99"/>
      <c r="Q130"/>
    </row>
    <row r="131" spans="1:17" s="3" customFormat="1" ht="43.15">
      <c r="A131" s="71" t="s">
        <v>632</v>
      </c>
      <c r="B131" s="4" t="s">
        <v>633</v>
      </c>
      <c r="C131" s="4" t="s">
        <v>634</v>
      </c>
      <c r="D131" s="4" t="s">
        <v>635</v>
      </c>
      <c r="E131" s="4" t="s">
        <v>636</v>
      </c>
      <c r="F131" s="20">
        <v>4</v>
      </c>
      <c r="G131" s="20">
        <v>2</v>
      </c>
      <c r="H131" s="20">
        <f t="shared" ref="H131:H158" si="9">F131*G131</f>
        <v>8</v>
      </c>
      <c r="I131" s="4" t="s">
        <v>97</v>
      </c>
      <c r="J131" s="4" t="s">
        <v>97</v>
      </c>
      <c r="K131" s="4"/>
      <c r="L131" s="20" t="s">
        <v>45</v>
      </c>
      <c r="M131" s="4" t="s">
        <v>637</v>
      </c>
      <c r="N131" s="4"/>
      <c r="O131" s="4"/>
      <c r="P131" s="4"/>
      <c r="Q131"/>
    </row>
    <row r="132" spans="1:17" s="3" customFormat="1" ht="43.15">
      <c r="A132" s="71" t="s">
        <v>638</v>
      </c>
      <c r="B132" s="4" t="s">
        <v>639</v>
      </c>
      <c r="C132" s="61" t="s">
        <v>640</v>
      </c>
      <c r="D132" s="62" t="s">
        <v>641</v>
      </c>
      <c r="E132" s="4" t="s">
        <v>382</v>
      </c>
      <c r="F132" s="20">
        <v>4</v>
      </c>
      <c r="G132" s="20">
        <v>2</v>
      </c>
      <c r="H132" s="20">
        <f t="shared" si="9"/>
        <v>8</v>
      </c>
      <c r="I132" s="8" t="s">
        <v>642</v>
      </c>
      <c r="J132" s="8" t="s">
        <v>643</v>
      </c>
      <c r="K132" s="4"/>
      <c r="L132" s="20" t="s">
        <v>45</v>
      </c>
      <c r="M132" s="4" t="s">
        <v>644</v>
      </c>
      <c r="N132" s="4"/>
      <c r="O132" s="4"/>
      <c r="P132" s="4"/>
      <c r="Q132"/>
    </row>
    <row r="133" spans="1:17" s="3" customFormat="1" ht="57.6">
      <c r="A133" s="71" t="s">
        <v>645</v>
      </c>
      <c r="B133" s="4" t="s">
        <v>646</v>
      </c>
      <c r="C133" s="61" t="s">
        <v>647</v>
      </c>
      <c r="D133" s="62" t="s">
        <v>641</v>
      </c>
      <c r="E133" s="4" t="s">
        <v>382</v>
      </c>
      <c r="F133" s="20">
        <v>4</v>
      </c>
      <c r="G133" s="20">
        <v>1</v>
      </c>
      <c r="H133" s="20">
        <f t="shared" si="9"/>
        <v>4</v>
      </c>
      <c r="I133" s="8" t="s">
        <v>642</v>
      </c>
      <c r="J133" s="8" t="s">
        <v>643</v>
      </c>
      <c r="K133" s="4"/>
      <c r="L133" s="20" t="s">
        <v>78</v>
      </c>
      <c r="M133" s="4" t="s">
        <v>648</v>
      </c>
      <c r="N133" s="4"/>
      <c r="O133" s="4"/>
      <c r="P133" s="4"/>
      <c r="Q133"/>
    </row>
    <row r="134" spans="1:17" s="3" customFormat="1" ht="72">
      <c r="A134" s="71" t="s">
        <v>649</v>
      </c>
      <c r="B134" s="4" t="s">
        <v>650</v>
      </c>
      <c r="C134" s="8" t="s">
        <v>651</v>
      </c>
      <c r="D134" s="4" t="s">
        <v>652</v>
      </c>
      <c r="E134" s="4" t="s">
        <v>382</v>
      </c>
      <c r="F134" s="20">
        <v>4</v>
      </c>
      <c r="G134" s="20">
        <v>2</v>
      </c>
      <c r="H134" s="20">
        <f t="shared" si="9"/>
        <v>8</v>
      </c>
      <c r="I134" s="8" t="s">
        <v>642</v>
      </c>
      <c r="J134" s="8" t="s">
        <v>643</v>
      </c>
      <c r="K134" s="4"/>
      <c r="L134" s="20" t="s">
        <v>45</v>
      </c>
      <c r="M134" s="4" t="s">
        <v>653</v>
      </c>
      <c r="N134" s="4"/>
      <c r="O134" s="4" t="s">
        <v>654</v>
      </c>
      <c r="P134" s="4"/>
      <c r="Q134"/>
    </row>
    <row r="135" spans="1:17" s="3" customFormat="1" ht="57.6">
      <c r="A135" s="71" t="s">
        <v>655</v>
      </c>
      <c r="B135" s="4" t="s">
        <v>656</v>
      </c>
      <c r="C135" s="8" t="s">
        <v>657</v>
      </c>
      <c r="D135" s="4" t="s">
        <v>658</v>
      </c>
      <c r="E135" s="4" t="s">
        <v>382</v>
      </c>
      <c r="F135" s="20">
        <v>4</v>
      </c>
      <c r="G135" s="20">
        <v>1</v>
      </c>
      <c r="H135" s="20">
        <f t="shared" si="9"/>
        <v>4</v>
      </c>
      <c r="I135" s="8" t="s">
        <v>642</v>
      </c>
      <c r="J135" s="8" t="s">
        <v>643</v>
      </c>
      <c r="K135" s="4"/>
      <c r="L135" s="20" t="s">
        <v>78</v>
      </c>
      <c r="M135" s="4" t="s">
        <v>659</v>
      </c>
      <c r="N135" s="4"/>
      <c r="O135" s="4" t="s">
        <v>660</v>
      </c>
      <c r="P135" s="4"/>
      <c r="Q135"/>
    </row>
    <row r="136" spans="1:17" s="3" customFormat="1" ht="28.9">
      <c r="A136" s="71" t="s">
        <v>661</v>
      </c>
      <c r="B136" s="4" t="s">
        <v>662</v>
      </c>
      <c r="C136" s="8" t="s">
        <v>663</v>
      </c>
      <c r="D136" s="4" t="s">
        <v>664</v>
      </c>
      <c r="E136" s="4" t="s">
        <v>665</v>
      </c>
      <c r="F136" s="20">
        <v>3</v>
      </c>
      <c r="G136" s="20">
        <v>1</v>
      </c>
      <c r="H136" s="20">
        <f t="shared" si="9"/>
        <v>3</v>
      </c>
      <c r="I136" s="8" t="s">
        <v>642</v>
      </c>
      <c r="J136" s="8" t="s">
        <v>643</v>
      </c>
      <c r="K136" s="4"/>
      <c r="L136" s="20" t="s">
        <v>45</v>
      </c>
      <c r="M136" s="4" t="s">
        <v>666</v>
      </c>
      <c r="N136" s="4"/>
      <c r="O136" s="4"/>
      <c r="P136" s="4"/>
      <c r="Q136"/>
    </row>
    <row r="137" spans="1:17" s="3" customFormat="1" ht="43.15">
      <c r="A137" s="71" t="s">
        <v>667</v>
      </c>
      <c r="B137" s="4" t="s">
        <v>668</v>
      </c>
      <c r="C137" s="8" t="s">
        <v>669</v>
      </c>
      <c r="D137" s="4" t="s">
        <v>670</v>
      </c>
      <c r="E137" s="4" t="s">
        <v>665</v>
      </c>
      <c r="F137" s="20">
        <v>3</v>
      </c>
      <c r="G137" s="20">
        <v>1</v>
      </c>
      <c r="H137" s="20">
        <f t="shared" si="9"/>
        <v>3</v>
      </c>
      <c r="I137" s="8" t="s">
        <v>642</v>
      </c>
      <c r="J137" s="8" t="s">
        <v>643</v>
      </c>
      <c r="K137" s="4"/>
      <c r="L137" s="20" t="s">
        <v>78</v>
      </c>
      <c r="M137" s="4" t="s">
        <v>671</v>
      </c>
      <c r="N137" s="4"/>
      <c r="O137" s="4"/>
      <c r="P137" s="4"/>
      <c r="Q137"/>
    </row>
    <row r="138" spans="1:17" s="3" customFormat="1" ht="43.15">
      <c r="A138" s="71" t="s">
        <v>672</v>
      </c>
      <c r="B138" s="4" t="s">
        <v>673</v>
      </c>
      <c r="C138" s="8" t="s">
        <v>674</v>
      </c>
      <c r="D138" s="4" t="s">
        <v>675</v>
      </c>
      <c r="E138" s="4" t="s">
        <v>665</v>
      </c>
      <c r="F138" s="20">
        <v>5</v>
      </c>
      <c r="G138" s="20">
        <v>2</v>
      </c>
      <c r="H138" s="20">
        <f t="shared" si="9"/>
        <v>10</v>
      </c>
      <c r="I138" s="8" t="s">
        <v>642</v>
      </c>
      <c r="J138" s="8" t="s">
        <v>643</v>
      </c>
      <c r="K138" s="4"/>
      <c r="L138" s="20" t="s">
        <v>45</v>
      </c>
      <c r="M138" s="4" t="s">
        <v>676</v>
      </c>
      <c r="N138" s="4"/>
      <c r="O138" s="4"/>
      <c r="P138" s="4"/>
      <c r="Q138"/>
    </row>
    <row r="139" spans="1:17" s="3" customFormat="1" ht="43.15">
      <c r="A139" s="71" t="s">
        <v>677</v>
      </c>
      <c r="B139" s="4" t="s">
        <v>678</v>
      </c>
      <c r="C139" s="8" t="s">
        <v>679</v>
      </c>
      <c r="D139" s="26" t="s">
        <v>680</v>
      </c>
      <c r="E139" s="4" t="s">
        <v>665</v>
      </c>
      <c r="F139" s="20">
        <v>5</v>
      </c>
      <c r="G139" s="20">
        <v>1</v>
      </c>
      <c r="H139" s="20">
        <f t="shared" si="9"/>
        <v>5</v>
      </c>
      <c r="I139" s="8" t="s">
        <v>642</v>
      </c>
      <c r="J139" s="8" t="s">
        <v>643</v>
      </c>
      <c r="K139" s="4"/>
      <c r="L139" s="20" t="s">
        <v>78</v>
      </c>
      <c r="M139" s="4" t="s">
        <v>681</v>
      </c>
      <c r="N139" s="4"/>
      <c r="O139" s="4"/>
      <c r="P139" s="4"/>
      <c r="Q139"/>
    </row>
    <row r="140" spans="1:17" s="3" customFormat="1" ht="43.15">
      <c r="A140" s="71" t="s">
        <v>682</v>
      </c>
      <c r="B140" s="4" t="s">
        <v>683</v>
      </c>
      <c r="C140" s="8" t="s">
        <v>684</v>
      </c>
      <c r="D140" s="4" t="s">
        <v>685</v>
      </c>
      <c r="E140" s="4" t="s">
        <v>382</v>
      </c>
      <c r="F140" s="20">
        <v>5</v>
      </c>
      <c r="G140" s="20">
        <v>2</v>
      </c>
      <c r="H140" s="20">
        <f t="shared" si="9"/>
        <v>10</v>
      </c>
      <c r="I140" s="8" t="s">
        <v>686</v>
      </c>
      <c r="J140" s="8" t="s">
        <v>687</v>
      </c>
      <c r="K140" s="4"/>
      <c r="L140" s="20" t="s">
        <v>78</v>
      </c>
      <c r="M140" s="4" t="s">
        <v>688</v>
      </c>
      <c r="N140" s="4"/>
      <c r="O140" s="4"/>
      <c r="P140" s="4"/>
      <c r="Q140"/>
    </row>
    <row r="141" spans="1:17" s="3" customFormat="1" ht="14.45">
      <c r="A141" s="71" t="s">
        <v>689</v>
      </c>
      <c r="B141" s="4" t="s">
        <v>690</v>
      </c>
      <c r="C141" s="8" t="s">
        <v>691</v>
      </c>
      <c r="D141" s="4" t="s">
        <v>685</v>
      </c>
      <c r="E141" s="4" t="s">
        <v>382</v>
      </c>
      <c r="F141" s="20">
        <v>5</v>
      </c>
      <c r="G141" s="20">
        <v>2</v>
      </c>
      <c r="H141" s="20">
        <f t="shared" si="9"/>
        <v>10</v>
      </c>
      <c r="I141" s="8" t="s">
        <v>692</v>
      </c>
      <c r="J141" s="8" t="s">
        <v>693</v>
      </c>
      <c r="K141" s="4"/>
      <c r="L141" s="20" t="s">
        <v>45</v>
      </c>
      <c r="M141" s="4" t="s">
        <v>694</v>
      </c>
      <c r="N141" s="4"/>
      <c r="O141" s="4"/>
      <c r="P141" s="4"/>
      <c r="Q141"/>
    </row>
    <row r="142" spans="1:17" s="3" customFormat="1" ht="14.45">
      <c r="A142" s="71" t="s">
        <v>695</v>
      </c>
      <c r="B142" s="4" t="s">
        <v>696</v>
      </c>
      <c r="C142" s="8" t="s">
        <v>697</v>
      </c>
      <c r="D142" s="4" t="s">
        <v>685</v>
      </c>
      <c r="E142" s="4" t="s">
        <v>382</v>
      </c>
      <c r="F142" s="20">
        <v>5</v>
      </c>
      <c r="G142" s="20">
        <v>2</v>
      </c>
      <c r="H142" s="20">
        <f t="shared" si="9"/>
        <v>10</v>
      </c>
      <c r="I142" s="8" t="s">
        <v>698</v>
      </c>
      <c r="J142" s="8" t="s">
        <v>699</v>
      </c>
      <c r="K142" s="4"/>
      <c r="L142" s="20" t="s">
        <v>45</v>
      </c>
      <c r="M142" s="4" t="s">
        <v>700</v>
      </c>
      <c r="N142" s="4"/>
      <c r="O142" s="4"/>
      <c r="P142" s="4"/>
      <c r="Q142"/>
    </row>
    <row r="143" spans="1:17" s="3" customFormat="1" ht="43.15">
      <c r="A143" s="35" t="s">
        <v>701</v>
      </c>
      <c r="B143" s="4" t="s">
        <v>702</v>
      </c>
      <c r="C143" s="4" t="s">
        <v>703</v>
      </c>
      <c r="D143" s="4" t="s">
        <v>704</v>
      </c>
      <c r="E143" s="4" t="s">
        <v>665</v>
      </c>
      <c r="F143" s="20">
        <v>5</v>
      </c>
      <c r="G143" s="20">
        <v>2</v>
      </c>
      <c r="H143" s="20">
        <f t="shared" si="9"/>
        <v>10</v>
      </c>
      <c r="I143" s="4" t="s">
        <v>97</v>
      </c>
      <c r="J143" s="4" t="s">
        <v>97</v>
      </c>
      <c r="K143" s="4"/>
      <c r="L143" s="20" t="s">
        <v>78</v>
      </c>
      <c r="M143" s="4" t="s">
        <v>705</v>
      </c>
      <c r="N143" s="4"/>
      <c r="O143" s="4"/>
      <c r="P143" s="4"/>
      <c r="Q143"/>
    </row>
    <row r="144" spans="1:17" s="3" customFormat="1" ht="57.6">
      <c r="A144" s="35" t="s">
        <v>706</v>
      </c>
      <c r="B144" s="4" t="s">
        <v>707</v>
      </c>
      <c r="C144" s="8" t="s">
        <v>708</v>
      </c>
      <c r="D144" s="4" t="s">
        <v>709</v>
      </c>
      <c r="E144" s="4" t="s">
        <v>665</v>
      </c>
      <c r="F144" s="20">
        <v>5</v>
      </c>
      <c r="G144" s="20">
        <v>2</v>
      </c>
      <c r="H144" s="20">
        <f t="shared" si="9"/>
        <v>10</v>
      </c>
      <c r="I144" s="8" t="s">
        <v>710</v>
      </c>
      <c r="J144" s="8" t="s">
        <v>711</v>
      </c>
      <c r="K144" s="4"/>
      <c r="L144" s="20" t="s">
        <v>78</v>
      </c>
      <c r="M144" s="4" t="s">
        <v>712</v>
      </c>
      <c r="N144" s="4"/>
      <c r="O144" s="4"/>
      <c r="P144" s="4"/>
      <c r="Q144"/>
    </row>
    <row r="145" spans="1:17" s="3" customFormat="1" ht="57.6">
      <c r="A145" s="35" t="s">
        <v>713</v>
      </c>
      <c r="B145" s="4" t="s">
        <v>714</v>
      </c>
      <c r="C145" s="8" t="s">
        <v>715</v>
      </c>
      <c r="D145" s="4" t="s">
        <v>716</v>
      </c>
      <c r="E145" s="4" t="s">
        <v>665</v>
      </c>
      <c r="F145" s="20">
        <v>5</v>
      </c>
      <c r="G145" s="20">
        <v>2</v>
      </c>
      <c r="H145" s="20">
        <f t="shared" si="9"/>
        <v>10</v>
      </c>
      <c r="I145" s="8" t="s">
        <v>710</v>
      </c>
      <c r="J145" s="8" t="s">
        <v>711</v>
      </c>
      <c r="K145" s="4"/>
      <c r="L145" s="20" t="s">
        <v>78</v>
      </c>
      <c r="M145" s="4" t="s">
        <v>717</v>
      </c>
      <c r="N145" s="4"/>
      <c r="O145" s="4"/>
      <c r="P145" s="4"/>
      <c r="Q145"/>
    </row>
    <row r="146" spans="1:17" s="3" customFormat="1" ht="43.15">
      <c r="A146" s="35" t="s">
        <v>718</v>
      </c>
      <c r="B146" s="4" t="s">
        <v>719</v>
      </c>
      <c r="C146" s="4" t="s">
        <v>720</v>
      </c>
      <c r="D146" s="27" t="s">
        <v>721</v>
      </c>
      <c r="E146" s="63" t="s">
        <v>207</v>
      </c>
      <c r="F146" s="20">
        <v>3</v>
      </c>
      <c r="G146" s="20">
        <v>2</v>
      </c>
      <c r="H146" s="20">
        <f t="shared" si="9"/>
        <v>6</v>
      </c>
      <c r="I146" s="4" t="s">
        <v>722</v>
      </c>
      <c r="J146" s="4" t="s">
        <v>723</v>
      </c>
      <c r="K146" s="4"/>
      <c r="L146" s="20" t="s">
        <v>267</v>
      </c>
      <c r="M146" s="4" t="s">
        <v>724</v>
      </c>
      <c r="N146" s="4"/>
      <c r="O146" s="4"/>
      <c r="P146" s="4"/>
      <c r="Q146"/>
    </row>
    <row r="147" spans="1:17" s="3" customFormat="1" ht="43.15">
      <c r="A147" s="35" t="s">
        <v>725</v>
      </c>
      <c r="B147" s="4" t="s">
        <v>726</v>
      </c>
      <c r="C147" s="8" t="s">
        <v>727</v>
      </c>
      <c r="D147" s="27" t="s">
        <v>728</v>
      </c>
      <c r="E147" s="63" t="s">
        <v>207</v>
      </c>
      <c r="F147" s="20">
        <v>5</v>
      </c>
      <c r="G147" s="20">
        <v>2</v>
      </c>
      <c r="H147" s="20">
        <f t="shared" si="9"/>
        <v>10</v>
      </c>
      <c r="I147" s="8" t="s">
        <v>729</v>
      </c>
      <c r="J147" s="8" t="s">
        <v>729</v>
      </c>
      <c r="K147" s="4"/>
      <c r="L147" s="20" t="s">
        <v>78</v>
      </c>
      <c r="M147" s="4" t="s">
        <v>730</v>
      </c>
      <c r="N147" s="4"/>
      <c r="O147" s="4"/>
      <c r="P147" s="4"/>
      <c r="Q147"/>
    </row>
    <row r="148" spans="1:17" s="3" customFormat="1" ht="28.9">
      <c r="A148" s="91" t="s">
        <v>731</v>
      </c>
      <c r="B148" s="4" t="s">
        <v>732</v>
      </c>
      <c r="C148" s="4" t="s">
        <v>733</v>
      </c>
      <c r="D148" s="27" t="s">
        <v>734</v>
      </c>
      <c r="E148" s="62" t="s">
        <v>735</v>
      </c>
      <c r="F148" s="20">
        <v>4</v>
      </c>
      <c r="G148" s="20">
        <v>2</v>
      </c>
      <c r="H148" s="20">
        <f t="shared" si="9"/>
        <v>8</v>
      </c>
      <c r="I148" s="4" t="s">
        <v>97</v>
      </c>
      <c r="J148" s="4" t="s">
        <v>97</v>
      </c>
      <c r="K148" s="4"/>
      <c r="L148" s="20" t="s">
        <v>23</v>
      </c>
      <c r="M148" s="4" t="s">
        <v>736</v>
      </c>
      <c r="N148" s="4"/>
      <c r="O148" s="4"/>
      <c r="P148" s="4"/>
      <c r="Q148"/>
    </row>
    <row r="149" spans="1:17" s="3" customFormat="1" ht="43.15">
      <c r="A149" s="91" t="s">
        <v>737</v>
      </c>
      <c r="B149" s="4" t="s">
        <v>738</v>
      </c>
      <c r="C149" s="8" t="s">
        <v>739</v>
      </c>
      <c r="D149" s="27" t="s">
        <v>740</v>
      </c>
      <c r="E149" s="63" t="s">
        <v>207</v>
      </c>
      <c r="F149" s="20">
        <v>5</v>
      </c>
      <c r="G149" s="20">
        <v>2</v>
      </c>
      <c r="H149" s="20">
        <f t="shared" si="9"/>
        <v>10</v>
      </c>
      <c r="I149" s="8" t="s">
        <v>741</v>
      </c>
      <c r="J149" s="8" t="s">
        <v>742</v>
      </c>
      <c r="K149" s="4"/>
      <c r="L149" s="20" t="s">
        <v>78</v>
      </c>
      <c r="M149" s="4" t="s">
        <v>743</v>
      </c>
      <c r="N149" s="4"/>
      <c r="O149" s="4"/>
      <c r="P149" s="4"/>
      <c r="Q149"/>
    </row>
    <row r="150" spans="1:17" s="3" customFormat="1" ht="43.15">
      <c r="A150" s="91" t="s">
        <v>744</v>
      </c>
      <c r="B150" s="4" t="s">
        <v>745</v>
      </c>
      <c r="C150" s="8" t="s">
        <v>746</v>
      </c>
      <c r="D150" s="27" t="s">
        <v>747</v>
      </c>
      <c r="E150" s="63" t="s">
        <v>207</v>
      </c>
      <c r="F150" s="20">
        <v>5</v>
      </c>
      <c r="G150" s="20">
        <v>2</v>
      </c>
      <c r="H150" s="20">
        <f t="shared" si="9"/>
        <v>10</v>
      </c>
      <c r="I150" s="8" t="s">
        <v>741</v>
      </c>
      <c r="J150" s="8" t="s">
        <v>742</v>
      </c>
      <c r="K150" s="4"/>
      <c r="L150" s="20" t="s">
        <v>78</v>
      </c>
      <c r="M150" s="4" t="s">
        <v>748</v>
      </c>
      <c r="N150" s="4"/>
      <c r="O150" s="4"/>
      <c r="P150" s="4"/>
      <c r="Q150"/>
    </row>
    <row r="151" spans="1:17" s="3" customFormat="1" ht="43.15">
      <c r="A151" s="91" t="s">
        <v>749</v>
      </c>
      <c r="B151" s="4" t="s">
        <v>750</v>
      </c>
      <c r="C151" s="8" t="s">
        <v>751</v>
      </c>
      <c r="D151" s="4" t="s">
        <v>752</v>
      </c>
      <c r="E151" s="63" t="s">
        <v>753</v>
      </c>
      <c r="F151" s="20">
        <v>4</v>
      </c>
      <c r="G151" s="20">
        <v>2</v>
      </c>
      <c r="H151" s="20">
        <f t="shared" si="9"/>
        <v>8</v>
      </c>
      <c r="I151" s="8" t="s">
        <v>754</v>
      </c>
      <c r="J151" s="8" t="s">
        <v>754</v>
      </c>
      <c r="K151" s="4"/>
      <c r="L151" s="20" t="s">
        <v>57</v>
      </c>
      <c r="M151" s="4" t="s">
        <v>755</v>
      </c>
      <c r="N151" s="4"/>
      <c r="O151" s="4"/>
      <c r="P151" s="4"/>
      <c r="Q151"/>
    </row>
    <row r="152" spans="1:17" s="3" customFormat="1" ht="28.9">
      <c r="A152" s="91" t="s">
        <v>756</v>
      </c>
      <c r="B152" s="4" t="s">
        <v>100</v>
      </c>
      <c r="C152" s="4" t="s">
        <v>757</v>
      </c>
      <c r="D152" s="4" t="s">
        <v>758</v>
      </c>
      <c r="E152" s="63" t="s">
        <v>92</v>
      </c>
      <c r="F152" s="20">
        <v>5</v>
      </c>
      <c r="G152" s="20">
        <v>2</v>
      </c>
      <c r="H152" s="20">
        <f t="shared" si="9"/>
        <v>10</v>
      </c>
      <c r="I152" s="4" t="s">
        <v>759</v>
      </c>
      <c r="J152" s="4" t="s">
        <v>760</v>
      </c>
      <c r="K152" s="4"/>
      <c r="L152" s="20" t="s">
        <v>50</v>
      </c>
      <c r="M152" s="4" t="s">
        <v>761</v>
      </c>
      <c r="N152" s="4"/>
      <c r="O152" s="4"/>
      <c r="P152" s="4"/>
      <c r="Q152"/>
    </row>
    <row r="153" spans="1:17" s="3" customFormat="1" ht="43.15">
      <c r="A153" s="91" t="s">
        <v>762</v>
      </c>
      <c r="B153" s="4" t="s">
        <v>763</v>
      </c>
      <c r="C153" s="8" t="s">
        <v>764</v>
      </c>
      <c r="D153" s="4" t="s">
        <v>765</v>
      </c>
      <c r="E153" s="63" t="s">
        <v>92</v>
      </c>
      <c r="F153" s="20">
        <v>5</v>
      </c>
      <c r="G153" s="20">
        <v>2</v>
      </c>
      <c r="H153" s="20">
        <f t="shared" si="9"/>
        <v>10</v>
      </c>
      <c r="I153" s="8" t="s">
        <v>766</v>
      </c>
      <c r="J153" s="8" t="s">
        <v>767</v>
      </c>
      <c r="K153" s="4"/>
      <c r="L153" s="20" t="s">
        <v>105</v>
      </c>
      <c r="M153" s="4" t="s">
        <v>768</v>
      </c>
      <c r="N153" s="4"/>
      <c r="O153" s="4"/>
      <c r="P153" s="4"/>
      <c r="Q153"/>
    </row>
    <row r="154" spans="1:17" s="5" customFormat="1" ht="28.9">
      <c r="A154" s="91" t="s">
        <v>769</v>
      </c>
      <c r="B154" s="4" t="s">
        <v>115</v>
      </c>
      <c r="C154" s="8" t="s">
        <v>770</v>
      </c>
      <c r="D154" s="4" t="s">
        <v>771</v>
      </c>
      <c r="E154" s="63" t="s">
        <v>92</v>
      </c>
      <c r="F154" s="20">
        <v>3</v>
      </c>
      <c r="G154" s="20">
        <v>2</v>
      </c>
      <c r="H154" s="20">
        <f t="shared" si="9"/>
        <v>6</v>
      </c>
      <c r="I154" s="8" t="s">
        <v>772</v>
      </c>
      <c r="J154" s="8" t="s">
        <v>773</v>
      </c>
      <c r="K154" s="4"/>
      <c r="L154" s="20" t="s">
        <v>50</v>
      </c>
      <c r="M154" s="4" t="s">
        <v>774</v>
      </c>
      <c r="N154" s="4"/>
      <c r="O154" s="4"/>
      <c r="P154" s="4"/>
      <c r="Q154"/>
    </row>
    <row r="155" spans="1:17" s="5" customFormat="1" ht="28.9">
      <c r="A155" s="91" t="s">
        <v>775</v>
      </c>
      <c r="B155" s="4" t="s">
        <v>122</v>
      </c>
      <c r="C155" s="4" t="s">
        <v>776</v>
      </c>
      <c r="D155" s="4" t="s">
        <v>777</v>
      </c>
      <c r="E155" s="63" t="s">
        <v>92</v>
      </c>
      <c r="F155" s="20">
        <v>3</v>
      </c>
      <c r="G155" s="20">
        <v>2</v>
      </c>
      <c r="H155" s="20">
        <f>F155*G155</f>
        <v>6</v>
      </c>
      <c r="I155" s="4" t="s">
        <v>778</v>
      </c>
      <c r="J155" s="4" t="s">
        <v>779</v>
      </c>
      <c r="K155" s="4"/>
      <c r="L155" s="20" t="s">
        <v>57</v>
      </c>
      <c r="M155" s="4" t="s">
        <v>780</v>
      </c>
      <c r="N155" s="4"/>
      <c r="O155" s="4"/>
      <c r="P155" s="4"/>
      <c r="Q155"/>
    </row>
    <row r="156" spans="1:17" s="5" customFormat="1" ht="28.9">
      <c r="A156" s="91" t="s">
        <v>781</v>
      </c>
      <c r="B156" s="4" t="s">
        <v>782</v>
      </c>
      <c r="C156" s="4" t="s">
        <v>783</v>
      </c>
      <c r="D156" s="4" t="s">
        <v>784</v>
      </c>
      <c r="E156" s="63" t="s">
        <v>183</v>
      </c>
      <c r="F156" s="20">
        <v>4</v>
      </c>
      <c r="G156" s="20">
        <v>2</v>
      </c>
      <c r="H156" s="20">
        <f>F156*G156</f>
        <v>8</v>
      </c>
      <c r="I156" s="4" t="s">
        <v>55</v>
      </c>
      <c r="J156" s="4" t="s">
        <v>56</v>
      </c>
      <c r="K156" s="4"/>
      <c r="L156" s="20" t="s">
        <v>57</v>
      </c>
      <c r="M156" s="4" t="s">
        <v>785</v>
      </c>
      <c r="N156" s="4"/>
      <c r="O156" s="4"/>
      <c r="P156" s="4"/>
      <c r="Q156"/>
    </row>
    <row r="157" spans="1:17" s="5" customFormat="1" ht="43.15">
      <c r="A157" s="91" t="s">
        <v>786</v>
      </c>
      <c r="B157" s="4" t="s">
        <v>787</v>
      </c>
      <c r="C157" s="8" t="s">
        <v>788</v>
      </c>
      <c r="D157" s="4" t="s">
        <v>789</v>
      </c>
      <c r="E157" s="63" t="s">
        <v>382</v>
      </c>
      <c r="F157" s="20">
        <v>5</v>
      </c>
      <c r="G157" s="20">
        <v>2</v>
      </c>
      <c r="H157" s="20">
        <f t="shared" si="9"/>
        <v>10</v>
      </c>
      <c r="I157" s="8" t="s">
        <v>790</v>
      </c>
      <c r="J157" s="8" t="s">
        <v>791</v>
      </c>
      <c r="K157" s="4"/>
      <c r="L157" s="20" t="s">
        <v>78</v>
      </c>
      <c r="M157" s="4" t="s">
        <v>792</v>
      </c>
      <c r="N157" s="4"/>
      <c r="O157" s="4"/>
      <c r="P157" s="4"/>
      <c r="Q157"/>
    </row>
    <row r="158" spans="1:17" s="5" customFormat="1" ht="43.15">
      <c r="A158" s="91" t="s">
        <v>793</v>
      </c>
      <c r="B158" s="4" t="s">
        <v>794</v>
      </c>
      <c r="C158" s="8" t="s">
        <v>795</v>
      </c>
      <c r="D158" s="4" t="s">
        <v>796</v>
      </c>
      <c r="E158" s="63" t="s">
        <v>382</v>
      </c>
      <c r="F158" s="20">
        <v>5</v>
      </c>
      <c r="G158" s="20">
        <v>2</v>
      </c>
      <c r="H158" s="20">
        <f t="shared" si="9"/>
        <v>10</v>
      </c>
      <c r="I158" s="8" t="s">
        <v>797</v>
      </c>
      <c r="J158" s="8" t="s">
        <v>797</v>
      </c>
      <c r="K158" s="4"/>
      <c r="L158" s="20" t="s">
        <v>78</v>
      </c>
      <c r="M158" s="4" t="s">
        <v>798</v>
      </c>
      <c r="N158" s="4"/>
      <c r="O158" s="4"/>
      <c r="P158" s="4"/>
      <c r="Q158"/>
    </row>
    <row r="159" spans="1:17" s="3" customFormat="1" ht="15.6">
      <c r="A159" s="99" t="s">
        <v>799</v>
      </c>
      <c r="B159" s="99"/>
      <c r="C159" s="99"/>
      <c r="D159" s="99"/>
      <c r="E159" s="99"/>
      <c r="F159" s="99"/>
      <c r="G159" s="99"/>
      <c r="H159" s="99"/>
      <c r="I159" s="99"/>
      <c r="J159" s="99"/>
      <c r="K159" s="99"/>
      <c r="L159" s="99"/>
      <c r="M159" s="99"/>
      <c r="N159" s="99"/>
      <c r="O159" s="99"/>
      <c r="P159" s="99"/>
      <c r="Q159"/>
    </row>
    <row r="160" spans="1:17" s="15" customFormat="1" ht="58.5" customHeight="1">
      <c r="A160" s="87" t="s">
        <v>800</v>
      </c>
      <c r="B160" s="11" t="s">
        <v>801</v>
      </c>
      <c r="C160" s="11" t="s">
        <v>802</v>
      </c>
      <c r="D160" s="11" t="s">
        <v>803</v>
      </c>
      <c r="E160" s="11" t="s">
        <v>804</v>
      </c>
      <c r="F160" s="20">
        <v>3</v>
      </c>
      <c r="G160" s="20">
        <v>3</v>
      </c>
      <c r="H160" s="20">
        <f t="shared" ref="H160:H174" si="10">F160*G160</f>
        <v>9</v>
      </c>
      <c r="I160" s="12" t="s">
        <v>805</v>
      </c>
      <c r="J160" s="12" t="s">
        <v>806</v>
      </c>
      <c r="K160" s="64" t="s">
        <v>807</v>
      </c>
      <c r="L160" s="20" t="s">
        <v>45</v>
      </c>
      <c r="M160" s="11" t="s">
        <v>808</v>
      </c>
      <c r="N160" s="4"/>
      <c r="O160" s="4"/>
      <c r="P160" s="4"/>
      <c r="Q160" s="16"/>
    </row>
    <row r="161" spans="1:17" s="3" customFormat="1" ht="62.25" customHeight="1">
      <c r="A161" s="87" t="s">
        <v>809</v>
      </c>
      <c r="B161" s="11" t="s">
        <v>810</v>
      </c>
      <c r="C161" s="11" t="s">
        <v>811</v>
      </c>
      <c r="D161" s="11" t="s">
        <v>812</v>
      </c>
      <c r="E161" s="11" t="s">
        <v>804</v>
      </c>
      <c r="F161" s="20">
        <v>4</v>
      </c>
      <c r="G161" s="20">
        <v>2</v>
      </c>
      <c r="H161" s="20">
        <f t="shared" si="10"/>
        <v>8</v>
      </c>
      <c r="I161" s="14" t="s">
        <v>813</v>
      </c>
      <c r="J161" s="14" t="s">
        <v>813</v>
      </c>
      <c r="K161" s="65" t="s">
        <v>807</v>
      </c>
      <c r="L161" s="32" t="s">
        <v>45</v>
      </c>
      <c r="M161" s="11" t="s">
        <v>814</v>
      </c>
      <c r="N161" s="11"/>
      <c r="O161" s="11"/>
      <c r="P161" s="11"/>
      <c r="Q161"/>
    </row>
    <row r="162" spans="1:17" s="3" customFormat="1" ht="49.5" customHeight="1">
      <c r="A162" s="87" t="s">
        <v>815</v>
      </c>
      <c r="B162" s="8" t="s">
        <v>816</v>
      </c>
      <c r="C162" s="11" t="s">
        <v>817</v>
      </c>
      <c r="D162" s="11" t="s">
        <v>818</v>
      </c>
      <c r="E162" s="11" t="s">
        <v>804</v>
      </c>
      <c r="F162" s="20">
        <v>4</v>
      </c>
      <c r="G162" s="20">
        <v>2</v>
      </c>
      <c r="H162" s="20">
        <f>F162*G162</f>
        <v>8</v>
      </c>
      <c r="I162" s="14"/>
      <c r="J162" s="14"/>
      <c r="K162" s="65"/>
      <c r="L162" s="20" t="s">
        <v>23</v>
      </c>
      <c r="M162" s="4" t="s">
        <v>819</v>
      </c>
      <c r="N162" s="11"/>
      <c r="O162" s="11"/>
      <c r="P162" s="11"/>
      <c r="Q162"/>
    </row>
    <row r="163" spans="1:17" s="15" customFormat="1" ht="56.25" customHeight="1">
      <c r="A163" s="87" t="s">
        <v>820</v>
      </c>
      <c r="B163" s="11" t="s">
        <v>821</v>
      </c>
      <c r="C163" s="11" t="s">
        <v>822</v>
      </c>
      <c r="D163" s="11" t="s">
        <v>823</v>
      </c>
      <c r="E163" s="11" t="s">
        <v>804</v>
      </c>
      <c r="F163" s="20">
        <v>4</v>
      </c>
      <c r="G163" s="20">
        <v>3</v>
      </c>
      <c r="H163" s="20">
        <f t="shared" si="10"/>
        <v>12</v>
      </c>
      <c r="I163" s="12" t="s">
        <v>824</v>
      </c>
      <c r="J163" s="12" t="s">
        <v>825</v>
      </c>
      <c r="K163" s="64" t="s">
        <v>807</v>
      </c>
      <c r="L163" s="20" t="s">
        <v>45</v>
      </c>
      <c r="M163" s="11" t="s">
        <v>826</v>
      </c>
      <c r="N163" s="4"/>
      <c r="O163" s="4"/>
      <c r="P163" s="4"/>
      <c r="Q163" s="16"/>
    </row>
    <row r="164" spans="1:17" s="3" customFormat="1" ht="67.5" customHeight="1">
      <c r="A164" s="87" t="s">
        <v>827</v>
      </c>
      <c r="B164" s="11" t="s">
        <v>828</v>
      </c>
      <c r="C164" s="11" t="s">
        <v>829</v>
      </c>
      <c r="D164" s="11" t="s">
        <v>830</v>
      </c>
      <c r="E164" s="11" t="s">
        <v>804</v>
      </c>
      <c r="F164" s="20">
        <v>5</v>
      </c>
      <c r="G164" s="20">
        <v>2</v>
      </c>
      <c r="H164" s="20">
        <f t="shared" si="10"/>
        <v>10</v>
      </c>
      <c r="I164" s="14" t="s">
        <v>813</v>
      </c>
      <c r="J164" s="14" t="s">
        <v>813</v>
      </c>
      <c r="K164" s="65" t="s">
        <v>807</v>
      </c>
      <c r="L164" s="32" t="s">
        <v>45</v>
      </c>
      <c r="M164" s="11" t="s">
        <v>831</v>
      </c>
      <c r="N164" s="11"/>
      <c r="O164" s="11"/>
      <c r="P164" s="11"/>
      <c r="Q164"/>
    </row>
    <row r="165" spans="1:17" s="3" customFormat="1" ht="43.15">
      <c r="A165" s="87" t="s">
        <v>832</v>
      </c>
      <c r="B165" s="8" t="s">
        <v>833</v>
      </c>
      <c r="C165" s="11" t="s">
        <v>834</v>
      </c>
      <c r="D165" s="11" t="s">
        <v>835</v>
      </c>
      <c r="E165" s="11" t="s">
        <v>804</v>
      </c>
      <c r="F165" s="20">
        <v>5</v>
      </c>
      <c r="G165" s="20">
        <v>2</v>
      </c>
      <c r="H165" s="20">
        <f>F165*G165</f>
        <v>10</v>
      </c>
      <c r="I165" s="14"/>
      <c r="J165" s="14"/>
      <c r="K165" s="65"/>
      <c r="L165" s="20" t="s">
        <v>23</v>
      </c>
      <c r="M165" s="4" t="s">
        <v>836</v>
      </c>
      <c r="N165" s="11"/>
      <c r="O165" s="40" t="s">
        <v>837</v>
      </c>
      <c r="P165" s="11"/>
      <c r="Q165"/>
    </row>
    <row r="166" spans="1:17" s="3" customFormat="1" ht="28.9">
      <c r="A166" s="35" t="s">
        <v>838</v>
      </c>
      <c r="B166" s="11" t="s">
        <v>839</v>
      </c>
      <c r="C166" s="11" t="s">
        <v>840</v>
      </c>
      <c r="D166" s="11" t="s">
        <v>841</v>
      </c>
      <c r="E166" s="11" t="s">
        <v>347</v>
      </c>
      <c r="F166" s="20">
        <v>4</v>
      </c>
      <c r="G166" s="20">
        <v>2</v>
      </c>
      <c r="H166" s="20">
        <f t="shared" si="10"/>
        <v>8</v>
      </c>
      <c r="I166" s="14" t="s">
        <v>813</v>
      </c>
      <c r="J166" s="14" t="s">
        <v>813</v>
      </c>
      <c r="K166" s="64" t="s">
        <v>807</v>
      </c>
      <c r="L166" s="20" t="s">
        <v>45</v>
      </c>
      <c r="M166" s="11" t="s">
        <v>842</v>
      </c>
      <c r="N166" s="4"/>
      <c r="O166" s="4"/>
      <c r="P166" s="4"/>
      <c r="Q166"/>
    </row>
    <row r="167" spans="1:17" s="3" customFormat="1" ht="28.9">
      <c r="A167" s="35" t="s">
        <v>843</v>
      </c>
      <c r="B167" s="11" t="s">
        <v>844</v>
      </c>
      <c r="C167" s="11" t="s">
        <v>845</v>
      </c>
      <c r="D167" s="11" t="s">
        <v>846</v>
      </c>
      <c r="E167" s="11" t="s">
        <v>347</v>
      </c>
      <c r="F167" s="20">
        <v>5</v>
      </c>
      <c r="G167" s="20">
        <v>2</v>
      </c>
      <c r="H167" s="20">
        <f t="shared" si="10"/>
        <v>10</v>
      </c>
      <c r="I167" s="14" t="s">
        <v>813</v>
      </c>
      <c r="J167" s="14" t="s">
        <v>813</v>
      </c>
      <c r="K167" s="64" t="s">
        <v>807</v>
      </c>
      <c r="L167" s="20" t="s">
        <v>45</v>
      </c>
      <c r="M167" s="11" t="s">
        <v>847</v>
      </c>
      <c r="N167" s="4"/>
      <c r="O167" s="4"/>
      <c r="P167" s="4"/>
      <c r="Q167"/>
    </row>
    <row r="168" spans="1:17" s="3" customFormat="1" ht="28.9">
      <c r="A168" s="35" t="s">
        <v>848</v>
      </c>
      <c r="B168" s="11" t="s">
        <v>849</v>
      </c>
      <c r="C168" s="11" t="s">
        <v>850</v>
      </c>
      <c r="D168" s="11" t="s">
        <v>851</v>
      </c>
      <c r="E168" s="11" t="s">
        <v>852</v>
      </c>
      <c r="F168" s="20">
        <v>4</v>
      </c>
      <c r="G168" s="20">
        <v>3</v>
      </c>
      <c r="H168" s="20">
        <f t="shared" si="10"/>
        <v>12</v>
      </c>
      <c r="I168" s="14" t="s">
        <v>813</v>
      </c>
      <c r="J168" s="14" t="s">
        <v>813</v>
      </c>
      <c r="K168" s="64" t="s">
        <v>807</v>
      </c>
      <c r="L168" s="20" t="s">
        <v>45</v>
      </c>
      <c r="M168" s="11" t="s">
        <v>853</v>
      </c>
      <c r="N168" s="4"/>
      <c r="O168" s="4"/>
      <c r="P168" s="4"/>
      <c r="Q168"/>
    </row>
    <row r="169" spans="1:17" s="3" customFormat="1" ht="28.9">
      <c r="A169" s="35" t="s">
        <v>854</v>
      </c>
      <c r="B169" s="11" t="s">
        <v>855</v>
      </c>
      <c r="C169" s="11" t="s">
        <v>856</v>
      </c>
      <c r="D169" s="11" t="s">
        <v>857</v>
      </c>
      <c r="E169" s="11" t="s">
        <v>347</v>
      </c>
      <c r="F169" s="20">
        <v>5</v>
      </c>
      <c r="G169" s="20">
        <v>3</v>
      </c>
      <c r="H169" s="20">
        <f t="shared" si="10"/>
        <v>15</v>
      </c>
      <c r="I169" s="14" t="s">
        <v>813</v>
      </c>
      <c r="J169" s="14" t="s">
        <v>813</v>
      </c>
      <c r="K169" s="64" t="s">
        <v>807</v>
      </c>
      <c r="L169" s="20" t="s">
        <v>45</v>
      </c>
      <c r="M169" s="11" t="s">
        <v>858</v>
      </c>
      <c r="N169" s="4"/>
      <c r="O169" s="4"/>
      <c r="P169" s="4"/>
      <c r="Q169"/>
    </row>
    <row r="170" spans="1:17" s="3" customFormat="1" ht="28.9">
      <c r="A170" s="35" t="s">
        <v>859</v>
      </c>
      <c r="B170" s="11" t="s">
        <v>860</v>
      </c>
      <c r="C170" s="11" t="s">
        <v>861</v>
      </c>
      <c r="D170" s="11" t="s">
        <v>862</v>
      </c>
      <c r="E170" s="11" t="s">
        <v>863</v>
      </c>
      <c r="F170" s="20">
        <v>3</v>
      </c>
      <c r="G170" s="20">
        <v>2</v>
      </c>
      <c r="H170" s="20">
        <f t="shared" si="10"/>
        <v>6</v>
      </c>
      <c r="I170" s="14" t="s">
        <v>813</v>
      </c>
      <c r="J170" s="14" t="s">
        <v>813</v>
      </c>
      <c r="K170" s="64" t="s">
        <v>807</v>
      </c>
      <c r="L170" s="20" t="s">
        <v>45</v>
      </c>
      <c r="M170" s="11" t="s">
        <v>864</v>
      </c>
      <c r="N170" s="4"/>
      <c r="O170" s="4"/>
      <c r="P170" s="4"/>
      <c r="Q170"/>
    </row>
    <row r="171" spans="1:17" s="3" customFormat="1" ht="43.15">
      <c r="A171" s="87" t="s">
        <v>865</v>
      </c>
      <c r="B171" s="8" t="s">
        <v>866</v>
      </c>
      <c r="C171" s="50" t="s">
        <v>867</v>
      </c>
      <c r="D171" s="11" t="s">
        <v>868</v>
      </c>
      <c r="E171" s="75" t="s">
        <v>869</v>
      </c>
      <c r="F171" s="20">
        <v>4</v>
      </c>
      <c r="G171" s="20">
        <v>4</v>
      </c>
      <c r="H171" s="20">
        <f t="shared" si="10"/>
        <v>16</v>
      </c>
      <c r="I171" s="14"/>
      <c r="J171" s="14"/>
      <c r="K171" s="64"/>
      <c r="L171" s="20" t="s">
        <v>23</v>
      </c>
      <c r="M171" s="11" t="s">
        <v>870</v>
      </c>
      <c r="N171" s="4"/>
      <c r="O171" s="4"/>
      <c r="P171" s="4"/>
      <c r="Q171"/>
    </row>
    <row r="172" spans="1:17" s="3" customFormat="1" ht="57.6">
      <c r="A172" s="71" t="s">
        <v>871</v>
      </c>
      <c r="B172" s="11" t="s">
        <v>872</v>
      </c>
      <c r="C172" s="11" t="s">
        <v>873</v>
      </c>
      <c r="D172" s="11" t="s">
        <v>874</v>
      </c>
      <c r="E172" s="11" t="s">
        <v>388</v>
      </c>
      <c r="F172" s="20">
        <v>4</v>
      </c>
      <c r="G172" s="20">
        <v>4</v>
      </c>
      <c r="H172" s="20">
        <f t="shared" si="10"/>
        <v>16</v>
      </c>
      <c r="I172" s="11" t="s">
        <v>875</v>
      </c>
      <c r="J172" s="11" t="s">
        <v>875</v>
      </c>
      <c r="K172" s="64" t="s">
        <v>807</v>
      </c>
      <c r="L172" s="20" t="s">
        <v>23</v>
      </c>
      <c r="M172" s="4" t="s">
        <v>876</v>
      </c>
      <c r="N172" s="4"/>
      <c r="O172" s="4"/>
      <c r="P172" s="4"/>
      <c r="Q172"/>
    </row>
    <row r="173" spans="1:17" s="3" customFormat="1" ht="28.9">
      <c r="A173" s="71" t="s">
        <v>877</v>
      </c>
      <c r="B173" s="4" t="s">
        <v>878</v>
      </c>
      <c r="C173" s="4" t="s">
        <v>879</v>
      </c>
      <c r="D173" s="4" t="s">
        <v>880</v>
      </c>
      <c r="E173" s="11" t="s">
        <v>165</v>
      </c>
      <c r="F173" s="20">
        <v>3</v>
      </c>
      <c r="G173" s="20">
        <v>2</v>
      </c>
      <c r="H173" s="20">
        <f t="shared" si="10"/>
        <v>6</v>
      </c>
      <c r="I173" s="9" t="s">
        <v>813</v>
      </c>
      <c r="J173" s="9" t="s">
        <v>813</v>
      </c>
      <c r="K173" s="64" t="s">
        <v>807</v>
      </c>
      <c r="L173" s="20" t="s">
        <v>23</v>
      </c>
      <c r="M173" s="4" t="s">
        <v>881</v>
      </c>
      <c r="N173" s="4"/>
      <c r="O173" s="4"/>
      <c r="P173" s="4"/>
      <c r="Q173"/>
    </row>
    <row r="174" spans="1:17" s="5" customFormat="1" ht="28.9">
      <c r="A174" s="71" t="s">
        <v>882</v>
      </c>
      <c r="B174" s="8" t="s">
        <v>883</v>
      </c>
      <c r="C174" s="4" t="s">
        <v>884</v>
      </c>
      <c r="D174" s="4" t="s">
        <v>885</v>
      </c>
      <c r="E174" s="11" t="s">
        <v>804</v>
      </c>
      <c r="F174" s="20">
        <v>5</v>
      </c>
      <c r="G174" s="20">
        <v>4</v>
      </c>
      <c r="H174" s="20">
        <f t="shared" si="10"/>
        <v>20</v>
      </c>
      <c r="I174" s="9"/>
      <c r="J174" s="9"/>
      <c r="K174" s="64"/>
      <c r="L174" s="20" t="s">
        <v>23</v>
      </c>
      <c r="M174" s="4" t="s">
        <v>886</v>
      </c>
      <c r="N174" s="4"/>
      <c r="O174" s="4"/>
      <c r="P174" s="4"/>
      <c r="Q174"/>
    </row>
    <row r="175" spans="1:17" s="3" customFormat="1" ht="15.6">
      <c r="A175" s="99" t="s">
        <v>887</v>
      </c>
      <c r="B175" s="99"/>
      <c r="C175" s="99"/>
      <c r="D175" s="99"/>
      <c r="E175" s="99"/>
      <c r="F175" s="99"/>
      <c r="G175" s="99"/>
      <c r="H175" s="99"/>
      <c r="I175" s="99"/>
      <c r="J175" s="99"/>
      <c r="K175" s="99"/>
      <c r="L175" s="99"/>
      <c r="M175" s="99"/>
      <c r="N175" s="99"/>
      <c r="O175" s="99"/>
      <c r="P175" s="99"/>
      <c r="Q175" s="46"/>
    </row>
    <row r="176" spans="1:17" s="3" customFormat="1" ht="28.9">
      <c r="A176" s="4" t="s">
        <v>888</v>
      </c>
      <c r="B176" s="4" t="s">
        <v>889</v>
      </c>
      <c r="C176" s="10" t="s">
        <v>890</v>
      </c>
      <c r="D176" s="4" t="s">
        <v>891</v>
      </c>
      <c r="E176" s="4" t="s">
        <v>892</v>
      </c>
      <c r="F176" s="20">
        <v>2</v>
      </c>
      <c r="G176" s="20">
        <v>2</v>
      </c>
      <c r="H176" s="20">
        <f t="shared" ref="H176:H192" si="11">F176*G176</f>
        <v>4</v>
      </c>
      <c r="I176" s="20" t="s">
        <v>22</v>
      </c>
      <c r="J176" s="20" t="s">
        <v>875</v>
      </c>
      <c r="K176" s="48" t="s">
        <v>22</v>
      </c>
      <c r="L176" s="20" t="s">
        <v>45</v>
      </c>
      <c r="M176" s="4" t="s">
        <v>893</v>
      </c>
      <c r="N176" s="4"/>
      <c r="O176" s="4"/>
      <c r="P176" s="4"/>
      <c r="Q176"/>
    </row>
    <row r="177" spans="1:17" s="3" customFormat="1" ht="28.9">
      <c r="A177" s="4" t="s">
        <v>894</v>
      </c>
      <c r="B177" s="4" t="s">
        <v>895</v>
      </c>
      <c r="C177" s="10" t="s">
        <v>896</v>
      </c>
      <c r="D177" s="4" t="s">
        <v>891</v>
      </c>
      <c r="E177" s="4" t="s">
        <v>892</v>
      </c>
      <c r="F177" s="20">
        <v>2</v>
      </c>
      <c r="G177" s="20">
        <v>2</v>
      </c>
      <c r="H177" s="20">
        <f t="shared" si="11"/>
        <v>4</v>
      </c>
      <c r="I177" s="20" t="s">
        <v>22</v>
      </c>
      <c r="J177" s="20" t="s">
        <v>875</v>
      </c>
      <c r="K177" s="48" t="s">
        <v>22</v>
      </c>
      <c r="L177" s="20" t="s">
        <v>45</v>
      </c>
      <c r="M177" s="4" t="s">
        <v>897</v>
      </c>
      <c r="N177" s="4"/>
      <c r="O177" s="4"/>
      <c r="P177" s="4"/>
      <c r="Q177"/>
    </row>
    <row r="178" spans="1:17" s="3" customFormat="1" ht="28.9">
      <c r="A178" s="4" t="s">
        <v>898</v>
      </c>
      <c r="B178" s="4" t="s">
        <v>899</v>
      </c>
      <c r="C178" s="10" t="s">
        <v>900</v>
      </c>
      <c r="D178" s="4" t="s">
        <v>901</v>
      </c>
      <c r="E178" s="4" t="s">
        <v>902</v>
      </c>
      <c r="F178" s="20">
        <v>4</v>
      </c>
      <c r="G178" s="20">
        <v>2</v>
      </c>
      <c r="H178" s="20">
        <f t="shared" si="11"/>
        <v>8</v>
      </c>
      <c r="I178" s="67" t="s">
        <v>903</v>
      </c>
      <c r="J178" s="20" t="s">
        <v>875</v>
      </c>
      <c r="K178" s="48" t="s">
        <v>22</v>
      </c>
      <c r="L178" s="20" t="s">
        <v>57</v>
      </c>
      <c r="M178" s="4" t="s">
        <v>904</v>
      </c>
      <c r="N178" s="4"/>
      <c r="O178" s="4"/>
      <c r="P178" s="4"/>
      <c r="Q178"/>
    </row>
    <row r="179" spans="1:17" s="3" customFormat="1" ht="57.6">
      <c r="A179" s="4" t="s">
        <v>905</v>
      </c>
      <c r="B179" s="4" t="s">
        <v>906</v>
      </c>
      <c r="C179" s="10" t="s">
        <v>907</v>
      </c>
      <c r="D179" s="4" t="s">
        <v>908</v>
      </c>
      <c r="E179" s="4" t="s">
        <v>909</v>
      </c>
      <c r="F179" s="20">
        <v>5</v>
      </c>
      <c r="G179" s="20">
        <v>2</v>
      </c>
      <c r="H179" s="20">
        <f t="shared" si="11"/>
        <v>10</v>
      </c>
      <c r="I179" s="20" t="s">
        <v>875</v>
      </c>
      <c r="J179" s="20" t="s">
        <v>875</v>
      </c>
      <c r="K179" s="48" t="s">
        <v>22</v>
      </c>
      <c r="L179" s="20" t="s">
        <v>57</v>
      </c>
      <c r="M179" s="4" t="s">
        <v>910</v>
      </c>
      <c r="N179" s="4"/>
      <c r="O179" s="4"/>
      <c r="P179" s="4"/>
      <c r="Q179"/>
    </row>
    <row r="180" spans="1:17" s="3" customFormat="1" ht="28.9">
      <c r="A180" s="4" t="s">
        <v>911</v>
      </c>
      <c r="B180" s="4" t="s">
        <v>912</v>
      </c>
      <c r="C180" s="10" t="s">
        <v>913</v>
      </c>
      <c r="D180" s="4" t="s">
        <v>914</v>
      </c>
      <c r="E180" s="4" t="s">
        <v>915</v>
      </c>
      <c r="F180" s="20">
        <v>5</v>
      </c>
      <c r="G180" s="20">
        <v>1</v>
      </c>
      <c r="H180" s="20">
        <f t="shared" si="11"/>
        <v>5</v>
      </c>
      <c r="I180" s="67">
        <v>3</v>
      </c>
      <c r="J180" s="20" t="s">
        <v>875</v>
      </c>
      <c r="K180" s="48" t="s">
        <v>22</v>
      </c>
      <c r="L180" s="20" t="s">
        <v>221</v>
      </c>
      <c r="M180" s="4" t="s">
        <v>916</v>
      </c>
      <c r="N180" s="4"/>
      <c r="O180" s="4"/>
      <c r="P180" s="4"/>
      <c r="Q180"/>
    </row>
    <row r="181" spans="1:17" s="3" customFormat="1" ht="43.15">
      <c r="A181" s="4" t="s">
        <v>917</v>
      </c>
      <c r="B181" s="4" t="s">
        <v>918</v>
      </c>
      <c r="C181" s="10" t="s">
        <v>919</v>
      </c>
      <c r="D181" s="4" t="s">
        <v>920</v>
      </c>
      <c r="E181" s="4" t="s">
        <v>921</v>
      </c>
      <c r="F181" s="20">
        <v>5</v>
      </c>
      <c r="G181" s="20">
        <v>3</v>
      </c>
      <c r="H181" s="20">
        <f t="shared" si="11"/>
        <v>15</v>
      </c>
      <c r="I181" s="20" t="s">
        <v>875</v>
      </c>
      <c r="J181" s="20" t="s">
        <v>875</v>
      </c>
      <c r="K181" s="48" t="s">
        <v>22</v>
      </c>
      <c r="L181" s="20" t="s">
        <v>242</v>
      </c>
      <c r="M181" s="4" t="s">
        <v>922</v>
      </c>
      <c r="N181" s="4"/>
      <c r="O181" s="4"/>
      <c r="P181" s="4"/>
      <c r="Q181"/>
    </row>
    <row r="182" spans="1:17" s="3" customFormat="1" ht="43.15">
      <c r="A182" s="4" t="s">
        <v>923</v>
      </c>
      <c r="B182" s="10" t="s">
        <v>924</v>
      </c>
      <c r="C182" s="10" t="s">
        <v>925</v>
      </c>
      <c r="D182" s="10" t="s">
        <v>926</v>
      </c>
      <c r="E182" s="4" t="s">
        <v>927</v>
      </c>
      <c r="F182" s="20">
        <v>3</v>
      </c>
      <c r="G182" s="20">
        <v>3</v>
      </c>
      <c r="H182" s="20">
        <f t="shared" si="11"/>
        <v>9</v>
      </c>
      <c r="I182" s="20" t="s">
        <v>875</v>
      </c>
      <c r="J182" s="20" t="s">
        <v>875</v>
      </c>
      <c r="K182" s="48" t="s">
        <v>22</v>
      </c>
      <c r="L182" s="20" t="s">
        <v>242</v>
      </c>
      <c r="M182" s="4" t="s">
        <v>928</v>
      </c>
      <c r="N182" s="4"/>
      <c r="O182" s="4"/>
      <c r="P182" s="4"/>
      <c r="Q182"/>
    </row>
    <row r="183" spans="1:17" s="3" customFormat="1" ht="43.15">
      <c r="A183" s="4" t="s">
        <v>929</v>
      </c>
      <c r="B183" s="10" t="s">
        <v>930</v>
      </c>
      <c r="C183" s="10" t="s">
        <v>931</v>
      </c>
      <c r="D183" s="10" t="s">
        <v>932</v>
      </c>
      <c r="E183" s="4" t="s">
        <v>927</v>
      </c>
      <c r="F183" s="20">
        <v>5</v>
      </c>
      <c r="G183" s="20">
        <v>3</v>
      </c>
      <c r="H183" s="20">
        <f t="shared" si="11"/>
        <v>15</v>
      </c>
      <c r="I183" s="20" t="s">
        <v>875</v>
      </c>
      <c r="J183" s="20" t="s">
        <v>875</v>
      </c>
      <c r="K183" s="48" t="s">
        <v>22</v>
      </c>
      <c r="L183" s="20" t="s">
        <v>242</v>
      </c>
      <c r="M183" s="4" t="s">
        <v>933</v>
      </c>
      <c r="N183" s="4"/>
      <c r="O183" s="4"/>
      <c r="P183" s="4"/>
      <c r="Q183"/>
    </row>
    <row r="184" spans="1:17" s="3" customFormat="1" ht="43.15">
      <c r="A184" s="4" t="s">
        <v>934</v>
      </c>
      <c r="B184" s="10" t="s">
        <v>935</v>
      </c>
      <c r="C184" s="10" t="s">
        <v>936</v>
      </c>
      <c r="D184" s="10" t="s">
        <v>937</v>
      </c>
      <c r="E184" s="4" t="s">
        <v>927</v>
      </c>
      <c r="F184" s="20">
        <v>5</v>
      </c>
      <c r="G184" s="20">
        <v>3</v>
      </c>
      <c r="H184" s="20">
        <f t="shared" si="11"/>
        <v>15</v>
      </c>
      <c r="I184" s="20" t="s">
        <v>875</v>
      </c>
      <c r="J184" s="20" t="s">
        <v>875</v>
      </c>
      <c r="K184" s="48" t="s">
        <v>22</v>
      </c>
      <c r="L184" s="20" t="s">
        <v>242</v>
      </c>
      <c r="M184" s="4" t="s">
        <v>938</v>
      </c>
      <c r="N184" s="4"/>
      <c r="O184" s="4"/>
      <c r="P184" s="4"/>
      <c r="Q184"/>
    </row>
    <row r="185" spans="1:17" s="3" customFormat="1" ht="43.15">
      <c r="A185" s="4" t="s">
        <v>939</v>
      </c>
      <c r="B185" s="4" t="s">
        <v>940</v>
      </c>
      <c r="C185" s="4" t="s">
        <v>941</v>
      </c>
      <c r="D185" s="4" t="s">
        <v>942</v>
      </c>
      <c r="E185" s="4" t="s">
        <v>943</v>
      </c>
      <c r="F185" s="20">
        <v>4</v>
      </c>
      <c r="G185" s="20">
        <v>2</v>
      </c>
      <c r="H185" s="20">
        <f t="shared" si="11"/>
        <v>8</v>
      </c>
      <c r="I185" s="20" t="s">
        <v>22</v>
      </c>
      <c r="J185" s="20" t="s">
        <v>875</v>
      </c>
      <c r="K185" s="48" t="s">
        <v>22</v>
      </c>
      <c r="L185" s="20" t="s">
        <v>242</v>
      </c>
      <c r="M185" s="4" t="s">
        <v>944</v>
      </c>
      <c r="N185" s="4"/>
      <c r="O185" s="4"/>
      <c r="P185" s="4"/>
      <c r="Q185"/>
    </row>
    <row r="186" spans="1:17" s="3" customFormat="1" ht="43.15">
      <c r="A186" s="4" t="s">
        <v>945</v>
      </c>
      <c r="B186" s="4" t="s">
        <v>946</v>
      </c>
      <c r="C186" s="4" t="s">
        <v>947</v>
      </c>
      <c r="D186" s="4" t="s">
        <v>948</v>
      </c>
      <c r="E186" s="4" t="s">
        <v>943</v>
      </c>
      <c r="F186" s="20">
        <v>5</v>
      </c>
      <c r="G186" s="20">
        <v>3</v>
      </c>
      <c r="H186" s="20">
        <f t="shared" si="11"/>
        <v>15</v>
      </c>
      <c r="I186" s="67" t="s">
        <v>949</v>
      </c>
      <c r="J186" s="20" t="s">
        <v>875</v>
      </c>
      <c r="K186" s="48" t="s">
        <v>22</v>
      </c>
      <c r="L186" s="20" t="s">
        <v>50</v>
      </c>
      <c r="M186" s="4" t="s">
        <v>950</v>
      </c>
      <c r="N186" s="4"/>
      <c r="O186" s="4"/>
      <c r="P186" s="4"/>
      <c r="Q186"/>
    </row>
    <row r="187" spans="1:17" s="3" customFormat="1" ht="28.9">
      <c r="A187" s="4" t="s">
        <v>951</v>
      </c>
      <c r="B187" s="4" t="s">
        <v>952</v>
      </c>
      <c r="C187" s="4" t="s">
        <v>953</v>
      </c>
      <c r="D187" s="4" t="s">
        <v>954</v>
      </c>
      <c r="E187" s="4" t="s">
        <v>955</v>
      </c>
      <c r="F187" s="20">
        <v>4</v>
      </c>
      <c r="G187" s="20">
        <v>4</v>
      </c>
      <c r="H187" s="20">
        <f t="shared" si="11"/>
        <v>16</v>
      </c>
      <c r="I187" s="20" t="s">
        <v>22</v>
      </c>
      <c r="J187" s="20" t="s">
        <v>875</v>
      </c>
      <c r="K187" s="48" t="s">
        <v>22</v>
      </c>
      <c r="L187" s="20" t="s">
        <v>45</v>
      </c>
      <c r="M187" s="4" t="s">
        <v>956</v>
      </c>
      <c r="N187" s="4"/>
      <c r="O187" s="4"/>
      <c r="P187" s="4"/>
      <c r="Q187"/>
    </row>
    <row r="188" spans="1:17" s="3" customFormat="1" ht="57.6">
      <c r="A188" s="4" t="s">
        <v>957</v>
      </c>
      <c r="B188" s="4" t="s">
        <v>958</v>
      </c>
      <c r="C188" s="4" t="s">
        <v>959</v>
      </c>
      <c r="D188" s="4" t="s">
        <v>960</v>
      </c>
      <c r="E188" s="4" t="s">
        <v>961</v>
      </c>
      <c r="F188" s="20">
        <v>2</v>
      </c>
      <c r="G188" s="20">
        <v>3</v>
      </c>
      <c r="H188" s="20">
        <f t="shared" si="11"/>
        <v>6</v>
      </c>
      <c r="I188" s="20" t="s">
        <v>22</v>
      </c>
      <c r="J188" s="20" t="s">
        <v>875</v>
      </c>
      <c r="K188" s="48" t="s">
        <v>22</v>
      </c>
      <c r="L188" s="20" t="s">
        <v>45</v>
      </c>
      <c r="M188" s="4" t="s">
        <v>962</v>
      </c>
      <c r="N188" s="4"/>
      <c r="O188" s="4"/>
      <c r="P188" s="4"/>
      <c r="Q188"/>
    </row>
    <row r="189" spans="1:17" s="3" customFormat="1" ht="43.15">
      <c r="A189" s="4" t="s">
        <v>963</v>
      </c>
      <c r="B189" s="4" t="s">
        <v>964</v>
      </c>
      <c r="C189" s="4" t="s">
        <v>965</v>
      </c>
      <c r="D189" s="4" t="s">
        <v>966</v>
      </c>
      <c r="E189" s="4" t="s">
        <v>955</v>
      </c>
      <c r="F189" s="20">
        <v>5</v>
      </c>
      <c r="G189" s="20">
        <v>4</v>
      </c>
      <c r="H189" s="20">
        <f t="shared" si="11"/>
        <v>20</v>
      </c>
      <c r="I189" s="20" t="s">
        <v>22</v>
      </c>
      <c r="J189" s="20" t="s">
        <v>875</v>
      </c>
      <c r="K189" s="48" t="s">
        <v>22</v>
      </c>
      <c r="L189" s="20" t="s">
        <v>45</v>
      </c>
      <c r="M189" s="10" t="s">
        <v>967</v>
      </c>
      <c r="N189" s="4"/>
      <c r="O189" s="4"/>
      <c r="P189" s="4"/>
      <c r="Q189"/>
    </row>
    <row r="190" spans="1:17" s="3" customFormat="1" ht="57.6">
      <c r="A190" s="4" t="s">
        <v>968</v>
      </c>
      <c r="B190" s="4" t="s">
        <v>969</v>
      </c>
      <c r="C190" s="4" t="s">
        <v>970</v>
      </c>
      <c r="D190" s="4" t="s">
        <v>971</v>
      </c>
      <c r="E190" s="4" t="s">
        <v>972</v>
      </c>
      <c r="F190" s="20">
        <v>2</v>
      </c>
      <c r="G190" s="20">
        <v>1</v>
      </c>
      <c r="H190" s="20">
        <f t="shared" si="11"/>
        <v>2</v>
      </c>
      <c r="I190" s="20" t="s">
        <v>22</v>
      </c>
      <c r="J190" s="20" t="s">
        <v>875</v>
      </c>
      <c r="K190" s="48" t="s">
        <v>22</v>
      </c>
      <c r="L190" s="20" t="s">
        <v>973</v>
      </c>
      <c r="M190" s="4" t="s">
        <v>974</v>
      </c>
      <c r="N190" s="4"/>
      <c r="O190" s="4"/>
      <c r="P190" s="4"/>
      <c r="Q190"/>
    </row>
    <row r="191" spans="1:17" s="3" customFormat="1" ht="57.6">
      <c r="A191" s="4" t="s">
        <v>975</v>
      </c>
      <c r="B191" s="4" t="s">
        <v>976</v>
      </c>
      <c r="C191" s="4" t="s">
        <v>977</v>
      </c>
      <c r="D191" s="4" t="s">
        <v>978</v>
      </c>
      <c r="E191" s="4" t="s">
        <v>972</v>
      </c>
      <c r="F191" s="20">
        <v>2</v>
      </c>
      <c r="G191" s="20">
        <v>1</v>
      </c>
      <c r="H191" s="20">
        <f t="shared" si="11"/>
        <v>2</v>
      </c>
      <c r="I191" s="20" t="s">
        <v>22</v>
      </c>
      <c r="J191" s="20" t="s">
        <v>875</v>
      </c>
      <c r="K191" s="48" t="s">
        <v>22</v>
      </c>
      <c r="L191" s="20" t="s">
        <v>973</v>
      </c>
      <c r="M191" s="4" t="s">
        <v>979</v>
      </c>
      <c r="N191" s="4"/>
      <c r="O191" s="4"/>
      <c r="P191" s="4"/>
      <c r="Q191"/>
    </row>
    <row r="192" spans="1:17" s="3" customFormat="1" ht="57.6">
      <c r="A192" s="4" t="s">
        <v>980</v>
      </c>
      <c r="B192" s="4" t="s">
        <v>981</v>
      </c>
      <c r="C192" s="4" t="s">
        <v>982</v>
      </c>
      <c r="D192" s="4" t="s">
        <v>983</v>
      </c>
      <c r="E192" s="4" t="s">
        <v>972</v>
      </c>
      <c r="F192" s="20">
        <v>3</v>
      </c>
      <c r="G192" s="20">
        <v>1</v>
      </c>
      <c r="H192" s="20">
        <f t="shared" si="11"/>
        <v>3</v>
      </c>
      <c r="I192" s="20" t="s">
        <v>22</v>
      </c>
      <c r="J192" s="20" t="s">
        <v>875</v>
      </c>
      <c r="K192" s="48" t="s">
        <v>22</v>
      </c>
      <c r="L192" s="20" t="s">
        <v>221</v>
      </c>
      <c r="M192" s="4" t="s">
        <v>984</v>
      </c>
      <c r="N192" s="4"/>
      <c r="O192" s="4"/>
      <c r="P192" s="4"/>
      <c r="Q192"/>
    </row>
    <row r="193" spans="1:17" s="3" customFormat="1" ht="15.6">
      <c r="A193" s="99" t="s">
        <v>985</v>
      </c>
      <c r="B193" s="99"/>
      <c r="C193" s="99"/>
      <c r="D193" s="99"/>
      <c r="E193" s="99"/>
      <c r="F193" s="99"/>
      <c r="G193" s="99"/>
      <c r="H193" s="99"/>
      <c r="I193" s="99"/>
      <c r="J193" s="99"/>
      <c r="K193" s="99"/>
      <c r="L193" s="99"/>
      <c r="M193" s="99"/>
      <c r="N193" s="99"/>
      <c r="O193" s="99"/>
      <c r="P193" s="99"/>
      <c r="Q193"/>
    </row>
    <row r="194" spans="1:17" s="3" customFormat="1" ht="57.6">
      <c r="A194" s="4" t="s">
        <v>986</v>
      </c>
      <c r="B194" s="4" t="s">
        <v>987</v>
      </c>
      <c r="C194" s="4" t="s">
        <v>988</v>
      </c>
      <c r="D194" s="4" t="s">
        <v>989</v>
      </c>
      <c r="E194" s="4" t="s">
        <v>990</v>
      </c>
      <c r="F194" s="20">
        <v>5</v>
      </c>
      <c r="G194" s="20">
        <v>2</v>
      </c>
      <c r="H194" s="20">
        <f t="shared" ref="H194:H203" si="12">F194*G194</f>
        <v>10</v>
      </c>
      <c r="I194" s="4"/>
      <c r="J194" s="4"/>
      <c r="K194" s="48" t="s">
        <v>22</v>
      </c>
      <c r="L194" s="20" t="s">
        <v>45</v>
      </c>
      <c r="M194" s="4" t="s">
        <v>991</v>
      </c>
      <c r="N194" s="4"/>
      <c r="O194" s="4"/>
      <c r="P194" s="4"/>
      <c r="Q194"/>
    </row>
    <row r="195" spans="1:17" s="3" customFormat="1" ht="43.15">
      <c r="A195" s="4" t="s">
        <v>992</v>
      </c>
      <c r="B195" s="4" t="s">
        <v>993</v>
      </c>
      <c r="C195" s="4" t="s">
        <v>994</v>
      </c>
      <c r="D195" s="4" t="s">
        <v>995</v>
      </c>
      <c r="E195" s="4" t="s">
        <v>347</v>
      </c>
      <c r="F195" s="20">
        <v>3</v>
      </c>
      <c r="G195" s="20">
        <v>2</v>
      </c>
      <c r="H195" s="20">
        <f t="shared" si="12"/>
        <v>6</v>
      </c>
      <c r="I195" s="4"/>
      <c r="J195" s="4"/>
      <c r="K195" s="48" t="s">
        <v>22</v>
      </c>
      <c r="L195" s="20" t="s">
        <v>45</v>
      </c>
      <c r="M195" s="4" t="s">
        <v>996</v>
      </c>
      <c r="N195" s="4"/>
      <c r="O195" s="4"/>
      <c r="P195" s="4"/>
      <c r="Q195"/>
    </row>
    <row r="196" spans="1:17" s="3" customFormat="1" ht="72">
      <c r="A196" s="4" t="s">
        <v>997</v>
      </c>
      <c r="B196" s="4" t="s">
        <v>998</v>
      </c>
      <c r="C196" s="4" t="s">
        <v>999</v>
      </c>
      <c r="D196" s="4" t="s">
        <v>1000</v>
      </c>
      <c r="E196" s="4" t="s">
        <v>1001</v>
      </c>
      <c r="F196" s="20">
        <v>5</v>
      </c>
      <c r="G196" s="20">
        <v>3</v>
      </c>
      <c r="H196" s="20">
        <f t="shared" si="12"/>
        <v>15</v>
      </c>
      <c r="I196" s="4"/>
      <c r="J196" s="4"/>
      <c r="K196" s="48" t="s">
        <v>22</v>
      </c>
      <c r="L196" s="20" t="s">
        <v>45</v>
      </c>
      <c r="M196" s="4" t="s">
        <v>1002</v>
      </c>
      <c r="N196" s="4"/>
      <c r="O196" s="4"/>
      <c r="P196" s="4"/>
      <c r="Q196"/>
    </row>
    <row r="197" spans="1:17" s="3" customFormat="1" ht="72">
      <c r="A197" s="4" t="s">
        <v>1003</v>
      </c>
      <c r="B197" s="4" t="s">
        <v>1004</v>
      </c>
      <c r="C197" s="4" t="s">
        <v>1005</v>
      </c>
      <c r="D197" s="4" t="s">
        <v>1006</v>
      </c>
      <c r="E197" s="4" t="s">
        <v>1007</v>
      </c>
      <c r="F197" s="20">
        <v>4</v>
      </c>
      <c r="G197" s="20">
        <v>2</v>
      </c>
      <c r="H197" s="20">
        <f t="shared" si="12"/>
        <v>8</v>
      </c>
      <c r="I197" s="4"/>
      <c r="J197" s="4"/>
      <c r="K197" s="48" t="s">
        <v>22</v>
      </c>
      <c r="L197" s="20" t="s">
        <v>45</v>
      </c>
      <c r="M197" s="4" t="s">
        <v>1008</v>
      </c>
      <c r="N197" s="4"/>
      <c r="O197" s="4"/>
      <c r="P197" s="4"/>
      <c r="Q197"/>
    </row>
    <row r="198" spans="1:17" s="3" customFormat="1" ht="43.15">
      <c r="A198" s="4" t="s">
        <v>1009</v>
      </c>
      <c r="B198" s="4" t="s">
        <v>1010</v>
      </c>
      <c r="C198" s="4" t="s">
        <v>1011</v>
      </c>
      <c r="D198" s="4" t="s">
        <v>1012</v>
      </c>
      <c r="E198" s="4" t="s">
        <v>1013</v>
      </c>
      <c r="F198" s="20">
        <v>3</v>
      </c>
      <c r="G198" s="20">
        <v>2</v>
      </c>
      <c r="H198" s="20">
        <f t="shared" si="12"/>
        <v>6</v>
      </c>
      <c r="I198" s="4"/>
      <c r="J198" s="4"/>
      <c r="K198" s="48" t="s">
        <v>22</v>
      </c>
      <c r="L198" s="20" t="s">
        <v>45</v>
      </c>
      <c r="M198" s="4" t="s">
        <v>1014</v>
      </c>
      <c r="N198" s="4"/>
      <c r="O198" s="4"/>
      <c r="P198" s="4"/>
      <c r="Q198"/>
    </row>
    <row r="199" spans="1:17" s="3" customFormat="1" ht="43.15">
      <c r="A199" s="4" t="s">
        <v>1015</v>
      </c>
      <c r="B199" s="4" t="s">
        <v>1016</v>
      </c>
      <c r="C199" s="4" t="s">
        <v>1017</v>
      </c>
      <c r="D199" s="4" t="s">
        <v>1018</v>
      </c>
      <c r="E199" s="4" t="s">
        <v>165</v>
      </c>
      <c r="F199" s="20">
        <v>3</v>
      </c>
      <c r="G199" s="20">
        <v>1</v>
      </c>
      <c r="H199" s="20">
        <f t="shared" si="12"/>
        <v>3</v>
      </c>
      <c r="I199" s="4"/>
      <c r="J199" s="4"/>
      <c r="K199" s="48" t="s">
        <v>22</v>
      </c>
      <c r="L199" s="20" t="s">
        <v>45</v>
      </c>
      <c r="M199" s="4" t="s">
        <v>1019</v>
      </c>
      <c r="N199" s="4"/>
      <c r="O199" s="4"/>
      <c r="P199" s="4"/>
      <c r="Q199"/>
    </row>
    <row r="200" spans="1:17" s="3" customFormat="1" ht="43.15">
      <c r="A200" s="4" t="s">
        <v>1020</v>
      </c>
      <c r="B200" s="4" t="s">
        <v>1021</v>
      </c>
      <c r="C200" s="4" t="s">
        <v>1022</v>
      </c>
      <c r="D200" s="4" t="s">
        <v>1023</v>
      </c>
      <c r="E200" s="4" t="s">
        <v>170</v>
      </c>
      <c r="F200" s="20">
        <v>3</v>
      </c>
      <c r="G200" s="20">
        <v>2</v>
      </c>
      <c r="H200" s="20">
        <f t="shared" si="12"/>
        <v>6</v>
      </c>
      <c r="I200" s="4"/>
      <c r="J200" s="4"/>
      <c r="K200" s="48" t="s">
        <v>22</v>
      </c>
      <c r="L200" s="20" t="s">
        <v>45</v>
      </c>
      <c r="M200" s="4" t="s">
        <v>1024</v>
      </c>
      <c r="N200" s="4"/>
      <c r="O200" s="4"/>
      <c r="P200" s="4"/>
      <c r="Q200"/>
    </row>
    <row r="201" spans="1:17" s="3" customFormat="1" ht="57.6">
      <c r="A201" s="4" t="s">
        <v>1025</v>
      </c>
      <c r="B201" s="4" t="s">
        <v>191</v>
      </c>
      <c r="C201" s="4" t="s">
        <v>1026</v>
      </c>
      <c r="D201" s="4" t="s">
        <v>1027</v>
      </c>
      <c r="E201" s="10" t="s">
        <v>190</v>
      </c>
      <c r="F201" s="20">
        <v>4</v>
      </c>
      <c r="G201" s="20">
        <v>3</v>
      </c>
      <c r="H201" s="20">
        <f t="shared" si="12"/>
        <v>12</v>
      </c>
      <c r="I201" s="4"/>
      <c r="J201" s="4"/>
      <c r="K201" s="48" t="s">
        <v>22</v>
      </c>
      <c r="L201" s="20" t="s">
        <v>45</v>
      </c>
      <c r="M201" s="4" t="s">
        <v>1028</v>
      </c>
      <c r="N201" s="4"/>
      <c r="O201" s="4"/>
      <c r="P201" s="4"/>
      <c r="Q201"/>
    </row>
    <row r="202" spans="1:17" s="3" customFormat="1" ht="86.45">
      <c r="A202" s="4" t="s">
        <v>1029</v>
      </c>
      <c r="B202" s="4" t="s">
        <v>1030</v>
      </c>
      <c r="C202" s="4" t="s">
        <v>1031</v>
      </c>
      <c r="D202" s="4" t="s">
        <v>1032</v>
      </c>
      <c r="E202" s="4" t="s">
        <v>371</v>
      </c>
      <c r="F202" s="20">
        <v>3</v>
      </c>
      <c r="G202" s="20">
        <v>3</v>
      </c>
      <c r="H202" s="20">
        <f t="shared" ref="H202" si="13">F202*G202</f>
        <v>9</v>
      </c>
      <c r="I202" s="4"/>
      <c r="J202" s="4"/>
      <c r="K202" s="48"/>
      <c r="L202" s="20" t="s">
        <v>45</v>
      </c>
      <c r="M202" s="4" t="s">
        <v>1033</v>
      </c>
      <c r="N202" s="4"/>
      <c r="O202" s="4"/>
      <c r="P202" s="4"/>
      <c r="Q202"/>
    </row>
    <row r="203" spans="1:17" s="5" customFormat="1" ht="54" customHeight="1">
      <c r="A203" s="4" t="s">
        <v>1034</v>
      </c>
      <c r="B203" s="4" t="s">
        <v>1035</v>
      </c>
      <c r="C203" s="4" t="s">
        <v>1036</v>
      </c>
      <c r="D203" s="4" t="s">
        <v>1037</v>
      </c>
      <c r="E203" s="4" t="s">
        <v>1038</v>
      </c>
      <c r="F203" s="20">
        <v>4</v>
      </c>
      <c r="G203" s="20">
        <v>3</v>
      </c>
      <c r="H203" s="20">
        <f t="shared" si="12"/>
        <v>12</v>
      </c>
      <c r="I203" s="4"/>
      <c r="J203" s="4"/>
      <c r="K203" s="48"/>
      <c r="L203" s="20" t="s">
        <v>45</v>
      </c>
      <c r="M203" s="4" t="s">
        <v>1039</v>
      </c>
      <c r="N203" s="4"/>
      <c r="O203" s="4"/>
      <c r="P203" s="4"/>
      <c r="Q203"/>
    </row>
    <row r="204" spans="1:17" s="3" customFormat="1" ht="15.6">
      <c r="A204" s="99" t="s">
        <v>1040</v>
      </c>
      <c r="B204" s="99"/>
      <c r="C204" s="99"/>
      <c r="D204" s="99"/>
      <c r="E204" s="99"/>
      <c r="F204" s="99"/>
      <c r="G204" s="99"/>
      <c r="H204" s="99"/>
      <c r="I204" s="99"/>
      <c r="J204" s="99"/>
      <c r="K204" s="99"/>
      <c r="L204" s="99"/>
      <c r="M204" s="99"/>
      <c r="N204" s="99"/>
      <c r="O204" s="99"/>
      <c r="P204" s="99"/>
      <c r="Q204"/>
    </row>
    <row r="205" spans="1:17" s="3" customFormat="1" ht="43.15">
      <c r="A205" s="22" t="s">
        <v>1041</v>
      </c>
      <c r="B205" s="22" t="s">
        <v>1042</v>
      </c>
      <c r="C205" s="22" t="s">
        <v>1043</v>
      </c>
      <c r="D205" s="22" t="s">
        <v>1044</v>
      </c>
      <c r="E205" s="22" t="s">
        <v>337</v>
      </c>
      <c r="F205" s="20">
        <v>4</v>
      </c>
      <c r="G205" s="20">
        <v>1</v>
      </c>
      <c r="H205" s="20">
        <f t="shared" ref="H205:H213" si="14">F205*G205</f>
        <v>4</v>
      </c>
      <c r="I205" s="4"/>
      <c r="J205" s="4"/>
      <c r="K205" s="48" t="s">
        <v>22</v>
      </c>
      <c r="L205" s="20" t="s">
        <v>57</v>
      </c>
      <c r="M205" s="4" t="s">
        <v>1045</v>
      </c>
      <c r="N205" s="4"/>
      <c r="O205" s="4"/>
      <c r="P205" s="4"/>
      <c r="Q205"/>
    </row>
    <row r="206" spans="1:17" s="3" customFormat="1" ht="43.15">
      <c r="A206" s="22" t="s">
        <v>1046</v>
      </c>
      <c r="B206" s="22" t="s">
        <v>1047</v>
      </c>
      <c r="C206" s="22" t="s">
        <v>1048</v>
      </c>
      <c r="D206" s="22" t="s">
        <v>1049</v>
      </c>
      <c r="E206" s="22" t="s">
        <v>347</v>
      </c>
      <c r="F206" s="20">
        <v>4</v>
      </c>
      <c r="G206" s="20">
        <v>2</v>
      </c>
      <c r="H206" s="20">
        <f t="shared" si="14"/>
        <v>8</v>
      </c>
      <c r="I206" s="8"/>
      <c r="J206" s="4"/>
      <c r="K206" s="48" t="s">
        <v>22</v>
      </c>
      <c r="L206" s="20" t="s">
        <v>242</v>
      </c>
      <c r="M206" s="4" t="s">
        <v>1050</v>
      </c>
      <c r="N206" s="4"/>
      <c r="O206" s="4"/>
      <c r="P206" s="4"/>
      <c r="Q206"/>
    </row>
    <row r="207" spans="1:17" s="3" customFormat="1" ht="28.9">
      <c r="A207" s="22" t="s">
        <v>1051</v>
      </c>
      <c r="B207" s="22" t="s">
        <v>1052</v>
      </c>
      <c r="C207" s="22" t="s">
        <v>1053</v>
      </c>
      <c r="D207" s="22" t="s">
        <v>1054</v>
      </c>
      <c r="E207" s="22" t="s">
        <v>1055</v>
      </c>
      <c r="F207" s="20">
        <v>5</v>
      </c>
      <c r="G207" s="20">
        <v>1</v>
      </c>
      <c r="H207" s="20">
        <f t="shared" si="14"/>
        <v>5</v>
      </c>
      <c r="I207" s="8"/>
      <c r="J207" s="4"/>
      <c r="K207" s="48" t="s">
        <v>22</v>
      </c>
      <c r="L207" s="20" t="s">
        <v>45</v>
      </c>
      <c r="M207" s="4" t="s">
        <v>1056</v>
      </c>
      <c r="N207" s="4"/>
      <c r="O207" s="4"/>
      <c r="P207" s="4"/>
      <c r="Q207"/>
    </row>
    <row r="208" spans="1:17" s="3" customFormat="1" ht="43.15">
      <c r="A208" s="22" t="s">
        <v>1057</v>
      </c>
      <c r="B208" s="22" t="s">
        <v>1058</v>
      </c>
      <c r="C208" s="22" t="s">
        <v>1059</v>
      </c>
      <c r="D208" s="22" t="s">
        <v>1060</v>
      </c>
      <c r="E208" s="22" t="s">
        <v>207</v>
      </c>
      <c r="F208" s="20">
        <v>4</v>
      </c>
      <c r="G208" s="20">
        <v>3</v>
      </c>
      <c r="H208" s="20">
        <f t="shared" si="14"/>
        <v>12</v>
      </c>
      <c r="I208" s="4" t="s">
        <v>1061</v>
      </c>
      <c r="J208" s="4"/>
      <c r="K208" s="48" t="s">
        <v>22</v>
      </c>
      <c r="L208" s="20" t="s">
        <v>221</v>
      </c>
      <c r="M208" s="4" t="s">
        <v>1062</v>
      </c>
      <c r="N208" s="4"/>
      <c r="O208" s="4"/>
      <c r="P208" s="4"/>
      <c r="Q208"/>
    </row>
    <row r="209" spans="1:17" s="3" customFormat="1" ht="57.6">
      <c r="A209" s="22" t="s">
        <v>1063</v>
      </c>
      <c r="B209" s="22" t="s">
        <v>1064</v>
      </c>
      <c r="C209" s="22" t="s">
        <v>1065</v>
      </c>
      <c r="D209" s="22" t="s">
        <v>1066</v>
      </c>
      <c r="E209" s="22" t="s">
        <v>207</v>
      </c>
      <c r="F209" s="20">
        <v>3</v>
      </c>
      <c r="G209" s="20">
        <v>2</v>
      </c>
      <c r="H209" s="20">
        <f t="shared" si="14"/>
        <v>6</v>
      </c>
      <c r="I209" s="4" t="s">
        <v>1067</v>
      </c>
      <c r="J209" s="4"/>
      <c r="K209" s="48"/>
      <c r="L209" s="20" t="s">
        <v>221</v>
      </c>
      <c r="M209" s="4" t="s">
        <v>1068</v>
      </c>
      <c r="N209" s="4"/>
      <c r="O209" s="4"/>
      <c r="P209" s="4"/>
      <c r="Q209"/>
    </row>
    <row r="210" spans="1:17" s="3" customFormat="1" ht="43.15">
      <c r="A210" s="22" t="s">
        <v>1069</v>
      </c>
      <c r="B210" s="22" t="s">
        <v>1070</v>
      </c>
      <c r="C210" s="22" t="s">
        <v>1071</v>
      </c>
      <c r="D210" s="22" t="s">
        <v>1072</v>
      </c>
      <c r="E210" s="22" t="s">
        <v>207</v>
      </c>
      <c r="F210" s="20">
        <v>3</v>
      </c>
      <c r="G210" s="20">
        <v>2</v>
      </c>
      <c r="H210" s="20">
        <f t="shared" si="14"/>
        <v>6</v>
      </c>
      <c r="I210" s="4" t="s">
        <v>1073</v>
      </c>
      <c r="J210" s="4"/>
      <c r="K210" s="48"/>
      <c r="L210" s="20" t="s">
        <v>221</v>
      </c>
      <c r="M210" s="4" t="s">
        <v>1074</v>
      </c>
      <c r="N210" s="4"/>
      <c r="O210" s="4"/>
      <c r="P210" s="4"/>
      <c r="Q210"/>
    </row>
    <row r="211" spans="1:17" s="3" customFormat="1" ht="43.15">
      <c r="A211" s="22" t="s">
        <v>1075</v>
      </c>
      <c r="B211" s="22" t="s">
        <v>1076</v>
      </c>
      <c r="C211" s="22" t="s">
        <v>1077</v>
      </c>
      <c r="D211" s="22" t="s">
        <v>1066</v>
      </c>
      <c r="E211" s="22" t="s">
        <v>207</v>
      </c>
      <c r="F211" s="20">
        <v>3</v>
      </c>
      <c r="G211" s="20">
        <v>2</v>
      </c>
      <c r="H211" s="20">
        <f t="shared" si="14"/>
        <v>6</v>
      </c>
      <c r="I211" s="4" t="s">
        <v>1078</v>
      </c>
      <c r="J211" s="4"/>
      <c r="K211" s="48"/>
      <c r="L211" s="20" t="s">
        <v>221</v>
      </c>
      <c r="M211" s="4" t="s">
        <v>1079</v>
      </c>
      <c r="N211" s="4"/>
      <c r="O211" s="4"/>
      <c r="P211" s="4"/>
      <c r="Q211"/>
    </row>
    <row r="212" spans="1:17" s="3" customFormat="1" ht="28.9">
      <c r="A212" s="22" t="s">
        <v>1080</v>
      </c>
      <c r="B212" s="22" t="s">
        <v>1081</v>
      </c>
      <c r="C212" s="22" t="s">
        <v>1082</v>
      </c>
      <c r="D212" s="22" t="s">
        <v>1066</v>
      </c>
      <c r="E212" s="22" t="s">
        <v>207</v>
      </c>
      <c r="F212" s="20">
        <v>3</v>
      </c>
      <c r="G212" s="20">
        <v>1</v>
      </c>
      <c r="H212" s="20">
        <f t="shared" si="14"/>
        <v>3</v>
      </c>
      <c r="I212" s="4"/>
      <c r="J212" s="4"/>
      <c r="K212" s="4"/>
      <c r="L212" s="20" t="s">
        <v>221</v>
      </c>
      <c r="M212" s="4" t="s">
        <v>1083</v>
      </c>
      <c r="N212" s="4"/>
      <c r="O212" s="4"/>
      <c r="P212" s="4"/>
      <c r="Q212"/>
    </row>
    <row r="213" spans="1:17" s="5" customFormat="1" ht="28.9">
      <c r="A213" s="22" t="s">
        <v>1084</v>
      </c>
      <c r="B213" s="22" t="s">
        <v>1085</v>
      </c>
      <c r="C213" s="22" t="s">
        <v>1086</v>
      </c>
      <c r="D213" s="22" t="s">
        <v>1066</v>
      </c>
      <c r="E213" s="22" t="s">
        <v>207</v>
      </c>
      <c r="F213" s="20">
        <v>3</v>
      </c>
      <c r="G213" s="20">
        <v>1</v>
      </c>
      <c r="H213" s="20">
        <f t="shared" si="14"/>
        <v>3</v>
      </c>
      <c r="I213" s="4"/>
      <c r="J213" s="4"/>
      <c r="K213" s="48"/>
      <c r="L213" s="20" t="s">
        <v>221</v>
      </c>
      <c r="M213" s="4" t="s">
        <v>1087</v>
      </c>
      <c r="N213" s="4"/>
      <c r="O213" s="4"/>
      <c r="P213" s="4"/>
      <c r="Q213"/>
    </row>
    <row r="214" spans="1:17" s="3" customFormat="1" ht="15.6">
      <c r="A214" s="99" t="s">
        <v>1088</v>
      </c>
      <c r="B214" s="99"/>
      <c r="C214" s="99"/>
      <c r="D214" s="99"/>
      <c r="E214" s="99"/>
      <c r="F214" s="99"/>
      <c r="G214" s="99"/>
      <c r="H214" s="99"/>
      <c r="I214" s="99"/>
      <c r="J214" s="99"/>
      <c r="K214" s="99"/>
      <c r="L214" s="99"/>
      <c r="M214" s="99"/>
      <c r="N214" s="99"/>
      <c r="O214" s="99"/>
      <c r="P214" s="99"/>
      <c r="Q214" s="7"/>
    </row>
    <row r="215" spans="1:17" s="3" customFormat="1" ht="43.15">
      <c r="A215" s="4" t="s">
        <v>1089</v>
      </c>
      <c r="B215" s="4" t="s">
        <v>1090</v>
      </c>
      <c r="C215" s="4" t="s">
        <v>1091</v>
      </c>
      <c r="D215" s="4" t="s">
        <v>1092</v>
      </c>
      <c r="E215" s="4" t="s">
        <v>665</v>
      </c>
      <c r="F215" s="20">
        <v>2</v>
      </c>
      <c r="G215" s="20">
        <v>1</v>
      </c>
      <c r="H215" s="20">
        <f t="shared" ref="H215:H222" si="15">F215*G215</f>
        <v>2</v>
      </c>
      <c r="I215" s="66">
        <v>0.105</v>
      </c>
      <c r="J215" s="66" t="s">
        <v>1093</v>
      </c>
      <c r="K215" s="4"/>
      <c r="L215" s="20" t="s">
        <v>1094</v>
      </c>
      <c r="M215" s="4" t="s">
        <v>1095</v>
      </c>
      <c r="N215" s="4"/>
      <c r="O215" s="4"/>
      <c r="P215" s="4"/>
      <c r="Q215" s="7"/>
    </row>
    <row r="216" spans="1:17" s="3" customFormat="1" ht="28.9">
      <c r="A216" s="4" t="s">
        <v>1096</v>
      </c>
      <c r="B216" s="4" t="s">
        <v>1097</v>
      </c>
      <c r="C216" s="4" t="s">
        <v>1098</v>
      </c>
      <c r="D216" s="4" t="s">
        <v>1099</v>
      </c>
      <c r="E216" s="4" t="s">
        <v>665</v>
      </c>
      <c r="F216" s="20">
        <v>3</v>
      </c>
      <c r="G216" s="20">
        <v>1</v>
      </c>
      <c r="H216" s="20">
        <f t="shared" si="15"/>
        <v>3</v>
      </c>
      <c r="I216" s="4" t="s">
        <v>1100</v>
      </c>
      <c r="J216" s="4" t="s">
        <v>1101</v>
      </c>
      <c r="K216" s="4"/>
      <c r="L216" s="20" t="s">
        <v>221</v>
      </c>
      <c r="M216" s="4" t="s">
        <v>1102</v>
      </c>
      <c r="N216" s="4"/>
      <c r="O216" s="4"/>
      <c r="P216" s="4"/>
      <c r="Q216" s="7"/>
    </row>
    <row r="217" spans="1:17" s="3" customFormat="1" ht="43.15">
      <c r="A217" s="4" t="s">
        <v>1103</v>
      </c>
      <c r="B217" s="4" t="s">
        <v>1104</v>
      </c>
      <c r="C217" s="4" t="s">
        <v>1105</v>
      </c>
      <c r="D217" s="4" t="s">
        <v>1106</v>
      </c>
      <c r="E217" s="4" t="s">
        <v>382</v>
      </c>
      <c r="F217" s="20">
        <v>4</v>
      </c>
      <c r="G217" s="20">
        <v>3</v>
      </c>
      <c r="H217" s="20">
        <f t="shared" si="15"/>
        <v>12</v>
      </c>
      <c r="I217" s="4" t="s">
        <v>875</v>
      </c>
      <c r="J217" s="4" t="s">
        <v>875</v>
      </c>
      <c r="K217" s="4"/>
      <c r="L217" s="20" t="s">
        <v>242</v>
      </c>
      <c r="M217" s="4" t="s">
        <v>1107</v>
      </c>
      <c r="N217" s="4"/>
      <c r="O217" s="4"/>
      <c r="P217" s="4"/>
      <c r="Q217" s="7"/>
    </row>
    <row r="218" spans="1:17" s="3" customFormat="1" ht="43.15">
      <c r="A218" s="4" t="s">
        <v>1108</v>
      </c>
      <c r="B218" s="4" t="s">
        <v>1109</v>
      </c>
      <c r="C218" s="4" t="s">
        <v>1110</v>
      </c>
      <c r="D218" s="4" t="s">
        <v>1111</v>
      </c>
      <c r="E218" s="4" t="s">
        <v>388</v>
      </c>
      <c r="F218" s="20">
        <v>5</v>
      </c>
      <c r="G218" s="20">
        <v>2</v>
      </c>
      <c r="H218" s="20">
        <f t="shared" si="15"/>
        <v>10</v>
      </c>
      <c r="I218" s="4" t="s">
        <v>875</v>
      </c>
      <c r="J218" s="4" t="s">
        <v>875</v>
      </c>
      <c r="K218" s="4"/>
      <c r="L218" s="20" t="s">
        <v>57</v>
      </c>
      <c r="M218" s="4" t="s">
        <v>1112</v>
      </c>
      <c r="N218" s="4"/>
      <c r="O218" s="4"/>
      <c r="P218" s="4"/>
      <c r="Q218" s="7"/>
    </row>
    <row r="219" spans="1:17" s="3" customFormat="1" ht="43.15">
      <c r="A219" s="4" t="s">
        <v>1113</v>
      </c>
      <c r="B219" s="4" t="s">
        <v>1114</v>
      </c>
      <c r="C219" s="4" t="s">
        <v>1115</v>
      </c>
      <c r="D219" s="4" t="s">
        <v>1116</v>
      </c>
      <c r="E219" s="4" t="s">
        <v>382</v>
      </c>
      <c r="F219" s="20">
        <v>5</v>
      </c>
      <c r="G219" s="20">
        <v>2</v>
      </c>
      <c r="H219" s="20">
        <f t="shared" si="15"/>
        <v>10</v>
      </c>
      <c r="I219" s="4" t="s">
        <v>875</v>
      </c>
      <c r="J219" s="4" t="s">
        <v>875</v>
      </c>
      <c r="K219" s="4"/>
      <c r="L219" s="20" t="s">
        <v>57</v>
      </c>
      <c r="M219" s="4" t="s">
        <v>1117</v>
      </c>
      <c r="N219" s="4"/>
      <c r="O219" s="4"/>
      <c r="P219" s="4"/>
      <c r="Q219" s="7"/>
    </row>
    <row r="220" spans="1:17" s="3" customFormat="1" ht="43.15">
      <c r="A220" s="4" t="s">
        <v>1118</v>
      </c>
      <c r="B220" s="4" t="s">
        <v>1119</v>
      </c>
      <c r="C220" s="4" t="s">
        <v>1120</v>
      </c>
      <c r="D220" s="4" t="s">
        <v>1121</v>
      </c>
      <c r="E220" s="4" t="s">
        <v>388</v>
      </c>
      <c r="F220" s="20">
        <v>5</v>
      </c>
      <c r="G220" s="20">
        <v>2</v>
      </c>
      <c r="H220" s="20">
        <f t="shared" si="15"/>
        <v>10</v>
      </c>
      <c r="I220" s="4" t="s">
        <v>875</v>
      </c>
      <c r="J220" s="4" t="s">
        <v>875</v>
      </c>
      <c r="K220" s="4"/>
      <c r="L220" s="20" t="s">
        <v>57</v>
      </c>
      <c r="M220" s="4" t="s">
        <v>1122</v>
      </c>
      <c r="N220" s="4"/>
      <c r="O220" s="4"/>
      <c r="P220" s="4"/>
      <c r="Q220" s="7"/>
    </row>
    <row r="221" spans="1:17" s="5" customFormat="1" ht="43.15">
      <c r="A221" s="4" t="s">
        <v>1123</v>
      </c>
      <c r="B221" s="4" t="s">
        <v>1124</v>
      </c>
      <c r="C221" s="4" t="s">
        <v>1125</v>
      </c>
      <c r="D221" s="4" t="s">
        <v>1126</v>
      </c>
      <c r="E221" s="4" t="s">
        <v>382</v>
      </c>
      <c r="F221" s="20">
        <v>4</v>
      </c>
      <c r="G221" s="20">
        <v>1</v>
      </c>
      <c r="H221" s="20">
        <f t="shared" si="15"/>
        <v>4</v>
      </c>
      <c r="I221" s="4" t="s">
        <v>875</v>
      </c>
      <c r="J221" s="4" t="s">
        <v>875</v>
      </c>
      <c r="K221" s="39"/>
      <c r="L221" s="20" t="s">
        <v>45</v>
      </c>
      <c r="M221" s="4" t="s">
        <v>1127</v>
      </c>
      <c r="N221" s="4"/>
      <c r="O221" s="4"/>
      <c r="P221" s="4"/>
      <c r="Q221" s="7"/>
    </row>
    <row r="222" spans="1:17" s="19" customFormat="1" ht="43.15">
      <c r="A222" s="4" t="s">
        <v>1128</v>
      </c>
      <c r="B222" s="4" t="s">
        <v>1129</v>
      </c>
      <c r="C222" s="4" t="s">
        <v>1130</v>
      </c>
      <c r="D222" s="4" t="s">
        <v>1131</v>
      </c>
      <c r="E222" s="4" t="s">
        <v>382</v>
      </c>
      <c r="F222" s="20">
        <v>3</v>
      </c>
      <c r="G222" s="20">
        <v>3</v>
      </c>
      <c r="H222" s="20">
        <f t="shared" si="15"/>
        <v>9</v>
      </c>
      <c r="I222" s="4" t="s">
        <v>875</v>
      </c>
      <c r="J222" s="4" t="s">
        <v>875</v>
      </c>
      <c r="K222" s="4"/>
      <c r="L222" s="20" t="s">
        <v>57</v>
      </c>
      <c r="M222" s="4" t="s">
        <v>1132</v>
      </c>
      <c r="N222" s="4"/>
      <c r="O222" s="4"/>
      <c r="P222" s="4"/>
      <c r="Q222" s="18"/>
    </row>
    <row r="223" spans="1:17" s="19" customFormat="1" ht="15.6">
      <c r="A223" s="99" t="s">
        <v>1133</v>
      </c>
      <c r="B223" s="99"/>
      <c r="C223" s="99"/>
      <c r="D223" s="99"/>
      <c r="E223" s="99"/>
      <c r="F223" s="99"/>
      <c r="G223" s="99"/>
      <c r="H223" s="99"/>
      <c r="I223" s="99"/>
      <c r="J223" s="99"/>
      <c r="K223" s="99"/>
      <c r="L223" s="99"/>
      <c r="M223" s="99"/>
      <c r="N223" s="99"/>
      <c r="O223" s="99"/>
      <c r="P223" s="99"/>
      <c r="Q223" s="18"/>
    </row>
    <row r="224" spans="1:17" s="19" customFormat="1" ht="72">
      <c r="A224" s="17" t="s">
        <v>1134</v>
      </c>
      <c r="B224" s="17" t="s">
        <v>1135</v>
      </c>
      <c r="C224" s="17" t="s">
        <v>1136</v>
      </c>
      <c r="D224" s="17" t="s">
        <v>1137</v>
      </c>
      <c r="E224" s="17" t="s">
        <v>454</v>
      </c>
      <c r="F224" s="20">
        <v>5</v>
      </c>
      <c r="G224" s="20">
        <v>1</v>
      </c>
      <c r="H224" s="20">
        <f t="shared" ref="H224:H230" si="16">F224*G224</f>
        <v>5</v>
      </c>
      <c r="I224" s="17"/>
      <c r="J224" s="17"/>
      <c r="K224" s="60" t="s">
        <v>22</v>
      </c>
      <c r="L224" s="20" t="s">
        <v>23</v>
      </c>
      <c r="M224" s="4" t="s">
        <v>1138</v>
      </c>
      <c r="N224" s="4"/>
      <c r="O224" s="17"/>
      <c r="P224" s="17"/>
      <c r="Q224" s="18"/>
    </row>
    <row r="225" spans="1:17" s="3" customFormat="1" ht="28.9">
      <c r="A225" s="17" t="s">
        <v>1139</v>
      </c>
      <c r="B225" s="17" t="s">
        <v>1140</v>
      </c>
      <c r="C225" s="17" t="s">
        <v>1141</v>
      </c>
      <c r="D225" s="17" t="s">
        <v>1142</v>
      </c>
      <c r="E225" s="17" t="s">
        <v>460</v>
      </c>
      <c r="F225" s="20">
        <v>3</v>
      </c>
      <c r="G225" s="20">
        <v>4</v>
      </c>
      <c r="H225" s="20">
        <f t="shared" si="16"/>
        <v>12</v>
      </c>
      <c r="I225" s="17" t="s">
        <v>875</v>
      </c>
      <c r="J225" s="17"/>
      <c r="K225" s="60" t="s">
        <v>22</v>
      </c>
      <c r="L225" s="20" t="s">
        <v>23</v>
      </c>
      <c r="M225" s="4" t="s">
        <v>1143</v>
      </c>
      <c r="N225" s="4"/>
      <c r="O225" s="17"/>
      <c r="P225" s="17"/>
      <c r="Q225"/>
    </row>
    <row r="226" spans="1:17" s="3" customFormat="1" ht="43.15">
      <c r="A226" s="4" t="s">
        <v>1144</v>
      </c>
      <c r="B226" s="4" t="s">
        <v>1145</v>
      </c>
      <c r="C226" s="4" t="s">
        <v>1146</v>
      </c>
      <c r="D226" s="4" t="s">
        <v>1147</v>
      </c>
      <c r="E226" s="4" t="s">
        <v>1148</v>
      </c>
      <c r="F226" s="20">
        <v>1</v>
      </c>
      <c r="G226" s="20">
        <v>1</v>
      </c>
      <c r="H226" s="20">
        <f t="shared" si="16"/>
        <v>1</v>
      </c>
      <c r="I226" s="4"/>
      <c r="J226" s="4"/>
      <c r="K226" s="48" t="s">
        <v>22</v>
      </c>
      <c r="L226" s="20" t="s">
        <v>23</v>
      </c>
      <c r="M226" s="4" t="s">
        <v>1149</v>
      </c>
      <c r="N226" s="4"/>
      <c r="O226" s="4"/>
      <c r="P226" s="4"/>
      <c r="Q226"/>
    </row>
    <row r="227" spans="1:17" s="19" customFormat="1" ht="43.15">
      <c r="A227" s="4" t="s">
        <v>1150</v>
      </c>
      <c r="B227" s="4" t="s">
        <v>115</v>
      </c>
      <c r="C227" s="4" t="s">
        <v>1151</v>
      </c>
      <c r="D227" s="4" t="s">
        <v>1152</v>
      </c>
      <c r="E227" s="4"/>
      <c r="F227" s="20">
        <v>3</v>
      </c>
      <c r="G227" s="20">
        <v>3</v>
      </c>
      <c r="H227" s="20">
        <f t="shared" si="16"/>
        <v>9</v>
      </c>
      <c r="I227" s="4" t="s">
        <v>875</v>
      </c>
      <c r="J227" s="4"/>
      <c r="K227" s="48" t="s">
        <v>22</v>
      </c>
      <c r="L227" s="20" t="s">
        <v>1153</v>
      </c>
      <c r="M227" s="4" t="s">
        <v>1154</v>
      </c>
      <c r="N227" s="4"/>
      <c r="O227" s="4"/>
      <c r="P227" s="4"/>
      <c r="Q227" s="18"/>
    </row>
    <row r="228" spans="1:17" s="3" customFormat="1" ht="43.15">
      <c r="A228" s="17" t="s">
        <v>1155</v>
      </c>
      <c r="B228" s="17" t="s">
        <v>1156</v>
      </c>
      <c r="C228" s="17" t="s">
        <v>1157</v>
      </c>
      <c r="D228" s="17" t="s">
        <v>1158</v>
      </c>
      <c r="E228" s="17" t="s">
        <v>1159</v>
      </c>
      <c r="F228" s="20">
        <v>4</v>
      </c>
      <c r="G228" s="20">
        <v>1</v>
      </c>
      <c r="H228" s="20">
        <f t="shared" si="16"/>
        <v>4</v>
      </c>
      <c r="I228" s="17"/>
      <c r="J228" s="17"/>
      <c r="K228" s="60" t="s">
        <v>22</v>
      </c>
      <c r="L228" s="20" t="s">
        <v>23</v>
      </c>
      <c r="M228" s="4" t="s">
        <v>1160</v>
      </c>
      <c r="N228" s="4"/>
      <c r="O228" s="17"/>
      <c r="P228" s="17"/>
      <c r="Q228"/>
    </row>
    <row r="229" spans="1:17" s="19" customFormat="1" ht="43.15">
      <c r="A229" s="4" t="s">
        <v>1148</v>
      </c>
      <c r="B229" s="4" t="s">
        <v>1161</v>
      </c>
      <c r="C229" s="4" t="s">
        <v>1162</v>
      </c>
      <c r="D229" s="4"/>
      <c r="E229" s="4"/>
      <c r="F229" s="20">
        <v>1</v>
      </c>
      <c r="G229" s="20">
        <v>4</v>
      </c>
      <c r="H229" s="20">
        <f t="shared" si="16"/>
        <v>4</v>
      </c>
      <c r="I229" s="4"/>
      <c r="J229" s="4"/>
      <c r="K229" s="48" t="s">
        <v>22</v>
      </c>
      <c r="L229" s="20" t="s">
        <v>23</v>
      </c>
      <c r="M229" s="4" t="s">
        <v>1163</v>
      </c>
      <c r="N229" s="4"/>
      <c r="O229" s="4"/>
      <c r="P229" s="4"/>
      <c r="Q229" s="18"/>
    </row>
    <row r="230" spans="1:17" s="5" customFormat="1" ht="43.15">
      <c r="A230" s="17" t="s">
        <v>1164</v>
      </c>
      <c r="B230" s="17" t="s">
        <v>782</v>
      </c>
      <c r="C230" s="17" t="s">
        <v>1165</v>
      </c>
      <c r="D230" s="17" t="s">
        <v>1166</v>
      </c>
      <c r="E230" s="17" t="s">
        <v>458</v>
      </c>
      <c r="F230" s="20">
        <v>3</v>
      </c>
      <c r="G230" s="20">
        <v>2</v>
      </c>
      <c r="H230" s="20">
        <f t="shared" si="16"/>
        <v>6</v>
      </c>
      <c r="I230" s="17" t="s">
        <v>1167</v>
      </c>
      <c r="J230" s="17"/>
      <c r="K230" s="60" t="s">
        <v>22</v>
      </c>
      <c r="L230" s="20" t="s">
        <v>57</v>
      </c>
      <c r="M230" s="4" t="s">
        <v>1168</v>
      </c>
      <c r="N230" s="4"/>
      <c r="O230" s="17"/>
      <c r="P230" s="17"/>
      <c r="Q230"/>
    </row>
    <row r="231" spans="1:17" s="19" customFormat="1" ht="15.6">
      <c r="A231" s="99" t="s">
        <v>1169</v>
      </c>
      <c r="B231" s="99"/>
      <c r="C231" s="99"/>
      <c r="D231" s="99"/>
      <c r="E231" s="99"/>
      <c r="F231" s="99"/>
      <c r="G231" s="99"/>
      <c r="H231" s="99"/>
      <c r="I231" s="99"/>
      <c r="J231" s="99"/>
      <c r="K231" s="99"/>
      <c r="L231" s="99"/>
      <c r="M231" s="99"/>
      <c r="N231" s="99"/>
      <c r="O231" s="99"/>
      <c r="P231" s="99"/>
      <c r="Q231" s="7"/>
    </row>
    <row r="232" spans="1:17" s="19" customFormat="1" ht="57.6">
      <c r="A232" s="4" t="s">
        <v>1170</v>
      </c>
      <c r="B232" s="4" t="s">
        <v>1171</v>
      </c>
      <c r="C232" s="4" t="s">
        <v>1172</v>
      </c>
      <c r="D232" s="4" t="s">
        <v>1173</v>
      </c>
      <c r="E232" s="4" t="s">
        <v>465</v>
      </c>
      <c r="F232" s="20">
        <v>4</v>
      </c>
      <c r="G232" s="20">
        <v>2</v>
      </c>
      <c r="H232" s="20">
        <f t="shared" ref="H232:H239" si="17">F232*G232</f>
        <v>8</v>
      </c>
      <c r="I232" s="4"/>
      <c r="J232" s="4"/>
      <c r="K232" s="4" t="s">
        <v>22</v>
      </c>
      <c r="L232" s="20" t="s">
        <v>23</v>
      </c>
      <c r="M232" s="4" t="s">
        <v>1174</v>
      </c>
      <c r="N232" s="4"/>
      <c r="O232" s="4"/>
      <c r="P232" s="4"/>
      <c r="Q232" s="7"/>
    </row>
    <row r="233" spans="1:17" s="3" customFormat="1" ht="43.15">
      <c r="A233" s="4" t="s">
        <v>1175</v>
      </c>
      <c r="B233" s="4" t="s">
        <v>1176</v>
      </c>
      <c r="C233" s="4" t="s">
        <v>1177</v>
      </c>
      <c r="D233" s="4" t="s">
        <v>1178</v>
      </c>
      <c r="E233" s="4" t="s">
        <v>460</v>
      </c>
      <c r="F233" s="20">
        <v>5</v>
      </c>
      <c r="G233" s="20">
        <v>4</v>
      </c>
      <c r="H233" s="20">
        <f t="shared" si="17"/>
        <v>20</v>
      </c>
      <c r="I233" s="4"/>
      <c r="J233" s="4"/>
      <c r="K233" s="4" t="s">
        <v>22</v>
      </c>
      <c r="L233" s="20" t="s">
        <v>23</v>
      </c>
      <c r="M233" s="4" t="s">
        <v>1179</v>
      </c>
      <c r="N233" s="4"/>
      <c r="O233" s="4"/>
      <c r="P233" s="4"/>
      <c r="Q233" s="7"/>
    </row>
    <row r="234" spans="1:17" s="19" customFormat="1" ht="28.9">
      <c r="A234" s="4" t="s">
        <v>1180</v>
      </c>
      <c r="B234" s="4" t="s">
        <v>1181</v>
      </c>
      <c r="C234" s="4" t="s">
        <v>1182</v>
      </c>
      <c r="D234" s="4" t="s">
        <v>1183</v>
      </c>
      <c r="E234" s="4" t="s">
        <v>465</v>
      </c>
      <c r="F234" s="20">
        <v>5</v>
      </c>
      <c r="G234" s="20">
        <v>3</v>
      </c>
      <c r="H234" s="20">
        <f t="shared" si="17"/>
        <v>15</v>
      </c>
      <c r="I234" s="4"/>
      <c r="J234" s="4"/>
      <c r="K234" s="4" t="s">
        <v>22</v>
      </c>
      <c r="L234" s="20" t="s">
        <v>23</v>
      </c>
      <c r="M234" s="4" t="s">
        <v>1184</v>
      </c>
      <c r="N234" s="4"/>
      <c r="O234" s="4"/>
      <c r="P234" s="4"/>
      <c r="Q234" s="7"/>
    </row>
    <row r="235" spans="1:17" s="3" customFormat="1" ht="28.9">
      <c r="A235" s="4" t="s">
        <v>1185</v>
      </c>
      <c r="B235" s="4" t="s">
        <v>866</v>
      </c>
      <c r="C235" s="4" t="s">
        <v>1186</v>
      </c>
      <c r="D235" s="4" t="s">
        <v>1187</v>
      </c>
      <c r="E235" s="4" t="s">
        <v>454</v>
      </c>
      <c r="F235" s="20">
        <v>4</v>
      </c>
      <c r="G235" s="20">
        <v>3</v>
      </c>
      <c r="H235" s="20">
        <f t="shared" si="17"/>
        <v>12</v>
      </c>
      <c r="I235" s="4"/>
      <c r="J235" s="4"/>
      <c r="K235" s="4" t="s">
        <v>22</v>
      </c>
      <c r="L235" s="20" t="s">
        <v>1153</v>
      </c>
      <c r="M235" s="4" t="s">
        <v>1188</v>
      </c>
      <c r="N235" s="4"/>
      <c r="O235" s="4"/>
      <c r="P235" s="4"/>
      <c r="Q235"/>
    </row>
    <row r="236" spans="1:17" s="3" customFormat="1" ht="43.15">
      <c r="A236" s="4" t="s">
        <v>1189</v>
      </c>
      <c r="B236" s="4" t="s">
        <v>1190</v>
      </c>
      <c r="C236" s="4" t="s">
        <v>1191</v>
      </c>
      <c r="D236" s="4" t="s">
        <v>1192</v>
      </c>
      <c r="E236" s="4" t="s">
        <v>465</v>
      </c>
      <c r="F236" s="20">
        <v>2</v>
      </c>
      <c r="G236" s="20">
        <v>3</v>
      </c>
      <c r="H236" s="20">
        <f t="shared" si="17"/>
        <v>6</v>
      </c>
      <c r="I236" s="4"/>
      <c r="J236" s="4"/>
      <c r="K236" s="48" t="s">
        <v>22</v>
      </c>
      <c r="L236" s="20" t="s">
        <v>1193</v>
      </c>
      <c r="M236" s="4" t="s">
        <v>1194</v>
      </c>
      <c r="N236" s="4"/>
      <c r="O236" s="4"/>
      <c r="P236" s="4"/>
      <c r="Q236" s="7"/>
    </row>
    <row r="237" spans="1:17" s="3" customFormat="1" ht="28.9">
      <c r="A237" s="4" t="s">
        <v>1195</v>
      </c>
      <c r="B237" s="4" t="s">
        <v>1196</v>
      </c>
      <c r="C237" s="4" t="s">
        <v>1197</v>
      </c>
      <c r="D237" s="4" t="s">
        <v>1198</v>
      </c>
      <c r="E237" s="4" t="s">
        <v>465</v>
      </c>
      <c r="F237" s="20">
        <v>2</v>
      </c>
      <c r="G237" s="20">
        <v>3</v>
      </c>
      <c r="H237" s="20">
        <f t="shared" si="17"/>
        <v>6</v>
      </c>
      <c r="I237" s="4"/>
      <c r="J237" s="4"/>
      <c r="K237" s="4" t="s">
        <v>22</v>
      </c>
      <c r="L237" s="20" t="s">
        <v>23</v>
      </c>
      <c r="M237" s="4" t="s">
        <v>1199</v>
      </c>
      <c r="N237" s="4"/>
      <c r="O237" s="4"/>
      <c r="P237" s="4"/>
      <c r="Q237" s="7"/>
    </row>
    <row r="238" spans="1:17" s="19" customFormat="1" ht="28.9">
      <c r="A238" s="4" t="s">
        <v>1200</v>
      </c>
      <c r="B238" s="4" t="s">
        <v>872</v>
      </c>
      <c r="C238" s="4" t="s">
        <v>1201</v>
      </c>
      <c r="D238" s="4" t="s">
        <v>1202</v>
      </c>
      <c r="E238" s="4" t="s">
        <v>465</v>
      </c>
      <c r="F238" s="20">
        <v>2</v>
      </c>
      <c r="G238" s="20">
        <v>1</v>
      </c>
      <c r="H238" s="20">
        <f t="shared" si="17"/>
        <v>2</v>
      </c>
      <c r="I238" s="4"/>
      <c r="J238" s="4"/>
      <c r="K238" s="4"/>
      <c r="L238" s="20" t="s">
        <v>23</v>
      </c>
      <c r="M238" s="4" t="s">
        <v>1203</v>
      </c>
      <c r="N238" s="4"/>
      <c r="O238" s="4"/>
      <c r="P238" s="4"/>
      <c r="Q238" s="7"/>
    </row>
    <row r="239" spans="1:17" s="6" customFormat="1" ht="28.9">
      <c r="A239" s="4" t="s">
        <v>1204</v>
      </c>
      <c r="B239" s="4" t="s">
        <v>1205</v>
      </c>
      <c r="C239" s="4" t="s">
        <v>1206</v>
      </c>
      <c r="D239" s="23" t="s">
        <v>1207</v>
      </c>
      <c r="E239" s="4" t="s">
        <v>465</v>
      </c>
      <c r="F239" s="20">
        <v>5</v>
      </c>
      <c r="G239" s="20">
        <v>2</v>
      </c>
      <c r="H239" s="20">
        <f t="shared" si="17"/>
        <v>10</v>
      </c>
      <c r="I239" s="4"/>
      <c r="J239" s="4"/>
      <c r="K239" s="4" t="s">
        <v>22</v>
      </c>
      <c r="L239" s="20" t="s">
        <v>23</v>
      </c>
      <c r="M239" s="4" t="s">
        <v>1208</v>
      </c>
      <c r="N239" s="4"/>
      <c r="O239" s="4"/>
      <c r="P239" s="4"/>
      <c r="Q239"/>
    </row>
    <row r="240" spans="1:17" s="3" customFormat="1" ht="15.6">
      <c r="A240" s="99" t="s">
        <v>1209</v>
      </c>
      <c r="B240" s="99"/>
      <c r="C240" s="99"/>
      <c r="D240" s="99"/>
      <c r="E240" s="99"/>
      <c r="F240" s="99"/>
      <c r="G240" s="99"/>
      <c r="H240" s="99"/>
      <c r="I240" s="99"/>
      <c r="J240" s="99"/>
      <c r="K240" s="99"/>
      <c r="L240" s="99"/>
      <c r="M240" s="99"/>
      <c r="N240" s="99"/>
      <c r="O240" s="99"/>
      <c r="P240" s="99"/>
      <c r="Q240"/>
    </row>
    <row r="241" spans="1:17" s="3" customFormat="1" ht="14.45">
      <c r="A241" s="4" t="s">
        <v>1210</v>
      </c>
      <c r="B241" s="4"/>
      <c r="C241" s="4"/>
      <c r="D241" s="4"/>
      <c r="E241" s="4"/>
      <c r="F241" s="20"/>
      <c r="G241" s="20"/>
      <c r="H241" s="20">
        <f t="shared" ref="H241:H245" si="18">F241*G241</f>
        <v>0</v>
      </c>
      <c r="I241" s="4"/>
      <c r="J241" s="4"/>
      <c r="K241" s="48" t="s">
        <v>22</v>
      </c>
      <c r="L241" s="4"/>
      <c r="M241" s="4"/>
      <c r="N241" s="4"/>
      <c r="O241" s="4"/>
      <c r="P241" s="4"/>
      <c r="Q241"/>
    </row>
    <row r="242" spans="1:17" s="3" customFormat="1" ht="14.45">
      <c r="A242" s="4" t="s">
        <v>1211</v>
      </c>
      <c r="B242" s="4"/>
      <c r="C242" s="4"/>
      <c r="D242" s="4"/>
      <c r="E242" s="4"/>
      <c r="F242" s="20"/>
      <c r="G242" s="20"/>
      <c r="H242" s="20">
        <f t="shared" si="18"/>
        <v>0</v>
      </c>
      <c r="I242" s="4"/>
      <c r="J242" s="4"/>
      <c r="K242" s="48" t="s">
        <v>22</v>
      </c>
      <c r="L242" s="4"/>
      <c r="M242" s="4"/>
      <c r="N242" s="4"/>
      <c r="O242" s="4"/>
      <c r="P242" s="4"/>
      <c r="Q242"/>
    </row>
    <row r="243" spans="1:17" s="3" customFormat="1" ht="14.45">
      <c r="A243" s="4" t="s">
        <v>1212</v>
      </c>
      <c r="B243" s="4"/>
      <c r="C243" s="4"/>
      <c r="D243" s="4"/>
      <c r="E243" s="4"/>
      <c r="F243" s="20"/>
      <c r="G243" s="20"/>
      <c r="H243" s="20">
        <f t="shared" si="18"/>
        <v>0</v>
      </c>
      <c r="I243" s="4"/>
      <c r="J243" s="4"/>
      <c r="K243" s="48" t="s">
        <v>22</v>
      </c>
      <c r="L243" s="4"/>
      <c r="M243" s="4"/>
      <c r="N243" s="4"/>
      <c r="O243" s="4"/>
      <c r="P243" s="4"/>
      <c r="Q243"/>
    </row>
    <row r="244" spans="1:17" s="3" customFormat="1" ht="14.45">
      <c r="A244" s="4" t="s">
        <v>1213</v>
      </c>
      <c r="B244" s="4"/>
      <c r="C244" s="4"/>
      <c r="D244" s="4"/>
      <c r="E244" s="4"/>
      <c r="F244" s="20"/>
      <c r="G244" s="20"/>
      <c r="H244" s="20">
        <f t="shared" si="18"/>
        <v>0</v>
      </c>
      <c r="I244" s="4"/>
      <c r="J244" s="4"/>
      <c r="K244" s="48" t="s">
        <v>22</v>
      </c>
      <c r="L244" s="4"/>
      <c r="M244" s="4"/>
      <c r="N244" s="4"/>
      <c r="O244" s="4"/>
      <c r="P244" s="4"/>
      <c r="Q244"/>
    </row>
    <row r="245" spans="1:17" s="3" customFormat="1" ht="14.45">
      <c r="A245" s="4" t="s">
        <v>1214</v>
      </c>
      <c r="B245" s="4"/>
      <c r="C245" s="4"/>
      <c r="D245" s="4"/>
      <c r="E245" s="4"/>
      <c r="F245" s="20"/>
      <c r="G245" s="20"/>
      <c r="H245" s="20">
        <f t="shared" si="18"/>
        <v>0</v>
      </c>
      <c r="I245" s="4"/>
      <c r="J245" s="4"/>
      <c r="K245" s="48" t="s">
        <v>22</v>
      </c>
      <c r="L245" s="4"/>
      <c r="M245" s="4"/>
      <c r="N245" s="4"/>
      <c r="O245" s="4"/>
      <c r="P245" s="4"/>
      <c r="Q245"/>
    </row>
    <row r="246" spans="1:17" s="3" customFormat="1" ht="15.6">
      <c r="A246" s="99" t="s">
        <v>1215</v>
      </c>
      <c r="B246" s="99"/>
      <c r="C246" s="99"/>
      <c r="D246" s="99"/>
      <c r="E246" s="99"/>
      <c r="F246" s="99"/>
      <c r="G246" s="99"/>
      <c r="H246" s="99"/>
      <c r="I246" s="99"/>
      <c r="J246" s="99"/>
      <c r="K246" s="99"/>
      <c r="L246" s="99"/>
      <c r="M246" s="99"/>
      <c r="N246" s="99"/>
      <c r="O246" s="99"/>
      <c r="P246" s="99"/>
      <c r="Q246"/>
    </row>
    <row r="247" spans="1:17" s="3" customFormat="1" ht="28.9">
      <c r="A247" s="10" t="s">
        <v>1216</v>
      </c>
      <c r="B247" s="10" t="s">
        <v>1217</v>
      </c>
      <c r="C247" s="28" t="s">
        <v>1218</v>
      </c>
      <c r="D247" s="10" t="s">
        <v>1219</v>
      </c>
      <c r="E247" s="10" t="s">
        <v>310</v>
      </c>
      <c r="F247" s="20">
        <v>5</v>
      </c>
      <c r="G247" s="20">
        <v>2</v>
      </c>
      <c r="H247" s="20">
        <f t="shared" ref="H247:H252" si="19">F247*G247</f>
        <v>10</v>
      </c>
      <c r="I247" s="21" t="s">
        <v>1220</v>
      </c>
      <c r="J247" s="21" t="s">
        <v>1221</v>
      </c>
      <c r="K247" s="48" t="s">
        <v>22</v>
      </c>
      <c r="L247" s="20" t="s">
        <v>57</v>
      </c>
      <c r="M247" s="4" t="s">
        <v>1222</v>
      </c>
      <c r="N247" s="4"/>
      <c r="O247" s="4"/>
      <c r="P247" s="4"/>
      <c r="Q247"/>
    </row>
    <row r="248" spans="1:17" s="3" customFormat="1" ht="28.9">
      <c r="A248" s="10" t="s">
        <v>1223</v>
      </c>
      <c r="B248" s="10" t="s">
        <v>1224</v>
      </c>
      <c r="C248" s="28" t="s">
        <v>1225</v>
      </c>
      <c r="D248" s="10" t="s">
        <v>1226</v>
      </c>
      <c r="E248" s="10" t="s">
        <v>1227</v>
      </c>
      <c r="F248" s="20">
        <v>5</v>
      </c>
      <c r="G248" s="20">
        <v>2</v>
      </c>
      <c r="H248" s="20">
        <f t="shared" si="19"/>
        <v>10</v>
      </c>
      <c r="I248" s="29" t="s">
        <v>1228</v>
      </c>
      <c r="J248" s="29" t="s">
        <v>1228</v>
      </c>
      <c r="K248" s="48" t="s">
        <v>22</v>
      </c>
      <c r="L248" s="20" t="s">
        <v>1153</v>
      </c>
      <c r="M248" s="4" t="s">
        <v>1229</v>
      </c>
      <c r="N248" s="4"/>
      <c r="O248" s="4"/>
      <c r="P248" s="4"/>
      <c r="Q248"/>
    </row>
    <row r="249" spans="1:17" s="3" customFormat="1" ht="28.9">
      <c r="A249" s="10" t="s">
        <v>1230</v>
      </c>
      <c r="B249" s="10" t="s">
        <v>1231</v>
      </c>
      <c r="C249" s="28" t="s">
        <v>1232</v>
      </c>
      <c r="D249" s="10" t="s">
        <v>1226</v>
      </c>
      <c r="E249" s="10" t="s">
        <v>1227</v>
      </c>
      <c r="F249" s="20">
        <v>5</v>
      </c>
      <c r="G249" s="20">
        <v>2</v>
      </c>
      <c r="H249" s="20">
        <f t="shared" si="19"/>
        <v>10</v>
      </c>
      <c r="I249" s="21" t="s">
        <v>1233</v>
      </c>
      <c r="J249" s="21" t="s">
        <v>1234</v>
      </c>
      <c r="K249" s="48" t="s">
        <v>22</v>
      </c>
      <c r="L249" s="20" t="s">
        <v>23</v>
      </c>
      <c r="M249" s="4" t="s">
        <v>1235</v>
      </c>
      <c r="N249" s="4"/>
      <c r="O249" s="4"/>
      <c r="P249" s="4"/>
      <c r="Q249"/>
    </row>
    <row r="250" spans="1:17" s="3" customFormat="1" ht="28.9">
      <c r="A250" s="10" t="s">
        <v>1236</v>
      </c>
      <c r="B250" s="10" t="s">
        <v>1237</v>
      </c>
      <c r="C250" s="10" t="s">
        <v>1238</v>
      </c>
      <c r="D250" s="10" t="s">
        <v>1239</v>
      </c>
      <c r="E250" s="10" t="s">
        <v>310</v>
      </c>
      <c r="F250" s="20">
        <v>5</v>
      </c>
      <c r="G250" s="20">
        <v>2</v>
      </c>
      <c r="H250" s="20">
        <f t="shared" si="19"/>
        <v>10</v>
      </c>
      <c r="I250" s="10" t="s">
        <v>97</v>
      </c>
      <c r="J250" s="10" t="s">
        <v>97</v>
      </c>
      <c r="K250" s="48"/>
      <c r="L250" s="20" t="s">
        <v>23</v>
      </c>
      <c r="M250" s="4" t="s">
        <v>1240</v>
      </c>
      <c r="N250" s="4"/>
      <c r="O250" s="4"/>
      <c r="P250" s="4"/>
      <c r="Q250"/>
    </row>
    <row r="251" spans="1:17" s="3" customFormat="1" ht="28.9">
      <c r="A251" s="10" t="s">
        <v>1241</v>
      </c>
      <c r="B251" s="10" t="s">
        <v>1242</v>
      </c>
      <c r="C251" s="10" t="s">
        <v>1243</v>
      </c>
      <c r="D251" s="10" t="s">
        <v>1244</v>
      </c>
      <c r="E251" s="10" t="s">
        <v>310</v>
      </c>
      <c r="F251" s="20">
        <v>5</v>
      </c>
      <c r="G251" s="20">
        <v>2</v>
      </c>
      <c r="H251" s="20">
        <f t="shared" si="19"/>
        <v>10</v>
      </c>
      <c r="I251" s="10" t="s">
        <v>97</v>
      </c>
      <c r="J251" s="10" t="s">
        <v>97</v>
      </c>
      <c r="K251" s="48"/>
      <c r="L251" s="20" t="s">
        <v>23</v>
      </c>
      <c r="M251" s="4" t="s">
        <v>1245</v>
      </c>
      <c r="N251" s="4"/>
      <c r="O251" s="4"/>
      <c r="P251" s="4"/>
      <c r="Q251"/>
    </row>
    <row r="252" spans="1:17" s="3" customFormat="1" ht="28.9">
      <c r="A252" s="10" t="s">
        <v>1246</v>
      </c>
      <c r="B252" s="10" t="s">
        <v>122</v>
      </c>
      <c r="C252" s="28" t="s">
        <v>1247</v>
      </c>
      <c r="D252" s="10" t="s">
        <v>1248</v>
      </c>
      <c r="E252" s="10" t="s">
        <v>92</v>
      </c>
      <c r="F252" s="20">
        <v>3</v>
      </c>
      <c r="G252" s="20">
        <v>2</v>
      </c>
      <c r="H252" s="20">
        <f t="shared" si="19"/>
        <v>6</v>
      </c>
      <c r="I252" s="21" t="s">
        <v>1249</v>
      </c>
      <c r="J252" s="21" t="s">
        <v>778</v>
      </c>
      <c r="K252" s="20" t="s">
        <v>22</v>
      </c>
      <c r="L252" s="20" t="s">
        <v>23</v>
      </c>
      <c r="M252" s="4" t="s">
        <v>1250</v>
      </c>
      <c r="N252" s="4"/>
      <c r="O252" s="4"/>
      <c r="P252" s="4"/>
      <c r="Q252"/>
    </row>
    <row r="253" spans="1:17" s="3" customFormat="1" ht="15.6">
      <c r="A253" s="99" t="s">
        <v>1251</v>
      </c>
      <c r="B253" s="99"/>
      <c r="C253" s="99"/>
      <c r="D253" s="99"/>
      <c r="E253" s="99"/>
      <c r="F253" s="99"/>
      <c r="G253" s="99"/>
      <c r="H253" s="99"/>
      <c r="I253" s="99"/>
      <c r="J253" s="99"/>
      <c r="K253" s="99"/>
      <c r="L253" s="99"/>
      <c r="M253" s="99"/>
      <c r="N253" s="99"/>
      <c r="O253" s="99"/>
      <c r="P253" s="99"/>
      <c r="Q253"/>
    </row>
    <row r="254" spans="1:17" s="3" customFormat="1" ht="43.15">
      <c r="A254" s="4" t="s">
        <v>1252</v>
      </c>
      <c r="B254" s="4" t="s">
        <v>1135</v>
      </c>
      <c r="C254" s="4" t="s">
        <v>1253</v>
      </c>
      <c r="D254" s="4" t="s">
        <v>1254</v>
      </c>
      <c r="E254" s="59" t="s">
        <v>471</v>
      </c>
      <c r="F254" s="20">
        <v>5</v>
      </c>
      <c r="G254" s="20">
        <v>1</v>
      </c>
      <c r="H254" s="20">
        <f t="shared" ref="H254:H257" si="20">F254*G254</f>
        <v>5</v>
      </c>
      <c r="I254" s="4"/>
      <c r="J254" s="4"/>
      <c r="K254" s="20"/>
      <c r="L254" s="20" t="s">
        <v>1255</v>
      </c>
      <c r="M254" s="4" t="s">
        <v>1256</v>
      </c>
      <c r="N254" s="4"/>
      <c r="O254" s="4"/>
      <c r="P254" s="4"/>
      <c r="Q254"/>
    </row>
    <row r="255" spans="1:17" s="3" customFormat="1" ht="43.15">
      <c r="A255" s="4" t="s">
        <v>1257</v>
      </c>
      <c r="B255" s="4" t="s">
        <v>1145</v>
      </c>
      <c r="C255" s="4" t="s">
        <v>1258</v>
      </c>
      <c r="D255" s="4" t="s">
        <v>1259</v>
      </c>
      <c r="E255" s="59" t="s">
        <v>471</v>
      </c>
      <c r="F255" s="20">
        <v>5</v>
      </c>
      <c r="G255" s="20">
        <v>1</v>
      </c>
      <c r="H255" s="20">
        <f t="shared" si="20"/>
        <v>5</v>
      </c>
      <c r="I255" s="4"/>
      <c r="J255" s="4"/>
      <c r="K255" s="20"/>
      <c r="L255" s="20" t="s">
        <v>23</v>
      </c>
      <c r="M255" s="4" t="s">
        <v>1260</v>
      </c>
      <c r="N255" s="4"/>
      <c r="O255" s="4"/>
      <c r="P255" s="4"/>
      <c r="Q255"/>
    </row>
    <row r="256" spans="1:17" s="3" customFormat="1" ht="43.15">
      <c r="A256" s="4" t="s">
        <v>1261</v>
      </c>
      <c r="B256" s="4" t="s">
        <v>1262</v>
      </c>
      <c r="C256" s="4" t="s">
        <v>1263</v>
      </c>
      <c r="D256" s="4" t="s">
        <v>1264</v>
      </c>
      <c r="E256" s="59" t="s">
        <v>471</v>
      </c>
      <c r="F256" s="20">
        <v>5</v>
      </c>
      <c r="G256" s="20">
        <v>1</v>
      </c>
      <c r="H256" s="20">
        <f t="shared" si="20"/>
        <v>5</v>
      </c>
      <c r="I256" s="4"/>
      <c r="J256" s="4"/>
      <c r="K256" s="20"/>
      <c r="L256" s="20" t="s">
        <v>1153</v>
      </c>
      <c r="M256" s="4" t="s">
        <v>1265</v>
      </c>
      <c r="N256" s="4"/>
      <c r="O256" s="4"/>
      <c r="P256" s="4"/>
      <c r="Q256"/>
    </row>
    <row r="257" spans="1:17" s="3" customFormat="1" ht="43.15">
      <c r="A257" s="4" t="s">
        <v>1266</v>
      </c>
      <c r="B257" s="4" t="s">
        <v>1267</v>
      </c>
      <c r="C257" s="4" t="s">
        <v>1268</v>
      </c>
      <c r="D257" s="4" t="s">
        <v>1269</v>
      </c>
      <c r="E257" s="59" t="s">
        <v>471</v>
      </c>
      <c r="F257" s="20">
        <v>5</v>
      </c>
      <c r="G257" s="20">
        <v>1</v>
      </c>
      <c r="H257" s="20">
        <f t="shared" si="20"/>
        <v>5</v>
      </c>
      <c r="I257" s="4" t="s">
        <v>875</v>
      </c>
      <c r="J257" s="4"/>
      <c r="K257" s="20"/>
      <c r="L257" s="20" t="s">
        <v>251</v>
      </c>
      <c r="M257" s="4" t="s">
        <v>1270</v>
      </c>
      <c r="N257" s="4"/>
      <c r="O257" s="4"/>
      <c r="P257" s="4"/>
      <c r="Q257"/>
    </row>
    <row r="258" spans="1:17" s="3" customFormat="1" ht="28.9">
      <c r="A258" s="4" t="s">
        <v>1271</v>
      </c>
      <c r="B258" s="4" t="s">
        <v>1272</v>
      </c>
      <c r="C258" s="4" t="s">
        <v>1273</v>
      </c>
      <c r="D258" s="4" t="s">
        <v>1274</v>
      </c>
      <c r="E258" s="59" t="s">
        <v>471</v>
      </c>
      <c r="F258" s="20">
        <v>3</v>
      </c>
      <c r="G258" s="20">
        <v>1</v>
      </c>
      <c r="H258" s="20">
        <f>F258*G258</f>
        <v>3</v>
      </c>
      <c r="I258" s="4"/>
      <c r="J258" s="4"/>
      <c r="K258" s="20"/>
      <c r="L258" s="20" t="s">
        <v>1255</v>
      </c>
      <c r="M258" s="4" t="s">
        <v>1275</v>
      </c>
      <c r="N258" s="4"/>
      <c r="O258" s="4"/>
      <c r="P258" s="4"/>
      <c r="Q258"/>
    </row>
    <row r="259" spans="1:17" s="3" customFormat="1" ht="15.6">
      <c r="A259" s="99" t="s">
        <v>1276</v>
      </c>
      <c r="B259" s="99"/>
      <c r="C259" s="99"/>
      <c r="D259" s="99"/>
      <c r="E259" s="99"/>
      <c r="F259" s="99"/>
      <c r="G259" s="99"/>
      <c r="H259" s="99"/>
      <c r="I259" s="99"/>
      <c r="J259" s="99"/>
      <c r="K259" s="99"/>
      <c r="L259" s="99"/>
      <c r="M259" s="99"/>
      <c r="N259" s="99"/>
      <c r="O259" s="99"/>
      <c r="P259" s="99"/>
      <c r="Q259"/>
    </row>
    <row r="260" spans="1:17" s="3" customFormat="1" ht="14.45">
      <c r="A260" s="4"/>
      <c r="B260" s="4"/>
      <c r="C260" s="4"/>
      <c r="D260" s="4"/>
      <c r="E260" s="4"/>
      <c r="F260" s="20"/>
      <c r="G260" s="20"/>
      <c r="H260" s="20">
        <f>F260*G260</f>
        <v>0</v>
      </c>
      <c r="I260" s="4"/>
      <c r="J260" s="4"/>
      <c r="K260" s="20"/>
      <c r="L260" s="4"/>
      <c r="M260" s="4"/>
      <c r="N260" s="4"/>
      <c r="O260" s="4"/>
      <c r="P260" s="4"/>
      <c r="Q260"/>
    </row>
    <row r="261" spans="1:17" s="3" customFormat="1" ht="17.45">
      <c r="A261" s="100" t="s">
        <v>1277</v>
      </c>
      <c r="B261" s="100"/>
      <c r="C261" s="100"/>
      <c r="D261" s="100"/>
      <c r="E261" s="100"/>
      <c r="F261" s="100"/>
      <c r="G261" s="100"/>
      <c r="H261" s="100"/>
      <c r="I261" s="100"/>
      <c r="J261" s="100"/>
      <c r="K261" s="100"/>
      <c r="L261" s="100"/>
      <c r="M261" s="100"/>
      <c r="N261" s="100"/>
      <c r="O261" s="100"/>
      <c r="P261" s="100"/>
      <c r="Q261"/>
    </row>
    <row r="262" spans="1:17" s="3" customFormat="1" ht="14.45">
      <c r="A262" s="4"/>
      <c r="B262" s="4"/>
      <c r="C262" s="4"/>
      <c r="D262" s="4"/>
      <c r="E262" s="4"/>
      <c r="F262" s="20"/>
      <c r="G262" s="20"/>
      <c r="H262" s="20"/>
      <c r="I262" s="4"/>
      <c r="J262" s="4"/>
      <c r="K262" s="4"/>
      <c r="L262" s="4"/>
      <c r="M262" s="4"/>
      <c r="N262" s="4"/>
      <c r="O262" s="4"/>
      <c r="P262" s="4"/>
      <c r="Q262"/>
    </row>
    <row r="263" spans="1:17" s="3" customFormat="1" ht="14.45">
      <c r="A263" s="4"/>
      <c r="B263" s="4"/>
      <c r="C263" s="4"/>
      <c r="D263" s="4"/>
      <c r="E263" s="4"/>
      <c r="F263" s="20"/>
      <c r="G263" s="20"/>
      <c r="H263" s="20"/>
      <c r="I263" s="4"/>
      <c r="J263" s="4"/>
      <c r="K263" s="4"/>
      <c r="L263" s="4"/>
      <c r="M263" s="4"/>
      <c r="N263" s="4"/>
      <c r="O263" s="4"/>
      <c r="P263" s="4"/>
      <c r="Q263"/>
    </row>
    <row r="264" spans="1:17" s="3" customFormat="1" ht="14.45">
      <c r="A264" s="101"/>
      <c r="B264" s="101"/>
      <c r="C264" s="101"/>
      <c r="D264" s="101"/>
      <c r="E264" s="101"/>
      <c r="F264" s="101"/>
      <c r="G264" s="101"/>
      <c r="H264" s="101"/>
      <c r="I264" s="101"/>
      <c r="J264" s="101"/>
      <c r="K264" s="101"/>
      <c r="L264" s="101"/>
      <c r="M264" s="101"/>
      <c r="N264" s="101"/>
      <c r="O264" s="101"/>
      <c r="P264" s="101"/>
      <c r="Q264"/>
    </row>
    <row r="265" spans="1:17" s="3" customFormat="1" ht="17.45">
      <c r="A265" s="100" t="s">
        <v>1278</v>
      </c>
      <c r="B265" s="100"/>
      <c r="C265" s="100"/>
      <c r="D265" s="100"/>
      <c r="E265" s="100"/>
      <c r="F265" s="100"/>
      <c r="G265" s="100"/>
      <c r="H265" s="100"/>
      <c r="I265" s="100"/>
      <c r="J265" s="100"/>
      <c r="K265" s="100"/>
      <c r="L265" s="100"/>
      <c r="M265" s="100"/>
      <c r="N265" s="100"/>
      <c r="O265" s="100"/>
      <c r="P265" s="100"/>
      <c r="Q265"/>
    </row>
    <row r="266" spans="1:17" s="3" customFormat="1" ht="14.45">
      <c r="F266" s="24"/>
      <c r="G266" s="24"/>
      <c r="H266" s="24"/>
      <c r="Q266"/>
    </row>
    <row r="267" spans="1:17" s="3" customFormat="1" ht="14.45">
      <c r="F267" s="24"/>
      <c r="G267" s="24"/>
      <c r="H267" s="24"/>
      <c r="Q267"/>
    </row>
    <row r="268" spans="1:17" s="3" customFormat="1" ht="14.45">
      <c r="F268" s="24"/>
      <c r="G268" s="24"/>
      <c r="H268" s="24"/>
      <c r="Q268"/>
    </row>
    <row r="269" spans="1:17" s="3" customFormat="1" thickBot="1">
      <c r="F269" s="24"/>
      <c r="G269" s="24"/>
      <c r="H269" s="24"/>
      <c r="Q269"/>
    </row>
    <row r="270" spans="1:17" s="3" customFormat="1" thickBot="1">
      <c r="C270" s="76" t="s">
        <v>1279</v>
      </c>
      <c r="D270" s="77">
        <f>H271/H297</f>
        <v>4.7619047619047616E-2</v>
      </c>
      <c r="F270" s="24"/>
      <c r="G270" s="41" t="s">
        <v>1280</v>
      </c>
      <c r="H270" s="41" t="s">
        <v>1281</v>
      </c>
      <c r="Q270"/>
    </row>
    <row r="271" spans="1:17" s="3" customFormat="1" ht="28.9">
      <c r="C271" s="105" t="s">
        <v>1282</v>
      </c>
      <c r="D271" s="106"/>
      <c r="F271" s="90" t="s">
        <v>1283</v>
      </c>
      <c r="G271" s="96">
        <v>0</v>
      </c>
      <c r="H271" s="13">
        <f t="shared" ref="H271:H296" si="21">COUNTIF(H$1:H$265,G271)</f>
        <v>11</v>
      </c>
      <c r="Q271"/>
    </row>
    <row r="272" spans="1:17" s="3" customFormat="1" ht="14.45">
      <c r="C272" s="78" t="s">
        <v>1284</v>
      </c>
      <c r="D272" s="79">
        <f>H302/H297</f>
        <v>0.21212121212121213</v>
      </c>
      <c r="F272" s="103"/>
      <c r="G272" s="97">
        <v>1</v>
      </c>
      <c r="H272" s="13">
        <f t="shared" si="21"/>
        <v>3</v>
      </c>
      <c r="Q272"/>
    </row>
    <row r="273" spans="3:17" s="3" customFormat="1" ht="14.45">
      <c r="C273" s="80" t="s">
        <v>1285</v>
      </c>
      <c r="D273" s="82">
        <f>H303/H297</f>
        <v>0.61038961038961037</v>
      </c>
      <c r="F273" s="103"/>
      <c r="G273" s="97">
        <v>2</v>
      </c>
      <c r="H273" s="13">
        <f t="shared" si="21"/>
        <v>8</v>
      </c>
      <c r="Q273"/>
    </row>
    <row r="274" spans="3:17" s="3" customFormat="1" thickBot="1">
      <c r="C274" s="81" t="s">
        <v>1286</v>
      </c>
      <c r="D274" s="83">
        <f>H304/H297</f>
        <v>0.12987012987012986</v>
      </c>
      <c r="F274" s="103"/>
      <c r="G274" s="97">
        <v>3</v>
      </c>
      <c r="H274" s="13">
        <f t="shared" si="21"/>
        <v>12</v>
      </c>
      <c r="Q274"/>
    </row>
    <row r="275" spans="3:17" s="3" customFormat="1" ht="14.45">
      <c r="C275" s="105" t="s">
        <v>1287</v>
      </c>
      <c r="D275" s="106"/>
      <c r="F275" s="103"/>
      <c r="G275" s="97">
        <v>4</v>
      </c>
      <c r="H275" s="13">
        <f t="shared" si="21"/>
        <v>23</v>
      </c>
      <c r="Q275"/>
    </row>
    <row r="276" spans="3:17" s="3" customFormat="1" ht="14.45">
      <c r="C276" s="78" t="s">
        <v>1284</v>
      </c>
      <c r="D276" s="79">
        <f>H302/H306</f>
        <v>0.22272727272727272</v>
      </c>
      <c r="F276" s="104"/>
      <c r="G276" s="97">
        <v>5</v>
      </c>
      <c r="H276" s="13">
        <f t="shared" si="21"/>
        <v>17</v>
      </c>
      <c r="Q276"/>
    </row>
    <row r="277" spans="3:17" s="3" customFormat="1" ht="14.45">
      <c r="C277" s="80" t="s">
        <v>1285</v>
      </c>
      <c r="D277" s="82">
        <f>H303/H306</f>
        <v>0.64090909090909087</v>
      </c>
      <c r="F277" s="104"/>
      <c r="G277" s="97">
        <v>6</v>
      </c>
      <c r="H277" s="13">
        <f t="shared" si="21"/>
        <v>23</v>
      </c>
      <c r="Q277"/>
    </row>
    <row r="278" spans="3:17" s="3" customFormat="1" thickBot="1">
      <c r="C278" s="84" t="s">
        <v>1286</v>
      </c>
      <c r="D278" s="85">
        <f>H304/H306</f>
        <v>0.13636363636363635</v>
      </c>
      <c r="F278" s="104"/>
      <c r="G278" s="97">
        <v>7</v>
      </c>
      <c r="H278" s="68">
        <f t="shared" si="21"/>
        <v>0</v>
      </c>
      <c r="I278" s="107" t="s">
        <v>1288</v>
      </c>
      <c r="J278" s="108"/>
      <c r="K278" s="108"/>
      <c r="Q278"/>
    </row>
    <row r="279" spans="3:17" s="3" customFormat="1" ht="14.45">
      <c r="F279" s="104"/>
      <c r="G279" s="97">
        <v>8</v>
      </c>
      <c r="H279" s="13">
        <f t="shared" si="21"/>
        <v>32</v>
      </c>
      <c r="Q279"/>
    </row>
    <row r="280" spans="3:17" s="3" customFormat="1" ht="14.45">
      <c r="F280" s="104"/>
      <c r="G280" s="97">
        <v>9</v>
      </c>
      <c r="H280" s="13">
        <f t="shared" si="21"/>
        <v>9</v>
      </c>
      <c r="Q280"/>
    </row>
    <row r="281" spans="3:17" s="3" customFormat="1" ht="14.45">
      <c r="F281" s="104"/>
      <c r="G281" s="97">
        <v>10</v>
      </c>
      <c r="H281" s="13">
        <f t="shared" si="21"/>
        <v>43</v>
      </c>
      <c r="Q281"/>
    </row>
    <row r="282" spans="3:17" s="3" customFormat="1" ht="14.45">
      <c r="F282" s="104"/>
      <c r="G282" s="97">
        <v>11</v>
      </c>
      <c r="H282" s="68">
        <f t="shared" si="21"/>
        <v>0</v>
      </c>
      <c r="I282" s="107" t="s">
        <v>1288</v>
      </c>
      <c r="J282" s="108"/>
      <c r="K282" s="108"/>
      <c r="Q282"/>
    </row>
    <row r="283" spans="3:17" s="3" customFormat="1" ht="14.45">
      <c r="F283" s="104"/>
      <c r="G283" s="97">
        <v>12</v>
      </c>
      <c r="H283" s="13">
        <f t="shared" si="21"/>
        <v>20</v>
      </c>
      <c r="Q283"/>
    </row>
    <row r="284" spans="3:17" s="3" customFormat="1" ht="14.45" customHeight="1">
      <c r="F284" s="104"/>
      <c r="G284" s="97">
        <v>13</v>
      </c>
      <c r="H284" s="68">
        <f t="shared" si="21"/>
        <v>0</v>
      </c>
      <c r="I284" s="107" t="s">
        <v>1289</v>
      </c>
      <c r="J284" s="108"/>
      <c r="K284" s="108"/>
      <c r="Q284"/>
    </row>
    <row r="285" spans="3:17" s="3" customFormat="1" ht="14.45">
      <c r="F285" s="104"/>
      <c r="G285" s="97">
        <v>14</v>
      </c>
      <c r="H285" s="68">
        <f t="shared" si="21"/>
        <v>0</v>
      </c>
      <c r="I285" s="107"/>
      <c r="J285" s="108"/>
      <c r="K285" s="108"/>
      <c r="Q285"/>
    </row>
    <row r="286" spans="3:17" s="3" customFormat="1" ht="14.45">
      <c r="F286" s="104"/>
      <c r="G286" s="97">
        <v>15</v>
      </c>
      <c r="H286" s="13">
        <f t="shared" si="21"/>
        <v>18</v>
      </c>
      <c r="I286" s="69"/>
      <c r="Q286"/>
    </row>
    <row r="287" spans="3:17" s="3" customFormat="1" ht="14.45">
      <c r="C287" s="98">
        <f>COUNTIFS($F$1:$F$265, "1", $G$1:$G$265, "1")</f>
        <v>3</v>
      </c>
      <c r="D287" s="98" t="s">
        <v>1290</v>
      </c>
      <c r="F287" s="104"/>
      <c r="G287" s="97">
        <v>16</v>
      </c>
      <c r="H287" s="13">
        <f t="shared" si="21"/>
        <v>5</v>
      </c>
      <c r="Q287"/>
    </row>
    <row r="288" spans="3:17" s="3" customFormat="1" ht="14.45" customHeight="1">
      <c r="C288" s="98">
        <f>COUNTIFS($F$1:$F$265, "1", $G$1:$G$265, "2")</f>
        <v>0</v>
      </c>
      <c r="D288" s="98" t="s">
        <v>1291</v>
      </c>
      <c r="F288" s="104"/>
      <c r="G288" s="97">
        <v>17</v>
      </c>
      <c r="H288" s="68">
        <f t="shared" si="21"/>
        <v>0</v>
      </c>
      <c r="I288" s="107" t="s">
        <v>1292</v>
      </c>
      <c r="J288" s="108"/>
      <c r="K288" s="108"/>
      <c r="Q288"/>
    </row>
    <row r="289" spans="3:17" s="3" customFormat="1" ht="14.45">
      <c r="C289" s="98">
        <f>COUNTIFS($F$1:$F$265, "1", $G$1:$G$265, "3")</f>
        <v>0</v>
      </c>
      <c r="D289" s="98" t="s">
        <v>1293</v>
      </c>
      <c r="F289" s="104"/>
      <c r="G289" s="97">
        <v>18</v>
      </c>
      <c r="H289" s="68">
        <f t="shared" si="21"/>
        <v>0</v>
      </c>
      <c r="I289" s="107"/>
      <c r="J289" s="108"/>
      <c r="K289" s="108"/>
      <c r="Q289"/>
    </row>
    <row r="290" spans="3:17" s="3" customFormat="1" ht="14.45">
      <c r="C290" s="98">
        <f>COUNTIFS($F$1:$F$265, "1", $G$1:$G$265, "4")</f>
        <v>1</v>
      </c>
      <c r="D290" s="98" t="s">
        <v>1294</v>
      </c>
      <c r="F290" s="104"/>
      <c r="G290" s="97">
        <v>19</v>
      </c>
      <c r="H290" s="68">
        <f t="shared" si="21"/>
        <v>0</v>
      </c>
      <c r="I290" s="107"/>
      <c r="J290" s="108"/>
      <c r="K290" s="108"/>
      <c r="Q290"/>
    </row>
    <row r="291" spans="3:17" s="3" customFormat="1" ht="14.45">
      <c r="C291" s="98">
        <f>COUNTIFS($F$1:$F$265, "1", $G$1:$G$265, "5")</f>
        <v>0</v>
      </c>
      <c r="D291" s="98" t="s">
        <v>1295</v>
      </c>
      <c r="F291" s="104"/>
      <c r="G291" s="97">
        <v>20</v>
      </c>
      <c r="H291" s="13">
        <f t="shared" si="21"/>
        <v>7</v>
      </c>
      <c r="I291" s="69"/>
      <c r="Q291"/>
    </row>
    <row r="292" spans="3:17" s="3" customFormat="1" ht="14.45">
      <c r="C292" s="98">
        <f>COUNTIFS($F$1:$F$265, "2", $G$1:$G$265, "1")</f>
        <v>8</v>
      </c>
      <c r="D292" s="98" t="s">
        <v>1296</v>
      </c>
      <c r="F292" s="104"/>
      <c r="G292" s="97">
        <v>21</v>
      </c>
      <c r="H292" s="68">
        <f t="shared" si="21"/>
        <v>0</v>
      </c>
      <c r="I292" s="107" t="s">
        <v>1297</v>
      </c>
      <c r="J292" s="108"/>
      <c r="K292" s="108"/>
      <c r="Q292"/>
    </row>
    <row r="293" spans="3:17" s="3" customFormat="1" ht="14.45">
      <c r="C293" s="98">
        <f>COUNTIFS($F$1:$F$265, "2", $G$1:$G$265, "2")</f>
        <v>5</v>
      </c>
      <c r="D293" s="98" t="s">
        <v>1298</v>
      </c>
      <c r="F293" s="104"/>
      <c r="G293" s="97">
        <v>22</v>
      </c>
      <c r="H293" s="68">
        <f t="shared" si="21"/>
        <v>0</v>
      </c>
      <c r="I293" s="107"/>
      <c r="J293" s="108"/>
      <c r="K293" s="108"/>
      <c r="Q293"/>
    </row>
    <row r="294" spans="3:17" s="3" customFormat="1" ht="14.45">
      <c r="C294" s="98">
        <f>COUNTIFS($F$1:$F$265, "2", $G$1:$G$265, "3")</f>
        <v>3</v>
      </c>
      <c r="D294" s="98" t="s">
        <v>1299</v>
      </c>
      <c r="F294" s="104"/>
      <c r="G294" s="97">
        <v>23</v>
      </c>
      <c r="H294" s="68">
        <f t="shared" si="21"/>
        <v>0</v>
      </c>
      <c r="I294" s="107"/>
      <c r="J294" s="108"/>
      <c r="K294" s="108"/>
      <c r="Q294"/>
    </row>
    <row r="295" spans="3:17" s="3" customFormat="1" ht="14.45" customHeight="1">
      <c r="C295" s="92">
        <f>COUNTIFS($F$1:$F$265, "2", $G$1:$G$265, "4")</f>
        <v>0</v>
      </c>
      <c r="D295" s="92" t="s">
        <v>1300</v>
      </c>
      <c r="F295" s="104"/>
      <c r="G295" s="97">
        <v>24</v>
      </c>
      <c r="H295" s="68">
        <f t="shared" si="21"/>
        <v>0</v>
      </c>
      <c r="I295" s="107"/>
      <c r="J295" s="108"/>
      <c r="K295" s="108"/>
      <c r="Q295"/>
    </row>
    <row r="296" spans="3:17" s="3" customFormat="1" ht="14.45">
      <c r="C296" s="92">
        <f>COUNTIFS($F$1:$F$265, "2", $G$1:$G$265, "5")</f>
        <v>0</v>
      </c>
      <c r="D296" s="92" t="s">
        <v>1301</v>
      </c>
      <c r="F296" s="104"/>
      <c r="G296" s="97">
        <v>25</v>
      </c>
      <c r="H296" s="13">
        <f t="shared" si="21"/>
        <v>0</v>
      </c>
      <c r="Q296"/>
    </row>
    <row r="297" spans="3:17" s="3" customFormat="1" ht="14.45">
      <c r="C297" s="98">
        <f>COUNTIFS($F$1:$F$265, "3", $G$1:$G$265, "1")</f>
        <v>12</v>
      </c>
      <c r="D297" s="98" t="s">
        <v>1302</v>
      </c>
      <c r="F297" s="24">
        <f>SUM(F272:F296)</f>
        <v>0</v>
      </c>
      <c r="G297" s="24"/>
      <c r="H297" s="24">
        <f>SUM(H271:H296)</f>
        <v>231</v>
      </c>
      <c r="Q297"/>
    </row>
    <row r="298" spans="3:17" s="3" customFormat="1" ht="14.45">
      <c r="C298" s="92">
        <f>COUNTIFS($F$1:$F$265, "3", $G$1:$G$265, "2")</f>
        <v>20</v>
      </c>
      <c r="D298" s="92" t="s">
        <v>1303</v>
      </c>
      <c r="F298" s="24"/>
      <c r="G298" s="24"/>
      <c r="H298" s="24"/>
      <c r="Q298"/>
    </row>
    <row r="299" spans="3:17" s="3" customFormat="1" ht="14.45">
      <c r="C299" s="92">
        <f>COUNTIFS($F$1:$F$265, "3", $G$1:$G$265, "3")</f>
        <v>9</v>
      </c>
      <c r="D299" s="92" t="s">
        <v>1304</v>
      </c>
      <c r="F299" s="24"/>
      <c r="G299" s="24"/>
      <c r="H299" s="24"/>
      <c r="Q299"/>
    </row>
    <row r="300" spans="3:17" s="3" customFormat="1" ht="14.45">
      <c r="C300" s="92">
        <f>COUNTIFS($F$1:$F$265, "3", $G$1:$G$265, "4")</f>
        <v>2</v>
      </c>
      <c r="D300" s="92" t="s">
        <v>1305</v>
      </c>
      <c r="F300" s="24"/>
      <c r="G300" s="24"/>
      <c r="H300" s="24"/>
      <c r="Q300"/>
    </row>
    <row r="301" spans="3:17" s="3" customFormat="1" ht="14.45">
      <c r="C301" s="93">
        <f>COUNTIFS($F$1:$F$265, "3", $G$1:$G$265, "5")</f>
        <v>0</v>
      </c>
      <c r="D301" s="93" t="s">
        <v>1306</v>
      </c>
      <c r="F301" s="24"/>
      <c r="G301" s="24"/>
      <c r="H301" s="24"/>
      <c r="Q301"/>
    </row>
    <row r="302" spans="3:17" s="3" customFormat="1" ht="14.45">
      <c r="C302" s="98">
        <f>COUNTIFS($F$1:$F$265, "4", $G$1:$G$265, "1")</f>
        <v>17</v>
      </c>
      <c r="D302" s="98" t="s">
        <v>1307</v>
      </c>
      <c r="G302" s="94" t="s">
        <v>1308</v>
      </c>
      <c r="H302" s="95">
        <f>C287+C290+C292+C293+C297+C294+C302</f>
        <v>49</v>
      </c>
      <c r="Q302"/>
    </row>
    <row r="303" spans="3:17" s="3" customFormat="1" ht="14.45">
      <c r="C303" s="92">
        <f>COUNTIFS($F$1:$F$265, "4", $G$1:$G$265, "2")</f>
        <v>32</v>
      </c>
      <c r="D303" s="92" t="s">
        <v>1309</v>
      </c>
      <c r="G303" s="92" t="s">
        <v>1310</v>
      </c>
      <c r="H303" s="73">
        <f>C298+C299+C300+C303+C304+C308+C307</f>
        <v>141</v>
      </c>
      <c r="Q303"/>
    </row>
    <row r="304" spans="3:17" s="3" customFormat="1" ht="14.45">
      <c r="C304" s="92">
        <f>COUNTIFS($F$1:$F$265, "4", $G$1:$G$265, "3")</f>
        <v>18</v>
      </c>
      <c r="D304" s="92" t="s">
        <v>1311</v>
      </c>
      <c r="G304" s="93" t="s">
        <v>1312</v>
      </c>
      <c r="H304" s="74">
        <f>C305+C309+C310</f>
        <v>30</v>
      </c>
      <c r="Q304"/>
    </row>
    <row r="305" spans="3:17" s="3" customFormat="1" ht="14.45">
      <c r="C305" s="93">
        <f>COUNTIFS($F$1:$F$265, "4", $G$1:$G$265, "4")</f>
        <v>5</v>
      </c>
      <c r="D305" s="93" t="s">
        <v>1313</v>
      </c>
      <c r="F305" s="24"/>
      <c r="G305" s="24"/>
      <c r="H305" s="24"/>
      <c r="Q305"/>
    </row>
    <row r="306" spans="3:17" s="3" customFormat="1" ht="14.45">
      <c r="C306" s="93">
        <f>COUNTIFS($F$1:$F$265, "4", $G$1:$G$265, "5")</f>
        <v>0</v>
      </c>
      <c r="D306" s="93" t="s">
        <v>1314</v>
      </c>
      <c r="F306" s="24"/>
      <c r="G306" s="24" t="s">
        <v>1315</v>
      </c>
      <c r="H306" s="24">
        <f>SUM(H302:H304)</f>
        <v>220</v>
      </c>
      <c r="Q306"/>
    </row>
    <row r="307" spans="3:17" s="3" customFormat="1" ht="14.45">
      <c r="C307" s="92">
        <f>COUNTIFS($F$1:$F$265, "5", $G$1:$G$265, "1")</f>
        <v>17</v>
      </c>
      <c r="D307" s="92" t="s">
        <v>1316</v>
      </c>
      <c r="F307" s="24"/>
      <c r="G307" s="24"/>
      <c r="H307" s="24"/>
      <c r="Q307"/>
    </row>
    <row r="308" spans="3:17" s="3" customFormat="1" ht="14.45">
      <c r="C308" s="92">
        <f>COUNTIFS($F$1:$F$265, "5", $G$1:$G$265, "2")</f>
        <v>43</v>
      </c>
      <c r="D308" s="92" t="s">
        <v>1317</v>
      </c>
      <c r="F308" s="24"/>
      <c r="G308" s="24"/>
      <c r="H308" s="24"/>
      <c r="Q308"/>
    </row>
    <row r="309" spans="3:17" s="3" customFormat="1" ht="14.45">
      <c r="C309" s="93">
        <f>COUNTIFS($F$1:$F$265, "5", $G$1:$G$265, "3")</f>
        <v>18</v>
      </c>
      <c r="D309" s="93" t="s">
        <v>1318</v>
      </c>
      <c r="F309" s="24"/>
      <c r="G309" s="24"/>
      <c r="H309" s="24"/>
      <c r="Q309"/>
    </row>
    <row r="310" spans="3:17" s="3" customFormat="1" ht="14.45">
      <c r="C310" s="93">
        <f>COUNTIFS($F$1:$F$265, "5", $G$1:$G$265, "4")</f>
        <v>7</v>
      </c>
      <c r="D310" s="93" t="s">
        <v>1319</v>
      </c>
      <c r="F310" s="24"/>
      <c r="G310" s="24"/>
      <c r="H310" s="24"/>
      <c r="Q310"/>
    </row>
    <row r="311" spans="3:17" s="3" customFormat="1" ht="14.45">
      <c r="C311" s="93">
        <f>COUNTIFS($F$1:$F$265, "5", $G$1:$G$265, "5")</f>
        <v>0</v>
      </c>
      <c r="D311" s="93" t="s">
        <v>1320</v>
      </c>
      <c r="F311" s="24"/>
      <c r="G311" s="24"/>
      <c r="H311" s="24"/>
      <c r="Q311"/>
    </row>
    <row r="312" spans="3:17" s="3" customFormat="1" ht="14.45">
      <c r="C312" s="3">
        <f>SUM(C287:C310)</f>
        <v>220</v>
      </c>
      <c r="F312" s="24"/>
      <c r="G312" s="24"/>
      <c r="H312" s="24"/>
      <c r="Q312"/>
    </row>
    <row r="313" spans="3:17" s="3" customFormat="1" ht="14.45">
      <c r="F313" s="24"/>
      <c r="G313" s="24"/>
      <c r="H313" s="24"/>
      <c r="Q313"/>
    </row>
    <row r="314" spans="3:17" s="3" customFormat="1" ht="14.45">
      <c r="F314" s="24"/>
      <c r="G314" s="24"/>
      <c r="H314" s="24"/>
      <c r="Q314"/>
    </row>
    <row r="315" spans="3:17" s="3" customFormat="1" ht="14.45">
      <c r="F315" s="24"/>
      <c r="G315" s="24"/>
      <c r="H315" s="24"/>
      <c r="Q315"/>
    </row>
    <row r="316" spans="3:17" s="3" customFormat="1" ht="14.45">
      <c r="F316" s="24"/>
      <c r="G316" s="24"/>
      <c r="H316" s="24"/>
      <c r="Q316"/>
    </row>
    <row r="317" spans="3:17" s="3" customFormat="1" ht="14.45">
      <c r="F317" s="24"/>
      <c r="G317" s="24"/>
      <c r="H317" s="24"/>
      <c r="Q317"/>
    </row>
    <row r="318" spans="3:17" s="3" customFormat="1" ht="14.45">
      <c r="F318" s="24"/>
      <c r="G318" s="24"/>
      <c r="H318" s="24"/>
      <c r="Q318"/>
    </row>
    <row r="319" spans="3:17" s="3" customFormat="1" ht="14.45">
      <c r="F319" s="24"/>
      <c r="G319" s="24"/>
      <c r="H319" s="24"/>
      <c r="Q319"/>
    </row>
    <row r="320" spans="3:17" s="3" customFormat="1" ht="14.45">
      <c r="F320" s="24"/>
      <c r="G320" s="24"/>
      <c r="H320" s="24"/>
      <c r="Q320"/>
    </row>
    <row r="321" spans="6:17" s="3" customFormat="1" ht="14.45">
      <c r="F321" s="24"/>
      <c r="G321" s="24"/>
      <c r="H321" s="24"/>
      <c r="Q321"/>
    </row>
    <row r="322" spans="6:17" s="3" customFormat="1" ht="14.45">
      <c r="F322" s="24"/>
      <c r="G322" s="24"/>
      <c r="H322" s="24"/>
      <c r="Q322"/>
    </row>
    <row r="323" spans="6:17" s="3" customFormat="1" ht="14.45">
      <c r="F323" s="24"/>
      <c r="G323" s="24"/>
      <c r="H323" s="24"/>
      <c r="Q323"/>
    </row>
    <row r="324" spans="6:17" s="3" customFormat="1" ht="14.45">
      <c r="F324" s="24"/>
      <c r="G324" s="24"/>
      <c r="H324" s="24"/>
      <c r="Q324"/>
    </row>
    <row r="325" spans="6:17" s="3" customFormat="1" ht="14.45">
      <c r="F325" s="24"/>
      <c r="G325" s="24"/>
      <c r="H325" s="24"/>
      <c r="Q325"/>
    </row>
    <row r="326" spans="6:17" s="3" customFormat="1" ht="14.45">
      <c r="F326" s="24"/>
      <c r="G326" s="24"/>
      <c r="H326" s="24"/>
      <c r="Q326"/>
    </row>
    <row r="327" spans="6:17" s="3" customFormat="1" ht="14.45">
      <c r="F327" s="24"/>
      <c r="G327" s="24"/>
      <c r="H327" s="24"/>
      <c r="Q327"/>
    </row>
    <row r="328" spans="6:17" s="3" customFormat="1" ht="14.45">
      <c r="F328" s="24"/>
      <c r="G328" s="24"/>
      <c r="H328" s="24"/>
      <c r="Q328"/>
    </row>
    <row r="329" spans="6:17" s="3" customFormat="1" ht="14.45">
      <c r="F329" s="24"/>
      <c r="G329" s="24"/>
      <c r="H329" s="24"/>
      <c r="Q329"/>
    </row>
    <row r="330" spans="6:17" s="3" customFormat="1" ht="14.45">
      <c r="F330" s="24"/>
      <c r="G330" s="24"/>
      <c r="H330" s="24"/>
      <c r="Q330"/>
    </row>
    <row r="331" spans="6:17" s="3" customFormat="1" ht="14.45">
      <c r="F331" s="24"/>
      <c r="G331" s="24"/>
      <c r="H331" s="24"/>
      <c r="Q331"/>
    </row>
    <row r="332" spans="6:17" s="3" customFormat="1" ht="14.45">
      <c r="F332" s="24"/>
      <c r="G332" s="24"/>
      <c r="H332" s="24"/>
      <c r="Q332"/>
    </row>
    <row r="333" spans="6:17" s="3" customFormat="1" ht="14.45">
      <c r="F333" s="24"/>
      <c r="G333" s="24"/>
      <c r="H333" s="24"/>
      <c r="Q333"/>
    </row>
    <row r="334" spans="6:17" s="3" customFormat="1" ht="14.45">
      <c r="F334" s="24"/>
      <c r="G334" s="24"/>
      <c r="H334" s="24"/>
      <c r="Q334"/>
    </row>
    <row r="335" spans="6:17" s="3" customFormat="1" ht="14.45">
      <c r="F335" s="24"/>
      <c r="G335" s="24"/>
      <c r="H335" s="24"/>
      <c r="Q335"/>
    </row>
    <row r="336" spans="6:17" s="3" customFormat="1" ht="14.45">
      <c r="F336" s="24"/>
      <c r="G336" s="24"/>
      <c r="H336" s="24"/>
      <c r="Q336"/>
    </row>
    <row r="337" spans="6:17" s="3" customFormat="1" ht="14.45">
      <c r="F337" s="24"/>
      <c r="G337" s="24"/>
      <c r="H337" s="24"/>
      <c r="Q337"/>
    </row>
    <row r="338" spans="6:17" s="3" customFormat="1" ht="14.45">
      <c r="F338" s="24"/>
      <c r="G338" s="24"/>
      <c r="H338" s="24"/>
      <c r="Q338"/>
    </row>
    <row r="339" spans="6:17" s="3" customFormat="1" ht="14.45">
      <c r="F339" s="24"/>
      <c r="G339" s="24"/>
      <c r="H339" s="24"/>
      <c r="Q339"/>
    </row>
    <row r="340" spans="6:17" s="3" customFormat="1" ht="14.45">
      <c r="F340" s="24"/>
      <c r="G340" s="24"/>
      <c r="H340" s="24"/>
      <c r="Q340"/>
    </row>
    <row r="341" spans="6:17" s="3" customFormat="1" ht="14.45">
      <c r="F341" s="24"/>
      <c r="G341" s="24"/>
      <c r="H341" s="24"/>
      <c r="Q341"/>
    </row>
    <row r="342" spans="6:17" s="3" customFormat="1" ht="14.45">
      <c r="F342" s="24"/>
      <c r="G342" s="24"/>
      <c r="H342" s="24"/>
      <c r="Q342"/>
    </row>
    <row r="343" spans="6:17" s="3" customFormat="1" ht="14.45">
      <c r="F343" s="24"/>
      <c r="G343" s="24"/>
      <c r="H343" s="24"/>
      <c r="Q343"/>
    </row>
    <row r="344" spans="6:17" s="3" customFormat="1" ht="14.45">
      <c r="F344" s="24"/>
      <c r="G344" s="24"/>
      <c r="H344" s="24"/>
      <c r="Q344"/>
    </row>
    <row r="345" spans="6:17" s="3" customFormat="1" ht="14.45">
      <c r="F345" s="24"/>
      <c r="G345" s="24"/>
      <c r="H345" s="24"/>
      <c r="Q345"/>
    </row>
    <row r="346" spans="6:17" s="3" customFormat="1" ht="14.45">
      <c r="F346" s="24"/>
      <c r="G346" s="24"/>
      <c r="H346" s="24"/>
      <c r="Q346"/>
    </row>
    <row r="347" spans="6:17" s="3" customFormat="1" ht="14.45">
      <c r="F347" s="24"/>
      <c r="G347" s="24"/>
      <c r="H347" s="24"/>
      <c r="Q347"/>
    </row>
    <row r="348" spans="6:17" s="3" customFormat="1" ht="14.45">
      <c r="F348" s="24"/>
      <c r="G348" s="24"/>
      <c r="H348" s="24"/>
      <c r="Q348"/>
    </row>
    <row r="349" spans="6:17" s="3" customFormat="1" ht="14.45">
      <c r="F349" s="24"/>
      <c r="G349" s="24"/>
      <c r="H349" s="24"/>
      <c r="Q349"/>
    </row>
    <row r="350" spans="6:17" s="3" customFormat="1" ht="14.45">
      <c r="F350" s="24"/>
      <c r="G350" s="24"/>
      <c r="H350" s="24"/>
      <c r="Q350"/>
    </row>
    <row r="351" spans="6:17" s="3" customFormat="1" ht="14.45">
      <c r="F351" s="24"/>
      <c r="G351" s="24"/>
      <c r="H351" s="24"/>
      <c r="Q351"/>
    </row>
    <row r="352" spans="6:17" s="3" customFormat="1" ht="14.45">
      <c r="F352" s="24"/>
      <c r="G352" s="24"/>
      <c r="H352" s="24"/>
      <c r="Q352"/>
    </row>
    <row r="353" spans="6:17" s="3" customFormat="1" ht="14.45">
      <c r="F353" s="24"/>
      <c r="G353" s="24"/>
      <c r="H353" s="24"/>
      <c r="Q353"/>
    </row>
    <row r="354" spans="6:17" s="3" customFormat="1" ht="14.45">
      <c r="F354" s="24"/>
      <c r="G354" s="24"/>
      <c r="H354" s="24"/>
      <c r="Q354"/>
    </row>
    <row r="355" spans="6:17" s="3" customFormat="1" ht="14.45">
      <c r="F355" s="24"/>
      <c r="G355" s="24"/>
      <c r="H355" s="24"/>
      <c r="Q355"/>
    </row>
    <row r="356" spans="6:17" s="3" customFormat="1" ht="14.45">
      <c r="F356" s="24"/>
      <c r="G356" s="24"/>
      <c r="H356" s="24"/>
      <c r="Q356"/>
    </row>
    <row r="357" spans="6:17" s="3" customFormat="1" ht="14.45">
      <c r="F357" s="24"/>
      <c r="G357" s="24"/>
      <c r="H357" s="24"/>
      <c r="Q357"/>
    </row>
    <row r="358" spans="6:17" s="3" customFormat="1" ht="14.45">
      <c r="F358" s="24"/>
      <c r="G358" s="24"/>
      <c r="H358" s="24"/>
      <c r="Q358"/>
    </row>
    <row r="359" spans="6:17" s="3" customFormat="1" ht="14.45">
      <c r="F359" s="24"/>
      <c r="G359" s="24"/>
      <c r="H359" s="24"/>
      <c r="Q359"/>
    </row>
    <row r="360" spans="6:17" s="3" customFormat="1" ht="14.45">
      <c r="F360" s="24"/>
      <c r="G360" s="24"/>
      <c r="H360" s="24"/>
      <c r="Q360"/>
    </row>
    <row r="361" spans="6:17" s="3" customFormat="1" ht="14.45">
      <c r="F361" s="24"/>
      <c r="G361" s="24"/>
      <c r="H361" s="24"/>
      <c r="Q361"/>
    </row>
    <row r="362" spans="6:17" s="3" customFormat="1" ht="14.45">
      <c r="F362" s="24"/>
      <c r="G362" s="24"/>
      <c r="H362" s="24"/>
      <c r="Q362"/>
    </row>
    <row r="363" spans="6:17" s="3" customFormat="1" ht="14.45">
      <c r="F363" s="24"/>
      <c r="G363" s="24"/>
      <c r="H363" s="24"/>
      <c r="Q363"/>
    </row>
    <row r="364" spans="6:17" s="3" customFormat="1" ht="14.45">
      <c r="F364" s="24"/>
      <c r="G364" s="24"/>
      <c r="H364" s="24"/>
      <c r="Q364"/>
    </row>
    <row r="365" spans="6:17" s="3" customFormat="1" ht="14.45">
      <c r="F365" s="24"/>
      <c r="G365" s="24"/>
      <c r="H365" s="24"/>
      <c r="Q365"/>
    </row>
    <row r="366" spans="6:17" s="3" customFormat="1" ht="14.45">
      <c r="F366" s="24"/>
      <c r="G366" s="24"/>
      <c r="H366" s="24"/>
      <c r="Q366"/>
    </row>
    <row r="367" spans="6:17" s="3" customFormat="1" ht="14.45">
      <c r="F367" s="24"/>
      <c r="G367" s="24"/>
      <c r="H367" s="24"/>
      <c r="Q367"/>
    </row>
    <row r="368" spans="6:17" s="3" customFormat="1" ht="14.45">
      <c r="F368" s="24"/>
      <c r="G368" s="24"/>
      <c r="H368" s="24"/>
      <c r="Q368"/>
    </row>
    <row r="369" spans="6:17" s="3" customFormat="1" ht="14.45">
      <c r="F369" s="24"/>
      <c r="G369" s="24"/>
      <c r="H369" s="24"/>
      <c r="Q369"/>
    </row>
    <row r="370" spans="6:17" s="3" customFormat="1" ht="14.45">
      <c r="F370" s="24"/>
      <c r="G370" s="24"/>
      <c r="H370" s="24"/>
      <c r="Q370"/>
    </row>
    <row r="371" spans="6:17" s="3" customFormat="1" ht="14.45">
      <c r="F371" s="24"/>
      <c r="G371" s="24"/>
      <c r="H371" s="24"/>
      <c r="Q371"/>
    </row>
    <row r="372" spans="6:17" s="3" customFormat="1" ht="14.45">
      <c r="F372" s="24"/>
      <c r="G372" s="24"/>
      <c r="H372" s="24"/>
      <c r="Q372"/>
    </row>
    <row r="373" spans="6:17" s="3" customFormat="1" ht="14.45">
      <c r="F373" s="24"/>
      <c r="G373" s="24"/>
      <c r="H373" s="24"/>
      <c r="Q373"/>
    </row>
    <row r="374" spans="6:17" s="3" customFormat="1" ht="14.45">
      <c r="F374" s="24"/>
      <c r="G374" s="24"/>
      <c r="H374" s="24"/>
      <c r="Q374"/>
    </row>
    <row r="375" spans="6:17" s="3" customFormat="1" ht="14.45">
      <c r="F375" s="24"/>
      <c r="G375" s="24"/>
      <c r="H375" s="24"/>
      <c r="Q375"/>
    </row>
    <row r="376" spans="6:17" s="3" customFormat="1" ht="14.45">
      <c r="F376" s="24"/>
      <c r="G376" s="24"/>
      <c r="H376" s="24"/>
      <c r="Q376"/>
    </row>
    <row r="377" spans="6:17" s="3" customFormat="1" ht="14.45">
      <c r="F377" s="24"/>
      <c r="G377" s="24"/>
      <c r="H377" s="24"/>
      <c r="Q377"/>
    </row>
    <row r="378" spans="6:17" s="3" customFormat="1" ht="14.45">
      <c r="F378" s="24"/>
      <c r="G378" s="24"/>
      <c r="H378" s="24"/>
      <c r="Q378"/>
    </row>
    <row r="379" spans="6:17" s="3" customFormat="1" ht="14.45">
      <c r="F379" s="24"/>
      <c r="G379" s="24"/>
      <c r="H379" s="24"/>
      <c r="Q379"/>
    </row>
    <row r="380" spans="6:17" s="3" customFormat="1" ht="14.45">
      <c r="F380" s="24"/>
      <c r="G380" s="24"/>
      <c r="H380" s="24"/>
      <c r="Q380"/>
    </row>
    <row r="381" spans="6:17" s="3" customFormat="1" ht="14.45">
      <c r="F381" s="24"/>
      <c r="G381" s="24"/>
      <c r="H381" s="24"/>
      <c r="Q381"/>
    </row>
    <row r="382" spans="6:17" s="3" customFormat="1" ht="14.45">
      <c r="F382" s="24"/>
      <c r="G382" s="24"/>
      <c r="H382" s="24"/>
      <c r="Q382"/>
    </row>
    <row r="383" spans="6:17" s="3" customFormat="1" ht="14.45">
      <c r="F383" s="24"/>
      <c r="G383" s="24"/>
      <c r="H383" s="24"/>
      <c r="Q383"/>
    </row>
    <row r="384" spans="6:17" s="3" customFormat="1" ht="14.45">
      <c r="F384" s="24"/>
      <c r="G384" s="24"/>
      <c r="H384" s="24"/>
      <c r="Q384"/>
    </row>
    <row r="385" spans="6:17" s="3" customFormat="1" ht="14.45">
      <c r="F385" s="24"/>
      <c r="G385" s="24"/>
      <c r="H385" s="24"/>
      <c r="Q385"/>
    </row>
    <row r="386" spans="6:17" s="3" customFormat="1" ht="14.45">
      <c r="F386" s="24"/>
      <c r="G386" s="24"/>
      <c r="H386" s="24"/>
      <c r="Q386"/>
    </row>
    <row r="387" spans="6:17" s="3" customFormat="1" ht="14.45">
      <c r="F387" s="24"/>
      <c r="G387" s="24"/>
      <c r="H387" s="24"/>
      <c r="Q387"/>
    </row>
    <row r="388" spans="6:17" s="3" customFormat="1" ht="14.45">
      <c r="F388" s="24"/>
      <c r="G388" s="24"/>
      <c r="H388" s="24"/>
      <c r="Q388"/>
    </row>
    <row r="389" spans="6:17" s="3" customFormat="1" ht="14.45">
      <c r="F389" s="24"/>
      <c r="G389" s="24"/>
      <c r="H389" s="24"/>
      <c r="Q389"/>
    </row>
    <row r="390" spans="6:17" s="3" customFormat="1" ht="14.45">
      <c r="F390" s="24"/>
      <c r="G390" s="24"/>
      <c r="H390" s="24"/>
      <c r="Q390"/>
    </row>
    <row r="391" spans="6:17" s="3" customFormat="1" ht="14.45">
      <c r="F391" s="24"/>
      <c r="G391" s="24"/>
      <c r="H391" s="24"/>
      <c r="Q391"/>
    </row>
    <row r="392" spans="6:17" s="3" customFormat="1" ht="14.45">
      <c r="F392" s="24"/>
      <c r="G392" s="24"/>
      <c r="H392" s="24"/>
      <c r="Q392"/>
    </row>
    <row r="393" spans="6:17" s="3" customFormat="1" ht="14.45">
      <c r="F393" s="24"/>
      <c r="G393" s="24"/>
      <c r="H393" s="24"/>
      <c r="Q393"/>
    </row>
    <row r="394" spans="6:17" s="3" customFormat="1" ht="14.45">
      <c r="F394" s="24"/>
      <c r="G394" s="24"/>
      <c r="H394" s="24"/>
      <c r="Q394"/>
    </row>
    <row r="395" spans="6:17" s="3" customFormat="1" ht="14.45">
      <c r="F395" s="24"/>
      <c r="G395" s="24"/>
      <c r="H395" s="24"/>
      <c r="Q395"/>
    </row>
    <row r="396" spans="6:17" s="3" customFormat="1" ht="14.45">
      <c r="F396" s="24"/>
      <c r="G396" s="24"/>
      <c r="H396" s="24"/>
      <c r="Q396"/>
    </row>
    <row r="397" spans="6:17" s="3" customFormat="1" ht="14.45">
      <c r="F397" s="24"/>
      <c r="G397" s="24"/>
      <c r="H397" s="24"/>
      <c r="Q397"/>
    </row>
    <row r="398" spans="6:17" s="3" customFormat="1" ht="14.45">
      <c r="F398" s="24"/>
      <c r="G398" s="24"/>
      <c r="H398" s="24"/>
      <c r="Q398"/>
    </row>
    <row r="399" spans="6:17" s="3" customFormat="1" ht="14.45">
      <c r="F399" s="24"/>
      <c r="G399" s="24"/>
      <c r="H399" s="24"/>
      <c r="Q399"/>
    </row>
    <row r="400" spans="6:17" s="3" customFormat="1" ht="14.45">
      <c r="F400" s="24"/>
      <c r="G400" s="24"/>
      <c r="H400" s="24"/>
      <c r="Q400"/>
    </row>
    <row r="401" spans="6:17" s="3" customFormat="1" ht="14.45">
      <c r="F401" s="24"/>
      <c r="G401" s="24"/>
      <c r="H401" s="24"/>
      <c r="Q401"/>
    </row>
    <row r="402" spans="6:17" s="3" customFormat="1" ht="14.45">
      <c r="F402" s="24"/>
      <c r="G402" s="24"/>
      <c r="H402" s="24"/>
      <c r="Q402"/>
    </row>
    <row r="403" spans="6:17" s="3" customFormat="1" ht="14.45">
      <c r="F403" s="24"/>
      <c r="G403" s="24"/>
      <c r="H403" s="24"/>
      <c r="Q403"/>
    </row>
    <row r="404" spans="6:17" s="3" customFormat="1" ht="14.45">
      <c r="F404" s="24"/>
      <c r="G404" s="24"/>
      <c r="H404" s="24"/>
      <c r="Q404"/>
    </row>
    <row r="405" spans="6:17" s="3" customFormat="1" ht="14.45">
      <c r="F405" s="24"/>
      <c r="G405" s="24"/>
      <c r="H405" s="24"/>
      <c r="Q405"/>
    </row>
    <row r="406" spans="6:17" s="3" customFormat="1" ht="14.45">
      <c r="F406" s="24"/>
      <c r="G406" s="24"/>
      <c r="H406" s="24"/>
      <c r="Q406"/>
    </row>
    <row r="407" spans="6:17" s="3" customFormat="1" ht="14.45">
      <c r="F407" s="24"/>
      <c r="G407" s="24"/>
      <c r="H407" s="24"/>
      <c r="Q407"/>
    </row>
    <row r="408" spans="6:17" s="3" customFormat="1" ht="14.45">
      <c r="F408" s="24"/>
      <c r="G408" s="24"/>
      <c r="H408" s="24"/>
      <c r="Q408"/>
    </row>
    <row r="409" spans="6:17" s="3" customFormat="1" ht="14.45">
      <c r="F409" s="24"/>
      <c r="G409" s="24"/>
      <c r="H409" s="24"/>
      <c r="Q409"/>
    </row>
    <row r="410" spans="6:17" s="3" customFormat="1" ht="14.45">
      <c r="F410" s="24"/>
      <c r="G410" s="24"/>
      <c r="H410" s="24"/>
      <c r="Q410"/>
    </row>
    <row r="411" spans="6:17" s="3" customFormat="1" ht="14.45">
      <c r="F411" s="24"/>
      <c r="G411" s="24"/>
      <c r="H411" s="24"/>
      <c r="Q411"/>
    </row>
    <row r="412" spans="6:17" s="3" customFormat="1" ht="14.45">
      <c r="F412" s="24"/>
      <c r="G412" s="24"/>
      <c r="H412" s="24"/>
      <c r="Q412"/>
    </row>
    <row r="413" spans="6:17" s="3" customFormat="1" ht="14.45">
      <c r="F413" s="24"/>
      <c r="G413" s="24"/>
      <c r="H413" s="24"/>
      <c r="Q413"/>
    </row>
    <row r="414" spans="6:17" s="3" customFormat="1" ht="14.45">
      <c r="F414" s="24"/>
      <c r="G414" s="24"/>
      <c r="H414" s="24"/>
      <c r="Q414"/>
    </row>
    <row r="415" spans="6:17" s="3" customFormat="1" ht="14.45">
      <c r="F415" s="24"/>
      <c r="G415" s="24"/>
      <c r="H415" s="24"/>
      <c r="Q415"/>
    </row>
    <row r="416" spans="6:17" s="3" customFormat="1" ht="14.45">
      <c r="F416" s="24"/>
      <c r="G416" s="24"/>
      <c r="H416" s="24"/>
      <c r="Q416"/>
    </row>
    <row r="417" spans="6:17" s="3" customFormat="1" ht="14.45">
      <c r="F417" s="24"/>
      <c r="G417" s="24"/>
      <c r="H417" s="24"/>
      <c r="Q417"/>
    </row>
    <row r="418" spans="6:17" s="3" customFormat="1" ht="14.45">
      <c r="F418" s="24"/>
      <c r="G418" s="24"/>
      <c r="H418" s="24"/>
      <c r="Q418"/>
    </row>
    <row r="419" spans="6:17" s="3" customFormat="1" ht="14.45">
      <c r="F419" s="24"/>
      <c r="G419" s="24"/>
      <c r="H419" s="24"/>
      <c r="Q419"/>
    </row>
    <row r="420" spans="6:17" s="3" customFormat="1" ht="14.45">
      <c r="F420" s="24"/>
      <c r="G420" s="24"/>
      <c r="H420" s="24"/>
      <c r="Q420"/>
    </row>
    <row r="421" spans="6:17" s="3" customFormat="1" ht="14.45">
      <c r="F421" s="24"/>
      <c r="G421" s="24"/>
      <c r="H421" s="24"/>
      <c r="Q421"/>
    </row>
    <row r="422" spans="6:17" s="3" customFormat="1" ht="14.45">
      <c r="F422" s="24"/>
      <c r="G422" s="24"/>
      <c r="H422" s="24"/>
      <c r="Q422"/>
    </row>
    <row r="423" spans="6:17" s="3" customFormat="1" ht="14.45">
      <c r="F423" s="24"/>
      <c r="G423" s="24"/>
      <c r="H423" s="24"/>
      <c r="Q423"/>
    </row>
    <row r="424" spans="6:17" s="3" customFormat="1" ht="14.45">
      <c r="F424" s="24"/>
      <c r="G424" s="24"/>
      <c r="H424" s="24"/>
      <c r="Q424"/>
    </row>
    <row r="425" spans="6:17" s="3" customFormat="1" ht="14.45">
      <c r="F425" s="24"/>
      <c r="G425" s="24"/>
      <c r="H425" s="24"/>
      <c r="Q425"/>
    </row>
    <row r="426" spans="6:17" s="3" customFormat="1" ht="14.45">
      <c r="F426" s="24"/>
      <c r="G426" s="24"/>
      <c r="H426" s="24"/>
      <c r="Q426"/>
    </row>
    <row r="427" spans="6:17" s="3" customFormat="1" ht="14.45">
      <c r="F427" s="24"/>
      <c r="G427" s="24"/>
      <c r="H427" s="24"/>
      <c r="Q427"/>
    </row>
    <row r="428" spans="6:17" s="3" customFormat="1" ht="14.45">
      <c r="F428" s="24"/>
      <c r="G428" s="24"/>
      <c r="H428" s="24"/>
      <c r="Q428"/>
    </row>
    <row r="429" spans="6:17" s="3" customFormat="1" ht="14.45">
      <c r="F429" s="24"/>
      <c r="G429" s="24"/>
      <c r="H429" s="24"/>
      <c r="Q429"/>
    </row>
    <row r="430" spans="6:17" s="3" customFormat="1" ht="14.45">
      <c r="F430" s="24"/>
      <c r="G430" s="24"/>
      <c r="H430" s="24"/>
      <c r="Q430"/>
    </row>
    <row r="431" spans="6:17" s="3" customFormat="1" ht="14.45">
      <c r="F431" s="24"/>
      <c r="G431" s="24"/>
      <c r="H431" s="24"/>
      <c r="Q431"/>
    </row>
    <row r="432" spans="6:17" s="3" customFormat="1" ht="14.45">
      <c r="F432" s="24"/>
      <c r="G432" s="24"/>
      <c r="H432" s="24"/>
      <c r="Q432"/>
    </row>
    <row r="433" spans="6:17" s="3" customFormat="1" ht="14.45">
      <c r="F433" s="24"/>
      <c r="G433" s="24"/>
      <c r="H433" s="24"/>
      <c r="Q433"/>
    </row>
    <row r="434" spans="6:17" s="3" customFormat="1" ht="14.45">
      <c r="F434" s="24"/>
      <c r="G434" s="24"/>
      <c r="H434" s="24"/>
      <c r="Q434"/>
    </row>
    <row r="435" spans="6:17" s="3" customFormat="1" ht="14.45">
      <c r="F435" s="24"/>
      <c r="G435" s="24"/>
      <c r="H435" s="24"/>
      <c r="Q435"/>
    </row>
    <row r="436" spans="6:17" s="3" customFormat="1" ht="14.45">
      <c r="F436" s="24"/>
      <c r="G436" s="24"/>
      <c r="H436" s="24"/>
      <c r="Q436"/>
    </row>
    <row r="437" spans="6:17" s="3" customFormat="1" ht="14.45">
      <c r="F437" s="24"/>
      <c r="G437" s="24"/>
      <c r="H437" s="24"/>
      <c r="Q437"/>
    </row>
    <row r="438" spans="6:17" s="3" customFormat="1" ht="14.45">
      <c r="F438" s="24"/>
      <c r="G438" s="24"/>
      <c r="H438" s="24"/>
      <c r="Q438"/>
    </row>
    <row r="439" spans="6:17" s="3" customFormat="1" ht="14.45">
      <c r="F439" s="24"/>
      <c r="G439" s="24"/>
      <c r="H439" s="24"/>
      <c r="Q439"/>
    </row>
    <row r="440" spans="6:17" s="3" customFormat="1" ht="14.45">
      <c r="F440" s="24"/>
      <c r="G440" s="24"/>
      <c r="H440" s="24"/>
      <c r="Q440"/>
    </row>
    <row r="441" spans="6:17" s="3" customFormat="1" ht="14.45">
      <c r="F441" s="24"/>
      <c r="G441" s="24"/>
      <c r="H441" s="24"/>
      <c r="Q441"/>
    </row>
    <row r="442" spans="6:17" s="3" customFormat="1" ht="14.45">
      <c r="F442" s="24"/>
      <c r="G442" s="24"/>
      <c r="H442" s="24"/>
      <c r="Q442"/>
    </row>
    <row r="443" spans="6:17" s="3" customFormat="1" ht="14.45">
      <c r="F443" s="24"/>
      <c r="G443" s="24"/>
      <c r="H443" s="24"/>
      <c r="Q443"/>
    </row>
    <row r="444" spans="6:17" s="3" customFormat="1" ht="14.45">
      <c r="F444" s="24"/>
      <c r="G444" s="24"/>
      <c r="H444" s="24"/>
      <c r="Q444"/>
    </row>
    <row r="445" spans="6:17" s="3" customFormat="1" ht="14.45">
      <c r="F445" s="24"/>
      <c r="G445" s="24"/>
      <c r="H445" s="24"/>
      <c r="Q445"/>
    </row>
    <row r="446" spans="6:17" s="3" customFormat="1" ht="14.45">
      <c r="F446" s="24"/>
      <c r="G446" s="24"/>
      <c r="H446" s="24"/>
      <c r="Q446"/>
    </row>
    <row r="447" spans="6:17" s="3" customFormat="1" ht="14.45">
      <c r="F447" s="24"/>
      <c r="G447" s="24"/>
      <c r="H447" s="24"/>
      <c r="Q447"/>
    </row>
    <row r="448" spans="6:17" s="3" customFormat="1" ht="14.45">
      <c r="F448" s="24"/>
      <c r="G448" s="24"/>
      <c r="H448" s="24"/>
      <c r="Q448"/>
    </row>
    <row r="449" spans="6:17" s="3" customFormat="1" ht="14.45">
      <c r="F449" s="24"/>
      <c r="G449" s="24"/>
      <c r="H449" s="24"/>
      <c r="Q449"/>
    </row>
    <row r="450" spans="6:17" s="3" customFormat="1" ht="14.45">
      <c r="F450" s="24"/>
      <c r="G450" s="24"/>
      <c r="H450" s="24"/>
      <c r="Q450"/>
    </row>
    <row r="451" spans="6:17" s="3" customFormat="1" ht="14.45">
      <c r="F451" s="24"/>
      <c r="G451" s="24"/>
      <c r="H451" s="24"/>
      <c r="Q451"/>
    </row>
    <row r="452" spans="6:17" s="3" customFormat="1" ht="14.45">
      <c r="F452" s="24"/>
      <c r="G452" s="24"/>
      <c r="H452" s="24"/>
      <c r="Q452"/>
    </row>
    <row r="453" spans="6:17" s="3" customFormat="1" ht="14.45">
      <c r="F453" s="24"/>
      <c r="G453" s="24"/>
      <c r="H453" s="24"/>
      <c r="Q453"/>
    </row>
    <row r="454" spans="6:17" s="3" customFormat="1" ht="14.45">
      <c r="F454" s="24"/>
      <c r="G454" s="24"/>
      <c r="H454" s="24"/>
      <c r="Q454"/>
    </row>
    <row r="455" spans="6:17" s="3" customFormat="1" ht="14.45">
      <c r="F455" s="24"/>
      <c r="G455" s="24"/>
      <c r="H455" s="24"/>
      <c r="Q455"/>
    </row>
    <row r="456" spans="6:17" s="3" customFormat="1" ht="14.45">
      <c r="F456" s="24"/>
      <c r="G456" s="24"/>
      <c r="H456" s="24"/>
      <c r="Q456"/>
    </row>
    <row r="457" spans="6:17" s="3" customFormat="1" ht="14.45">
      <c r="F457" s="24"/>
      <c r="G457" s="24"/>
      <c r="H457" s="24"/>
      <c r="Q457"/>
    </row>
    <row r="458" spans="6:17" s="3" customFormat="1" ht="14.45">
      <c r="F458" s="24"/>
      <c r="G458" s="24"/>
      <c r="H458" s="24"/>
      <c r="Q458"/>
    </row>
    <row r="459" spans="6:17" s="3" customFormat="1" ht="14.45">
      <c r="F459" s="24"/>
      <c r="G459" s="24"/>
      <c r="H459" s="24"/>
      <c r="Q459"/>
    </row>
    <row r="460" spans="6:17" s="3" customFormat="1" ht="14.45">
      <c r="F460" s="24"/>
      <c r="G460" s="24"/>
      <c r="H460" s="24"/>
      <c r="Q460"/>
    </row>
    <row r="461" spans="6:17" s="3" customFormat="1" ht="14.45">
      <c r="F461" s="24"/>
      <c r="G461" s="24"/>
      <c r="H461" s="24"/>
      <c r="Q461"/>
    </row>
    <row r="462" spans="6:17" s="3" customFormat="1" ht="14.45">
      <c r="F462" s="24"/>
      <c r="G462" s="24"/>
      <c r="H462" s="24"/>
      <c r="Q462"/>
    </row>
    <row r="463" spans="6:17" s="3" customFormat="1" ht="14.45">
      <c r="F463" s="24"/>
      <c r="G463" s="24"/>
      <c r="H463" s="24"/>
      <c r="Q463"/>
    </row>
    <row r="464" spans="6:17" s="3" customFormat="1" ht="14.45">
      <c r="F464" s="24"/>
      <c r="G464" s="24"/>
      <c r="H464" s="24"/>
      <c r="Q464"/>
    </row>
    <row r="465" spans="6:17" s="3" customFormat="1" ht="14.45">
      <c r="F465" s="24"/>
      <c r="G465" s="24"/>
      <c r="H465" s="24"/>
      <c r="Q465"/>
    </row>
    <row r="466" spans="6:17" s="3" customFormat="1" ht="14.45">
      <c r="F466" s="24"/>
      <c r="G466" s="24"/>
      <c r="H466" s="24"/>
      <c r="Q466"/>
    </row>
    <row r="467" spans="6:17" s="3" customFormat="1" ht="14.45">
      <c r="F467" s="24"/>
      <c r="G467" s="24"/>
      <c r="H467" s="24"/>
      <c r="Q467"/>
    </row>
    <row r="468" spans="6:17" s="3" customFormat="1" ht="14.45">
      <c r="F468" s="24"/>
      <c r="G468" s="24"/>
      <c r="H468" s="24"/>
      <c r="Q468"/>
    </row>
    <row r="469" spans="6:17" s="3" customFormat="1" ht="14.45">
      <c r="F469" s="24"/>
      <c r="G469" s="24"/>
      <c r="H469" s="24"/>
      <c r="Q469"/>
    </row>
    <row r="470" spans="6:17" s="3" customFormat="1" ht="14.45">
      <c r="F470" s="24"/>
      <c r="G470" s="24"/>
      <c r="H470" s="24"/>
      <c r="Q470"/>
    </row>
    <row r="471" spans="6:17" s="3" customFormat="1" ht="14.45">
      <c r="F471" s="24"/>
      <c r="G471" s="24"/>
      <c r="H471" s="24"/>
      <c r="Q471"/>
    </row>
    <row r="472" spans="6:17" s="3" customFormat="1" ht="14.45">
      <c r="F472" s="24"/>
      <c r="G472" s="24"/>
      <c r="H472" s="24"/>
      <c r="Q472"/>
    </row>
    <row r="473" spans="6:17" s="3" customFormat="1" ht="14.45">
      <c r="F473" s="24"/>
      <c r="G473" s="24"/>
      <c r="H473" s="24"/>
      <c r="Q473"/>
    </row>
    <row r="474" spans="6:17" s="3" customFormat="1" ht="14.45">
      <c r="F474" s="24"/>
      <c r="G474" s="24"/>
      <c r="H474" s="24"/>
      <c r="Q474"/>
    </row>
    <row r="475" spans="6:17" s="3" customFormat="1" ht="14.45">
      <c r="F475" s="24"/>
      <c r="G475" s="24"/>
      <c r="H475" s="24"/>
      <c r="Q475"/>
    </row>
    <row r="476" spans="6:17" s="3" customFormat="1" ht="14.45">
      <c r="F476" s="24"/>
      <c r="G476" s="24"/>
      <c r="H476" s="24"/>
      <c r="Q476"/>
    </row>
    <row r="477" spans="6:17" s="3" customFormat="1" ht="14.45">
      <c r="F477" s="24"/>
      <c r="G477" s="24"/>
      <c r="H477" s="24"/>
      <c r="Q477"/>
    </row>
    <row r="478" spans="6:17" s="3" customFormat="1" ht="14.45">
      <c r="F478" s="24"/>
      <c r="G478" s="24"/>
      <c r="H478" s="24"/>
      <c r="Q478"/>
    </row>
    <row r="479" spans="6:17" s="3" customFormat="1" ht="14.45">
      <c r="F479" s="24"/>
      <c r="G479" s="24"/>
      <c r="H479" s="24"/>
      <c r="Q479"/>
    </row>
    <row r="480" spans="6:17" s="3" customFormat="1" ht="14.45">
      <c r="F480" s="24"/>
      <c r="G480" s="24"/>
      <c r="H480" s="24"/>
      <c r="Q480"/>
    </row>
    <row r="481" spans="6:17" s="3" customFormat="1" ht="14.45">
      <c r="F481" s="24"/>
      <c r="G481" s="24"/>
      <c r="H481" s="24"/>
      <c r="Q481"/>
    </row>
    <row r="482" spans="6:17" s="3" customFormat="1" ht="14.45">
      <c r="F482" s="24"/>
      <c r="G482" s="24"/>
      <c r="H482" s="24"/>
      <c r="Q482"/>
    </row>
    <row r="483" spans="6:17" s="3" customFormat="1" ht="14.45">
      <c r="F483" s="24"/>
      <c r="G483" s="24"/>
      <c r="H483" s="24"/>
      <c r="Q483"/>
    </row>
    <row r="484" spans="6:17" s="3" customFormat="1" ht="14.45">
      <c r="F484" s="24"/>
      <c r="G484" s="24"/>
      <c r="H484" s="24"/>
      <c r="Q484"/>
    </row>
    <row r="485" spans="6:17" s="3" customFormat="1" ht="14.45">
      <c r="F485" s="24"/>
      <c r="G485" s="24"/>
      <c r="H485" s="24"/>
      <c r="Q485"/>
    </row>
    <row r="486" spans="6:17" s="3" customFormat="1" ht="14.45">
      <c r="F486" s="24"/>
      <c r="G486" s="24"/>
      <c r="H486" s="24"/>
      <c r="Q486"/>
    </row>
    <row r="487" spans="6:17" s="3" customFormat="1" ht="14.45">
      <c r="F487" s="24"/>
      <c r="G487" s="24"/>
      <c r="H487" s="24"/>
      <c r="Q487"/>
    </row>
    <row r="488" spans="6:17" s="3" customFormat="1" ht="14.45">
      <c r="F488" s="24"/>
      <c r="G488" s="24"/>
      <c r="H488" s="24"/>
      <c r="Q488"/>
    </row>
    <row r="489" spans="6:17" s="3" customFormat="1" ht="14.45">
      <c r="F489" s="24"/>
      <c r="G489" s="24"/>
      <c r="H489" s="24"/>
      <c r="Q489"/>
    </row>
    <row r="490" spans="6:17" s="3" customFormat="1" ht="14.45">
      <c r="F490" s="24"/>
      <c r="G490" s="24"/>
      <c r="H490" s="24"/>
      <c r="Q490"/>
    </row>
    <row r="491" spans="6:17" s="3" customFormat="1" ht="14.45">
      <c r="F491" s="24"/>
      <c r="G491" s="24"/>
      <c r="H491" s="24"/>
      <c r="Q491"/>
    </row>
    <row r="492" spans="6:17" s="3" customFormat="1" ht="14.45">
      <c r="F492" s="24"/>
      <c r="G492" s="24"/>
      <c r="H492" s="24"/>
      <c r="Q492"/>
    </row>
    <row r="493" spans="6:17" s="3" customFormat="1" ht="14.45">
      <c r="F493" s="24"/>
      <c r="G493" s="24"/>
      <c r="H493" s="24"/>
      <c r="Q493"/>
    </row>
    <row r="494" spans="6:17" s="3" customFormat="1" ht="14.45">
      <c r="F494" s="24"/>
      <c r="G494" s="24"/>
      <c r="H494" s="24"/>
      <c r="Q494"/>
    </row>
    <row r="495" spans="6:17" s="3" customFormat="1" ht="14.45">
      <c r="F495" s="24"/>
      <c r="G495" s="24"/>
      <c r="H495" s="24"/>
      <c r="Q495"/>
    </row>
    <row r="496" spans="6:17" s="3" customFormat="1" ht="14.45">
      <c r="F496" s="24"/>
      <c r="G496" s="24"/>
      <c r="H496" s="24"/>
      <c r="Q496"/>
    </row>
    <row r="497" spans="6:17" s="3" customFormat="1" ht="14.45">
      <c r="F497" s="24"/>
      <c r="G497" s="24"/>
      <c r="H497" s="24"/>
      <c r="Q497"/>
    </row>
    <row r="498" spans="6:17" s="3" customFormat="1" ht="14.45">
      <c r="F498" s="24"/>
      <c r="G498" s="24"/>
      <c r="H498" s="24"/>
      <c r="Q498"/>
    </row>
    <row r="499" spans="6:17" s="3" customFormat="1" ht="14.45">
      <c r="F499" s="24"/>
      <c r="G499" s="24"/>
      <c r="H499" s="24"/>
      <c r="Q499"/>
    </row>
    <row r="500" spans="6:17" s="3" customFormat="1" ht="14.45">
      <c r="F500" s="24"/>
      <c r="G500" s="24"/>
      <c r="H500" s="24"/>
      <c r="Q500"/>
    </row>
    <row r="501" spans="6:17" s="3" customFormat="1" ht="14.45">
      <c r="F501" s="24"/>
      <c r="G501" s="24"/>
      <c r="H501" s="24"/>
      <c r="Q501"/>
    </row>
    <row r="502" spans="6:17" s="3" customFormat="1" ht="14.45">
      <c r="F502" s="24"/>
      <c r="G502" s="24"/>
      <c r="H502" s="24"/>
      <c r="Q502"/>
    </row>
    <row r="503" spans="6:17" s="3" customFormat="1" ht="14.45">
      <c r="F503" s="24"/>
      <c r="G503" s="24"/>
      <c r="H503" s="24"/>
      <c r="Q503"/>
    </row>
    <row r="504" spans="6:17" s="3" customFormat="1" ht="14.45">
      <c r="F504" s="24"/>
      <c r="G504" s="24"/>
      <c r="H504" s="24"/>
      <c r="Q504"/>
    </row>
    <row r="505" spans="6:17" s="3" customFormat="1" ht="14.45">
      <c r="F505" s="24"/>
      <c r="G505" s="24"/>
      <c r="H505" s="24"/>
      <c r="Q505"/>
    </row>
    <row r="506" spans="6:17" s="3" customFormat="1" ht="14.45">
      <c r="F506" s="24"/>
      <c r="G506" s="24"/>
      <c r="H506" s="24"/>
      <c r="Q506"/>
    </row>
    <row r="507" spans="6:17" s="3" customFormat="1" ht="14.45">
      <c r="F507" s="24"/>
      <c r="G507" s="24"/>
      <c r="H507" s="24"/>
      <c r="Q507"/>
    </row>
    <row r="508" spans="6:17" s="3" customFormat="1" ht="14.45">
      <c r="F508" s="24"/>
      <c r="G508" s="24"/>
      <c r="H508" s="24"/>
      <c r="Q508"/>
    </row>
    <row r="509" spans="6:17" s="3" customFormat="1" ht="14.45">
      <c r="F509" s="24"/>
      <c r="G509" s="24"/>
      <c r="H509" s="24"/>
      <c r="Q509"/>
    </row>
    <row r="510" spans="6:17" s="3" customFormat="1" ht="14.45">
      <c r="F510" s="24"/>
      <c r="G510" s="24"/>
      <c r="H510" s="24"/>
      <c r="Q510"/>
    </row>
    <row r="511" spans="6:17" s="3" customFormat="1" ht="14.45">
      <c r="F511" s="24"/>
      <c r="G511" s="24"/>
      <c r="H511" s="24"/>
      <c r="Q511"/>
    </row>
    <row r="512" spans="6:17" s="3" customFormat="1" ht="14.45">
      <c r="F512" s="24"/>
      <c r="G512" s="24"/>
      <c r="H512" s="24"/>
      <c r="Q512"/>
    </row>
    <row r="513" spans="6:17" s="3" customFormat="1" ht="14.45">
      <c r="F513" s="24"/>
      <c r="G513" s="24"/>
      <c r="H513" s="24"/>
      <c r="Q513"/>
    </row>
    <row r="514" spans="6:17" s="3" customFormat="1" ht="14.45">
      <c r="F514" s="24"/>
      <c r="G514" s="24"/>
      <c r="H514" s="24"/>
      <c r="Q514"/>
    </row>
    <row r="515" spans="6:17" s="3" customFormat="1" ht="14.45">
      <c r="F515" s="24"/>
      <c r="G515" s="24"/>
      <c r="H515" s="24"/>
      <c r="Q515"/>
    </row>
    <row r="516" spans="6:17" s="3" customFormat="1" ht="14.45">
      <c r="F516" s="24"/>
      <c r="G516" s="24"/>
      <c r="H516" s="24"/>
      <c r="Q516"/>
    </row>
    <row r="517" spans="6:17" s="3" customFormat="1" ht="14.45">
      <c r="F517" s="24"/>
      <c r="G517" s="24"/>
      <c r="H517" s="24"/>
      <c r="Q517"/>
    </row>
    <row r="518" spans="6:17" s="3" customFormat="1" ht="14.45">
      <c r="F518" s="24"/>
      <c r="G518" s="24"/>
      <c r="H518" s="24"/>
      <c r="Q518"/>
    </row>
    <row r="519" spans="6:17" s="3" customFormat="1" ht="14.45">
      <c r="F519" s="24"/>
      <c r="G519" s="24"/>
      <c r="H519" s="24"/>
      <c r="Q519"/>
    </row>
    <row r="520" spans="6:17" s="3" customFormat="1" ht="14.45">
      <c r="F520" s="24"/>
      <c r="G520" s="24"/>
      <c r="H520" s="24"/>
      <c r="Q520"/>
    </row>
    <row r="521" spans="6:17" s="3" customFormat="1" ht="14.45">
      <c r="F521" s="24"/>
      <c r="G521" s="24"/>
      <c r="H521" s="24"/>
      <c r="Q521"/>
    </row>
    <row r="522" spans="6:17" s="3" customFormat="1" ht="14.45">
      <c r="F522" s="24"/>
      <c r="G522" s="24"/>
      <c r="H522" s="24"/>
      <c r="Q522"/>
    </row>
    <row r="523" spans="6:17" s="3" customFormat="1" ht="14.45">
      <c r="F523" s="24"/>
      <c r="G523" s="24"/>
      <c r="H523" s="24"/>
      <c r="Q523"/>
    </row>
    <row r="524" spans="6:17" s="3" customFormat="1" ht="14.45">
      <c r="F524" s="24"/>
      <c r="G524" s="24"/>
      <c r="H524" s="24"/>
      <c r="Q524"/>
    </row>
    <row r="525" spans="6:17" s="3" customFormat="1" ht="14.45">
      <c r="F525" s="24"/>
      <c r="G525" s="24"/>
      <c r="H525" s="24"/>
      <c r="Q525"/>
    </row>
    <row r="526" spans="6:17" s="3" customFormat="1" ht="14.45">
      <c r="F526" s="24"/>
      <c r="G526" s="24"/>
      <c r="H526" s="24"/>
      <c r="Q526"/>
    </row>
    <row r="527" spans="6:17" s="3" customFormat="1" ht="14.45">
      <c r="F527" s="24"/>
      <c r="G527" s="24"/>
      <c r="H527" s="24"/>
      <c r="Q527"/>
    </row>
    <row r="528" spans="6:17" s="3" customFormat="1" ht="14.45">
      <c r="F528" s="24"/>
      <c r="G528" s="24"/>
      <c r="H528" s="24"/>
      <c r="Q528"/>
    </row>
    <row r="529" spans="6:17" s="3" customFormat="1" ht="14.45">
      <c r="F529" s="24"/>
      <c r="G529" s="24"/>
      <c r="H529" s="24"/>
      <c r="Q529"/>
    </row>
    <row r="530" spans="6:17" s="3" customFormat="1" ht="14.45">
      <c r="F530" s="24"/>
      <c r="G530" s="24"/>
      <c r="H530" s="24"/>
      <c r="Q530"/>
    </row>
    <row r="531" spans="6:17" s="3" customFormat="1" ht="14.45">
      <c r="F531" s="24"/>
      <c r="G531" s="24"/>
      <c r="H531" s="24"/>
      <c r="Q531"/>
    </row>
    <row r="532" spans="6:17" s="3" customFormat="1" ht="14.45">
      <c r="F532" s="24"/>
      <c r="G532" s="24"/>
      <c r="H532" s="24"/>
      <c r="Q532"/>
    </row>
    <row r="533" spans="6:17" s="3" customFormat="1" ht="14.45">
      <c r="F533" s="24"/>
      <c r="G533" s="24"/>
      <c r="H533" s="24"/>
      <c r="Q533"/>
    </row>
    <row r="534" spans="6:17" s="3" customFormat="1" ht="14.45">
      <c r="F534" s="24"/>
      <c r="G534" s="24"/>
      <c r="H534" s="24"/>
      <c r="Q534"/>
    </row>
    <row r="535" spans="6:17" s="3" customFormat="1" ht="14.45">
      <c r="F535" s="24"/>
      <c r="G535" s="24"/>
      <c r="H535" s="24"/>
      <c r="Q535"/>
    </row>
    <row r="536" spans="6:17" s="3" customFormat="1" ht="14.45">
      <c r="F536" s="24"/>
      <c r="G536" s="24"/>
      <c r="H536" s="24"/>
      <c r="Q536"/>
    </row>
    <row r="537" spans="6:17" s="3" customFormat="1" ht="14.45">
      <c r="F537" s="24"/>
      <c r="G537" s="24"/>
      <c r="H537" s="24"/>
      <c r="Q537"/>
    </row>
    <row r="538" spans="6:17" s="3" customFormat="1" ht="14.45">
      <c r="F538" s="24"/>
      <c r="G538" s="24"/>
      <c r="H538" s="24"/>
      <c r="Q538"/>
    </row>
    <row r="539" spans="6:17" s="3" customFormat="1" ht="14.45">
      <c r="F539" s="24"/>
      <c r="G539" s="24"/>
      <c r="H539" s="24"/>
      <c r="Q539"/>
    </row>
    <row r="540" spans="6:17" s="3" customFormat="1" ht="14.45">
      <c r="F540" s="24"/>
      <c r="G540" s="24"/>
      <c r="H540" s="24"/>
      <c r="Q540"/>
    </row>
    <row r="541" spans="6:17" s="3" customFormat="1" ht="14.45">
      <c r="F541" s="24"/>
      <c r="G541" s="24"/>
      <c r="H541" s="24"/>
      <c r="Q541"/>
    </row>
    <row r="542" spans="6:17" s="3" customFormat="1" ht="14.45">
      <c r="F542" s="24"/>
      <c r="G542" s="24"/>
      <c r="H542" s="24"/>
      <c r="Q542"/>
    </row>
    <row r="543" spans="6:17" s="3" customFormat="1" ht="14.45">
      <c r="F543" s="24"/>
      <c r="G543" s="24"/>
      <c r="H543" s="24"/>
      <c r="Q543"/>
    </row>
    <row r="544" spans="6:17" s="3" customFormat="1" ht="14.45">
      <c r="F544" s="24"/>
      <c r="G544" s="24"/>
      <c r="H544" s="24"/>
      <c r="Q544"/>
    </row>
    <row r="545" spans="6:17" s="3" customFormat="1" ht="14.45">
      <c r="F545" s="24"/>
      <c r="G545" s="24"/>
      <c r="H545" s="24"/>
      <c r="Q545"/>
    </row>
    <row r="546" spans="6:17" s="3" customFormat="1" ht="14.45">
      <c r="F546" s="24"/>
      <c r="G546" s="24"/>
      <c r="H546" s="24"/>
      <c r="Q546"/>
    </row>
    <row r="547" spans="6:17" s="3" customFormat="1" ht="14.45">
      <c r="F547" s="24"/>
      <c r="G547" s="24"/>
      <c r="H547" s="24"/>
      <c r="Q547"/>
    </row>
    <row r="548" spans="6:17" s="3" customFormat="1" ht="14.45">
      <c r="F548" s="24"/>
      <c r="G548" s="24"/>
      <c r="H548" s="24"/>
      <c r="Q548"/>
    </row>
    <row r="549" spans="6:17" s="3" customFormat="1" ht="14.45">
      <c r="F549" s="24"/>
      <c r="G549" s="24"/>
      <c r="H549" s="24"/>
      <c r="Q549"/>
    </row>
    <row r="550" spans="6:17" s="3" customFormat="1" ht="14.45">
      <c r="F550" s="24"/>
      <c r="G550" s="24"/>
      <c r="H550" s="24"/>
      <c r="Q550"/>
    </row>
    <row r="551" spans="6:17" s="3" customFormat="1" ht="14.45">
      <c r="F551" s="24"/>
      <c r="G551" s="24"/>
      <c r="H551" s="24"/>
      <c r="Q551"/>
    </row>
    <row r="552" spans="6:17" s="3" customFormat="1" ht="14.45">
      <c r="F552" s="24"/>
      <c r="G552" s="24"/>
      <c r="H552" s="24"/>
      <c r="Q552"/>
    </row>
    <row r="553" spans="6:17" s="3" customFormat="1" ht="14.45">
      <c r="F553" s="24"/>
      <c r="G553" s="24"/>
      <c r="H553" s="24"/>
      <c r="Q553"/>
    </row>
    <row r="554" spans="6:17" s="3" customFormat="1" ht="14.45">
      <c r="F554" s="24"/>
      <c r="G554" s="24"/>
      <c r="H554" s="24"/>
      <c r="Q554"/>
    </row>
    <row r="555" spans="6:17" s="3" customFormat="1" ht="14.45">
      <c r="F555" s="24"/>
      <c r="G555" s="24"/>
      <c r="H555" s="24"/>
      <c r="Q555"/>
    </row>
    <row r="556" spans="6:17" s="3" customFormat="1" ht="14.45">
      <c r="F556" s="24"/>
      <c r="G556" s="24"/>
      <c r="H556" s="24"/>
      <c r="Q556"/>
    </row>
    <row r="557" spans="6:17" s="3" customFormat="1" ht="14.45">
      <c r="F557" s="24"/>
      <c r="G557" s="24"/>
      <c r="H557" s="24"/>
      <c r="Q557"/>
    </row>
    <row r="558" spans="6:17" s="3" customFormat="1" ht="14.45">
      <c r="F558" s="24"/>
      <c r="G558" s="24"/>
      <c r="H558" s="24"/>
      <c r="Q558"/>
    </row>
    <row r="559" spans="6:17" s="3" customFormat="1" ht="14.45">
      <c r="F559" s="24"/>
      <c r="G559" s="24"/>
      <c r="H559" s="24"/>
      <c r="Q559"/>
    </row>
    <row r="560" spans="6:17" s="3" customFormat="1" ht="14.45">
      <c r="F560" s="24"/>
      <c r="G560" s="24"/>
      <c r="H560" s="24"/>
      <c r="Q560"/>
    </row>
    <row r="561" spans="6:17" s="3" customFormat="1" ht="14.45">
      <c r="F561" s="24"/>
      <c r="G561" s="24"/>
      <c r="H561" s="24"/>
      <c r="Q561"/>
    </row>
    <row r="562" spans="6:17" s="3" customFormat="1" ht="14.45">
      <c r="F562" s="24"/>
      <c r="G562" s="24"/>
      <c r="H562" s="24"/>
      <c r="Q562"/>
    </row>
    <row r="563" spans="6:17" s="3" customFormat="1" ht="14.45">
      <c r="F563" s="24"/>
      <c r="G563" s="24"/>
      <c r="H563" s="24"/>
      <c r="Q563"/>
    </row>
    <row r="564" spans="6:17" s="3" customFormat="1" ht="14.45">
      <c r="F564" s="24"/>
      <c r="G564" s="24"/>
      <c r="H564" s="24"/>
      <c r="Q564"/>
    </row>
    <row r="565" spans="6:17" s="3" customFormat="1" ht="14.45">
      <c r="F565" s="24"/>
      <c r="G565" s="24"/>
      <c r="H565" s="24"/>
      <c r="Q565"/>
    </row>
    <row r="566" spans="6:17" s="3" customFormat="1" ht="14.45">
      <c r="F566" s="24"/>
      <c r="G566" s="24"/>
      <c r="H566" s="24"/>
      <c r="Q566"/>
    </row>
    <row r="567" spans="6:17" s="3" customFormat="1" ht="14.45">
      <c r="F567" s="24"/>
      <c r="G567" s="24"/>
      <c r="H567" s="24"/>
      <c r="Q567"/>
    </row>
    <row r="568" spans="6:17" s="3" customFormat="1" ht="14.45">
      <c r="F568" s="24"/>
      <c r="G568" s="24"/>
      <c r="H568" s="24"/>
      <c r="Q568"/>
    </row>
    <row r="569" spans="6:17" s="3" customFormat="1" ht="14.45">
      <c r="F569" s="24"/>
      <c r="G569" s="24"/>
      <c r="H569" s="24"/>
      <c r="Q569"/>
    </row>
    <row r="570" spans="6:17" s="3" customFormat="1" ht="14.45">
      <c r="F570" s="24"/>
      <c r="G570" s="24"/>
      <c r="H570" s="24"/>
      <c r="Q570"/>
    </row>
    <row r="571" spans="6:17" s="3" customFormat="1" ht="14.45">
      <c r="F571" s="24"/>
      <c r="G571" s="24"/>
      <c r="H571" s="24"/>
      <c r="Q571"/>
    </row>
    <row r="572" spans="6:17" s="3" customFormat="1" ht="14.45">
      <c r="F572" s="24"/>
      <c r="G572" s="24"/>
      <c r="H572" s="24"/>
      <c r="Q572"/>
    </row>
    <row r="573" spans="6:17" s="3" customFormat="1" ht="14.45">
      <c r="F573" s="24"/>
      <c r="G573" s="24"/>
      <c r="H573" s="24"/>
      <c r="Q573"/>
    </row>
    <row r="574" spans="6:17" s="3" customFormat="1" ht="14.45">
      <c r="F574" s="24"/>
      <c r="G574" s="24"/>
      <c r="H574" s="24"/>
      <c r="Q574"/>
    </row>
    <row r="575" spans="6:17" s="3" customFormat="1" ht="14.45">
      <c r="F575" s="24"/>
      <c r="G575" s="24"/>
      <c r="H575" s="24"/>
      <c r="Q575"/>
    </row>
    <row r="576" spans="6:17" s="3" customFormat="1" ht="14.45">
      <c r="F576" s="24"/>
      <c r="G576" s="24"/>
      <c r="H576" s="24"/>
      <c r="Q576"/>
    </row>
    <row r="577" spans="6:17" s="3" customFormat="1" ht="14.45">
      <c r="F577" s="24"/>
      <c r="G577" s="24"/>
      <c r="H577" s="24"/>
      <c r="Q577"/>
    </row>
    <row r="578" spans="6:17" s="3" customFormat="1" ht="14.45">
      <c r="F578" s="24"/>
      <c r="G578" s="24"/>
      <c r="H578" s="24"/>
      <c r="Q578"/>
    </row>
    <row r="579" spans="6:17" s="3" customFormat="1" ht="14.45">
      <c r="F579" s="24"/>
      <c r="G579" s="24"/>
      <c r="H579" s="24"/>
      <c r="Q579"/>
    </row>
    <row r="580" spans="6:17" s="3" customFormat="1" ht="14.45">
      <c r="F580" s="24"/>
      <c r="G580" s="24"/>
      <c r="H580" s="24"/>
      <c r="Q580"/>
    </row>
    <row r="581" spans="6:17" s="3" customFormat="1" ht="14.45">
      <c r="F581" s="24"/>
      <c r="G581" s="24"/>
      <c r="H581" s="24"/>
      <c r="Q581"/>
    </row>
    <row r="582" spans="6:17" s="3" customFormat="1" ht="14.45">
      <c r="F582" s="24"/>
      <c r="G582" s="24"/>
      <c r="H582" s="24"/>
      <c r="Q582"/>
    </row>
    <row r="583" spans="6:17" s="3" customFormat="1" ht="14.45">
      <c r="F583" s="24"/>
      <c r="G583" s="24"/>
      <c r="H583" s="24"/>
      <c r="Q583"/>
    </row>
    <row r="584" spans="6:17" s="3" customFormat="1" ht="14.45">
      <c r="F584" s="24"/>
      <c r="G584" s="24"/>
      <c r="H584" s="24"/>
      <c r="Q584"/>
    </row>
    <row r="585" spans="6:17" s="3" customFormat="1" ht="14.45">
      <c r="F585" s="24"/>
      <c r="G585" s="24"/>
      <c r="H585" s="24"/>
      <c r="Q585"/>
    </row>
    <row r="586" spans="6:17" s="3" customFormat="1" ht="14.45">
      <c r="F586" s="24"/>
      <c r="G586" s="24"/>
      <c r="H586" s="24"/>
      <c r="Q586"/>
    </row>
    <row r="587" spans="6:17" s="3" customFormat="1" ht="14.45">
      <c r="F587" s="24"/>
      <c r="G587" s="24"/>
      <c r="H587" s="24"/>
      <c r="Q587"/>
    </row>
    <row r="588" spans="6:17" s="3" customFormat="1" ht="14.45">
      <c r="F588" s="24"/>
      <c r="G588" s="24"/>
      <c r="H588" s="24"/>
      <c r="Q588"/>
    </row>
    <row r="589" spans="6:17" s="3" customFormat="1" ht="14.45">
      <c r="F589" s="24"/>
      <c r="G589" s="24"/>
      <c r="H589" s="24"/>
      <c r="Q589"/>
    </row>
    <row r="590" spans="6:17" s="3" customFormat="1" ht="14.45">
      <c r="F590" s="24"/>
      <c r="G590" s="24"/>
      <c r="H590" s="24"/>
      <c r="Q590"/>
    </row>
    <row r="591" spans="6:17" s="3" customFormat="1" ht="14.45">
      <c r="F591" s="24"/>
      <c r="G591" s="24"/>
      <c r="H591" s="24"/>
      <c r="Q591"/>
    </row>
    <row r="592" spans="6:17" s="3" customFormat="1" ht="14.45">
      <c r="F592" s="24"/>
      <c r="G592" s="24"/>
      <c r="H592" s="24"/>
      <c r="Q592"/>
    </row>
    <row r="593" spans="6:17" s="3" customFormat="1" ht="14.45">
      <c r="F593" s="24"/>
      <c r="G593" s="24"/>
      <c r="H593" s="24"/>
      <c r="Q593"/>
    </row>
    <row r="594" spans="6:17" s="3" customFormat="1" ht="14.45">
      <c r="F594" s="24"/>
      <c r="G594" s="24"/>
      <c r="H594" s="24"/>
      <c r="Q594"/>
    </row>
    <row r="595" spans="6:17" s="3" customFormat="1" ht="14.45">
      <c r="F595" s="24"/>
      <c r="G595" s="24"/>
      <c r="H595" s="24"/>
      <c r="Q595"/>
    </row>
    <row r="596" spans="6:17" s="3" customFormat="1" ht="14.45">
      <c r="F596" s="24"/>
      <c r="G596" s="24"/>
      <c r="H596" s="24"/>
      <c r="Q596"/>
    </row>
    <row r="597" spans="6:17" s="3" customFormat="1" ht="14.45">
      <c r="F597" s="24"/>
      <c r="G597" s="24"/>
      <c r="H597" s="24"/>
      <c r="Q597"/>
    </row>
    <row r="598" spans="6:17" s="3" customFormat="1" ht="14.45">
      <c r="F598" s="24"/>
      <c r="G598" s="24"/>
      <c r="H598" s="24"/>
      <c r="Q598"/>
    </row>
    <row r="599" spans="6:17" s="3" customFormat="1" ht="14.45">
      <c r="F599" s="24"/>
      <c r="G599" s="24"/>
      <c r="H599" s="24"/>
      <c r="Q599"/>
    </row>
    <row r="600" spans="6:17" s="3" customFormat="1" ht="14.45">
      <c r="F600" s="24"/>
      <c r="G600" s="24"/>
      <c r="H600" s="24"/>
      <c r="Q600"/>
    </row>
    <row r="601" spans="6:17" s="3" customFormat="1" ht="14.45">
      <c r="F601" s="24"/>
      <c r="G601" s="24"/>
      <c r="H601" s="24"/>
      <c r="Q601"/>
    </row>
    <row r="602" spans="6:17" s="3" customFormat="1" ht="14.45">
      <c r="F602" s="24"/>
      <c r="G602" s="24"/>
      <c r="H602" s="24"/>
      <c r="Q602"/>
    </row>
    <row r="603" spans="6:17" s="3" customFormat="1" ht="14.45">
      <c r="F603" s="24"/>
      <c r="G603" s="24"/>
      <c r="H603" s="24"/>
      <c r="Q603"/>
    </row>
    <row r="604" spans="6:17" s="3" customFormat="1" ht="14.45">
      <c r="F604" s="24"/>
      <c r="G604" s="24"/>
      <c r="H604" s="24"/>
      <c r="Q604"/>
    </row>
    <row r="605" spans="6:17" s="3" customFormat="1" ht="14.45">
      <c r="F605" s="24"/>
      <c r="G605" s="24"/>
      <c r="H605" s="24"/>
      <c r="Q605"/>
    </row>
    <row r="606" spans="6:17" s="3" customFormat="1" ht="14.45">
      <c r="F606" s="24"/>
      <c r="G606" s="24"/>
      <c r="H606" s="24"/>
      <c r="Q606"/>
    </row>
    <row r="607" spans="6:17" s="3" customFormat="1" ht="14.45">
      <c r="F607" s="24"/>
      <c r="G607" s="24"/>
      <c r="H607" s="24"/>
      <c r="Q607"/>
    </row>
    <row r="608" spans="6:17" s="3" customFormat="1" ht="14.45">
      <c r="F608" s="24"/>
      <c r="G608" s="24"/>
      <c r="H608" s="24"/>
      <c r="Q608"/>
    </row>
    <row r="609" spans="6:17" s="3" customFormat="1" ht="14.45">
      <c r="F609" s="24"/>
      <c r="G609" s="24"/>
      <c r="H609" s="24"/>
      <c r="Q609"/>
    </row>
    <row r="610" spans="6:17" s="3" customFormat="1" ht="14.45">
      <c r="F610" s="24"/>
      <c r="G610" s="24"/>
      <c r="H610" s="24"/>
      <c r="Q610"/>
    </row>
    <row r="611" spans="6:17" s="3" customFormat="1" ht="14.45">
      <c r="F611" s="24"/>
      <c r="G611" s="24"/>
      <c r="H611" s="24"/>
      <c r="Q611"/>
    </row>
    <row r="612" spans="6:17" s="3" customFormat="1" ht="14.45">
      <c r="F612" s="24"/>
      <c r="G612" s="24"/>
      <c r="H612" s="24"/>
      <c r="Q612"/>
    </row>
    <row r="613" spans="6:17" s="3" customFormat="1" ht="14.45">
      <c r="F613" s="24"/>
      <c r="G613" s="24"/>
      <c r="H613" s="24"/>
      <c r="Q613"/>
    </row>
    <row r="614" spans="6:17" s="3" customFormat="1" ht="14.45">
      <c r="F614" s="24"/>
      <c r="G614" s="24"/>
      <c r="H614" s="24"/>
      <c r="Q614"/>
    </row>
    <row r="615" spans="6:17" s="3" customFormat="1" ht="14.45">
      <c r="F615" s="24"/>
      <c r="G615" s="24"/>
      <c r="H615" s="24"/>
      <c r="Q615"/>
    </row>
    <row r="616" spans="6:17" s="3" customFormat="1" ht="14.45">
      <c r="F616" s="24"/>
      <c r="G616" s="24"/>
      <c r="H616" s="24"/>
      <c r="Q616"/>
    </row>
    <row r="617" spans="6:17" s="3" customFormat="1" ht="14.45">
      <c r="F617" s="24"/>
      <c r="G617" s="24"/>
      <c r="H617" s="24"/>
      <c r="Q617"/>
    </row>
    <row r="618" spans="6:17" s="3" customFormat="1" ht="14.45">
      <c r="F618" s="24"/>
      <c r="G618" s="24"/>
      <c r="H618" s="24"/>
      <c r="Q618"/>
    </row>
    <row r="619" spans="6:17" s="3" customFormat="1" ht="14.45">
      <c r="F619" s="24"/>
      <c r="G619" s="24"/>
      <c r="H619" s="24"/>
      <c r="Q619"/>
    </row>
    <row r="620" spans="6:17" s="3" customFormat="1" ht="14.45">
      <c r="F620" s="24"/>
      <c r="G620" s="24"/>
      <c r="H620" s="24"/>
      <c r="Q620"/>
    </row>
    <row r="621" spans="6:17" s="3" customFormat="1" ht="14.45">
      <c r="F621" s="24"/>
      <c r="G621" s="24"/>
      <c r="H621" s="24"/>
      <c r="Q621"/>
    </row>
    <row r="622" spans="6:17" s="3" customFormat="1" ht="14.45">
      <c r="F622" s="24"/>
      <c r="G622" s="24"/>
      <c r="H622" s="24"/>
      <c r="Q622"/>
    </row>
    <row r="623" spans="6:17" s="3" customFormat="1" ht="14.45">
      <c r="F623" s="24"/>
      <c r="G623" s="24"/>
      <c r="H623" s="24"/>
      <c r="Q623"/>
    </row>
    <row r="624" spans="6:17" s="3" customFormat="1" ht="14.45">
      <c r="F624" s="24"/>
      <c r="G624" s="24"/>
      <c r="H624" s="24"/>
      <c r="Q624"/>
    </row>
    <row r="625" spans="1:17" s="3" customFormat="1" ht="14.45">
      <c r="F625" s="24"/>
      <c r="G625" s="24"/>
      <c r="H625" s="24"/>
      <c r="Q625"/>
    </row>
    <row r="626" spans="1:17" s="3" customFormat="1" ht="14.45">
      <c r="F626" s="24"/>
      <c r="G626" s="24"/>
      <c r="H626" s="24"/>
      <c r="Q626"/>
    </row>
    <row r="627" spans="1:17" s="3" customFormat="1" ht="14.45">
      <c r="F627" s="24"/>
      <c r="G627" s="24"/>
      <c r="H627" s="24"/>
      <c r="Q627"/>
    </row>
    <row r="628" spans="1:17" s="3" customFormat="1" ht="14.45">
      <c r="F628" s="24"/>
      <c r="G628" s="24"/>
      <c r="H628" s="24"/>
      <c r="Q628"/>
    </row>
    <row r="629" spans="1:17" s="3" customFormat="1" ht="14.45">
      <c r="F629" s="24"/>
      <c r="G629" s="24"/>
      <c r="H629" s="24"/>
      <c r="Q629"/>
    </row>
    <row r="630" spans="1:17" s="3" customFormat="1" ht="14.45">
      <c r="F630" s="24"/>
      <c r="G630" s="24"/>
      <c r="H630" s="24"/>
      <c r="Q630"/>
    </row>
    <row r="631" spans="1:17" s="3" customFormat="1" ht="14.45">
      <c r="F631" s="24"/>
      <c r="G631" s="24"/>
      <c r="H631" s="24"/>
      <c r="Q631"/>
    </row>
    <row r="632" spans="1:17" s="3" customFormat="1" ht="14.45">
      <c r="F632" s="24"/>
      <c r="G632" s="24"/>
      <c r="H632" s="24"/>
      <c r="Q632"/>
    </row>
    <row r="633" spans="1:17" s="3" customFormat="1" ht="14.45">
      <c r="F633" s="24"/>
      <c r="G633" s="24"/>
      <c r="H633" s="24"/>
      <c r="Q633"/>
    </row>
    <row r="634" spans="1:17" s="3" customFormat="1" ht="14.45">
      <c r="F634" s="24"/>
      <c r="G634" s="24"/>
      <c r="H634" s="24"/>
      <c r="Q634"/>
    </row>
    <row r="635" spans="1:17" s="3" customFormat="1" ht="14.45">
      <c r="F635" s="24"/>
      <c r="G635" s="24"/>
      <c r="H635" s="24"/>
      <c r="Q635"/>
    </row>
    <row r="636" spans="1:17" s="3" customFormat="1" ht="14.45">
      <c r="F636" s="24"/>
      <c r="G636" s="24"/>
      <c r="H636" s="24"/>
      <c r="Q636"/>
    </row>
    <row r="637" spans="1:17" s="3" customFormat="1" ht="14.45">
      <c r="F637" s="24"/>
      <c r="G637" s="24"/>
      <c r="H637" s="24"/>
      <c r="Q637"/>
    </row>
    <row r="638" spans="1:17" s="3" customFormat="1" ht="14.45">
      <c r="F638" s="24"/>
      <c r="G638" s="24"/>
      <c r="H638" s="24"/>
      <c r="Q638"/>
    </row>
    <row r="639" spans="1:17" s="3" customFormat="1" ht="14.45">
      <c r="F639" s="24"/>
      <c r="G639" s="24"/>
      <c r="H639" s="24"/>
      <c r="Q639"/>
    </row>
    <row r="640" spans="1:17" ht="14.45">
      <c r="A640" s="3"/>
      <c r="B640" s="3"/>
      <c r="C640" s="3"/>
      <c r="D640" s="3"/>
      <c r="E640" s="3"/>
      <c r="F640" s="24"/>
      <c r="G640" s="24"/>
      <c r="H640" s="24"/>
      <c r="I640" s="3"/>
      <c r="J640" s="3"/>
      <c r="K640" s="3"/>
      <c r="L640" s="3"/>
      <c r="M640" s="3"/>
      <c r="N640" s="3"/>
      <c r="O640" s="3"/>
      <c r="P640" s="3"/>
    </row>
    <row r="641" spans="1:16" ht="14.45">
      <c r="A641" s="3"/>
      <c r="B641" s="3"/>
      <c r="C641" s="3"/>
      <c r="D641" s="3"/>
      <c r="E641" s="3"/>
      <c r="F641" s="24"/>
      <c r="G641" s="24"/>
      <c r="H641" s="24"/>
      <c r="I641" s="3"/>
      <c r="J641" s="3"/>
      <c r="K641" s="3"/>
      <c r="L641" s="3"/>
      <c r="M641" s="3"/>
      <c r="N641" s="3"/>
      <c r="O641" s="3"/>
      <c r="P641" s="3"/>
    </row>
    <row r="642" spans="1:16" ht="14.45">
      <c r="A642" s="3"/>
      <c r="B642" s="3"/>
      <c r="C642" s="3"/>
      <c r="D642" s="3"/>
      <c r="E642" s="3"/>
      <c r="F642" s="24"/>
      <c r="G642" s="24"/>
      <c r="H642" s="24"/>
      <c r="I642" s="3"/>
      <c r="J642" s="3"/>
      <c r="K642" s="3"/>
      <c r="L642" s="3"/>
      <c r="M642" s="3"/>
      <c r="N642" s="3"/>
      <c r="O642" s="3"/>
      <c r="P642" s="3"/>
    </row>
    <row r="643" spans="1:16" ht="14.45">
      <c r="A643" s="3"/>
      <c r="B643" s="3"/>
      <c r="C643" s="3"/>
      <c r="D643" s="3"/>
      <c r="E643" s="3"/>
      <c r="F643" s="24"/>
      <c r="G643" s="24"/>
      <c r="H643" s="24"/>
      <c r="I643" s="3"/>
      <c r="J643" s="3"/>
      <c r="K643" s="3"/>
      <c r="L643" s="3"/>
      <c r="M643" s="3"/>
      <c r="N643" s="3"/>
      <c r="O643" s="3"/>
      <c r="P643" s="3"/>
    </row>
    <row r="644" spans="1:16" ht="14.45">
      <c r="A644" s="3"/>
      <c r="B644" s="3"/>
      <c r="C644" s="3"/>
      <c r="D644" s="3"/>
      <c r="E644" s="3"/>
      <c r="F644" s="24"/>
      <c r="G644" s="24"/>
      <c r="H644" s="24"/>
      <c r="I644" s="3"/>
      <c r="J644" s="3"/>
      <c r="K644" s="3"/>
      <c r="L644" s="3"/>
      <c r="M644" s="3"/>
      <c r="N644" s="3"/>
      <c r="O644" s="3"/>
      <c r="P644" s="3"/>
    </row>
    <row r="645" spans="1:16" ht="14.45">
      <c r="A645" s="3"/>
      <c r="B645" s="3"/>
      <c r="C645" s="3"/>
      <c r="D645" s="3"/>
      <c r="E645" s="3"/>
      <c r="F645" s="24"/>
      <c r="G645" s="24"/>
      <c r="H645" s="24"/>
      <c r="I645" s="3"/>
      <c r="J645" s="3"/>
      <c r="K645" s="3"/>
      <c r="L645" s="3"/>
      <c r="M645" s="3"/>
      <c r="N645" s="3"/>
      <c r="O645" s="3"/>
      <c r="P645" s="3"/>
    </row>
    <row r="646" spans="1:16" ht="14.45">
      <c r="A646" s="3"/>
      <c r="B646" s="3"/>
      <c r="C646" s="3"/>
      <c r="D646" s="3"/>
      <c r="E646" s="3"/>
      <c r="F646" s="24"/>
      <c r="G646" s="24"/>
      <c r="H646" s="24"/>
      <c r="I646" s="3"/>
      <c r="J646" s="3"/>
      <c r="K646" s="3"/>
      <c r="L646" s="3"/>
      <c r="M646" s="3"/>
      <c r="N646" s="3"/>
      <c r="O646" s="3"/>
      <c r="P646" s="3"/>
    </row>
    <row r="647" spans="1:16" ht="14.45"/>
    <row r="648" spans="1:16" ht="14.45"/>
    <row r="649" spans="1:16" ht="14.45"/>
  </sheetData>
  <sortState xmlns:xlrd2="http://schemas.microsoft.com/office/spreadsheetml/2017/richdata2" ref="J270:L294">
    <sortCondition descending="1" ref="L270:L294"/>
  </sortState>
  <mergeCells count="38">
    <mergeCell ref="I292:K295"/>
    <mergeCell ref="I288:K290"/>
    <mergeCell ref="I284:K285"/>
    <mergeCell ref="I282:K282"/>
    <mergeCell ref="I278:K278"/>
    <mergeCell ref="F272:F275"/>
    <mergeCell ref="F276:F283"/>
    <mergeCell ref="F284:F296"/>
    <mergeCell ref="C271:D271"/>
    <mergeCell ref="C275:D275"/>
    <mergeCell ref="A1:P1"/>
    <mergeCell ref="A19:P19"/>
    <mergeCell ref="A193:P193"/>
    <mergeCell ref="A204:P204"/>
    <mergeCell ref="A98:P98"/>
    <mergeCell ref="A119:P119"/>
    <mergeCell ref="A130:P130"/>
    <mergeCell ref="A159:P159"/>
    <mergeCell ref="A175:P175"/>
    <mergeCell ref="A3:P3"/>
    <mergeCell ref="A97:P97"/>
    <mergeCell ref="A95:P95"/>
    <mergeCell ref="A69:P69"/>
    <mergeCell ref="A91:P91"/>
    <mergeCell ref="A9:P9"/>
    <mergeCell ref="A20:P20"/>
    <mergeCell ref="A21:P21"/>
    <mergeCell ref="A64:P64"/>
    <mergeCell ref="A265:P265"/>
    <mergeCell ref="A214:P214"/>
    <mergeCell ref="A231:P231"/>
    <mergeCell ref="A261:P261"/>
    <mergeCell ref="A246:P246"/>
    <mergeCell ref="A240:P240"/>
    <mergeCell ref="A264:P264"/>
    <mergeCell ref="A253:P253"/>
    <mergeCell ref="A259:P259"/>
    <mergeCell ref="A223:P223"/>
  </mergeCells>
  <phoneticPr fontId="4" type="noConversion"/>
  <conditionalFormatting sqref="F10:G18 F22:G63 F65:G68 F70:G90 F131:G158 F160:G174">
    <cfRule type="cellIs" dxfId="233" priority="410" operator="equal">
      <formula>5</formula>
    </cfRule>
    <cfRule type="cellIs" dxfId="232" priority="409" operator="equal">
      <formula>4</formula>
    </cfRule>
    <cfRule type="cellIs" dxfId="231" priority="408" operator="equal">
      <formula>3</formula>
    </cfRule>
    <cfRule type="cellIs" dxfId="230" priority="407" operator="equal">
      <formula>2</formula>
    </cfRule>
    <cfRule type="cellIs" dxfId="229" priority="406" operator="equal">
      <formula>1</formula>
    </cfRule>
  </conditionalFormatting>
  <conditionalFormatting sqref="F92:G94">
    <cfRule type="cellIs" dxfId="228" priority="374" operator="equal">
      <formula>4</formula>
    </cfRule>
    <cfRule type="cellIs" dxfId="227" priority="375" operator="equal">
      <formula>5</formula>
    </cfRule>
    <cfRule type="cellIs" dxfId="226" priority="373" operator="equal">
      <formula>3</formula>
    </cfRule>
    <cfRule type="cellIs" dxfId="225" priority="372" operator="equal">
      <formula>2</formula>
    </cfRule>
    <cfRule type="cellIs" dxfId="224" priority="371" operator="equal">
      <formula>1</formula>
    </cfRule>
  </conditionalFormatting>
  <conditionalFormatting sqref="F96:G96">
    <cfRule type="cellIs" dxfId="223" priority="366" operator="equal">
      <formula>1</formula>
    </cfRule>
    <cfRule type="cellIs" dxfId="222" priority="370" operator="equal">
      <formula>5</formula>
    </cfRule>
    <cfRule type="cellIs" dxfId="221" priority="369" operator="equal">
      <formula>4</formula>
    </cfRule>
    <cfRule type="cellIs" dxfId="220" priority="368" operator="equal">
      <formula>3</formula>
    </cfRule>
    <cfRule type="cellIs" dxfId="219" priority="367" operator="equal">
      <formula>2</formula>
    </cfRule>
  </conditionalFormatting>
  <conditionalFormatting sqref="F99:G117">
    <cfRule type="cellIs" dxfId="218" priority="365" operator="equal">
      <formula>5</formula>
    </cfRule>
    <cfRule type="cellIs" dxfId="217" priority="364" operator="equal">
      <formula>4</formula>
    </cfRule>
    <cfRule type="cellIs" dxfId="216" priority="362" operator="equal">
      <formula>2</formula>
    </cfRule>
    <cfRule type="cellIs" dxfId="215" priority="363" operator="equal">
      <formula>3</formula>
    </cfRule>
    <cfRule type="cellIs" dxfId="214" priority="361" operator="equal">
      <formula>1</formula>
    </cfRule>
  </conditionalFormatting>
  <conditionalFormatting sqref="F120:G129">
    <cfRule type="cellIs" dxfId="213" priority="359" operator="equal">
      <formula>4</formula>
    </cfRule>
    <cfRule type="cellIs" dxfId="212" priority="358" operator="equal">
      <formula>3</formula>
    </cfRule>
    <cfRule type="cellIs" dxfId="211" priority="357" operator="equal">
      <formula>2</formula>
    </cfRule>
    <cfRule type="cellIs" dxfId="210" priority="356" operator="equal">
      <formula>1</formula>
    </cfRule>
    <cfRule type="cellIs" dxfId="209" priority="360" operator="equal">
      <formula>5</formula>
    </cfRule>
  </conditionalFormatting>
  <conditionalFormatting sqref="F176:G192">
    <cfRule type="cellIs" dxfId="208" priority="345" operator="equal">
      <formula>5</formula>
    </cfRule>
    <cfRule type="cellIs" dxfId="207" priority="344" operator="equal">
      <formula>4</formula>
    </cfRule>
    <cfRule type="cellIs" dxfId="206" priority="343" operator="equal">
      <formula>3</formula>
    </cfRule>
    <cfRule type="cellIs" dxfId="205" priority="342" operator="equal">
      <formula>2</formula>
    </cfRule>
    <cfRule type="cellIs" dxfId="204" priority="341" operator="equal">
      <formula>1</formula>
    </cfRule>
  </conditionalFormatting>
  <conditionalFormatting sqref="F194:G203">
    <cfRule type="cellIs" dxfId="203" priority="340" operator="equal">
      <formula>5</formula>
    </cfRule>
    <cfRule type="cellIs" dxfId="202" priority="339" operator="equal">
      <formula>4</formula>
    </cfRule>
    <cfRule type="cellIs" dxfId="201" priority="338" operator="equal">
      <formula>3</formula>
    </cfRule>
    <cfRule type="cellIs" dxfId="200" priority="337" operator="equal">
      <formula>2</formula>
    </cfRule>
    <cfRule type="cellIs" dxfId="199" priority="336" operator="equal">
      <formula>1</formula>
    </cfRule>
  </conditionalFormatting>
  <conditionalFormatting sqref="F205:G213">
    <cfRule type="cellIs" dxfId="198" priority="335" operator="equal">
      <formula>5</formula>
    </cfRule>
    <cfRule type="cellIs" dxfId="197" priority="334" operator="equal">
      <formula>4</formula>
    </cfRule>
    <cfRule type="cellIs" dxfId="196" priority="333" operator="equal">
      <formula>3</formula>
    </cfRule>
    <cfRule type="cellIs" dxfId="195" priority="332" operator="equal">
      <formula>2</formula>
    </cfRule>
    <cfRule type="cellIs" dxfId="194" priority="331" operator="equal">
      <formula>1</formula>
    </cfRule>
  </conditionalFormatting>
  <conditionalFormatting sqref="F215:G222">
    <cfRule type="cellIs" dxfId="193" priority="330" operator="equal">
      <formula>5</formula>
    </cfRule>
    <cfRule type="cellIs" dxfId="192" priority="329" operator="equal">
      <formula>4</formula>
    </cfRule>
    <cfRule type="cellIs" dxfId="191" priority="328" operator="equal">
      <formula>3</formula>
    </cfRule>
    <cfRule type="cellIs" dxfId="190" priority="327" operator="equal">
      <formula>2</formula>
    </cfRule>
    <cfRule type="cellIs" dxfId="189" priority="326" operator="equal">
      <formula>1</formula>
    </cfRule>
  </conditionalFormatting>
  <conditionalFormatting sqref="F224:G230">
    <cfRule type="cellIs" dxfId="188" priority="325" operator="equal">
      <formula>5</formula>
    </cfRule>
    <cfRule type="cellIs" dxfId="187" priority="324" operator="equal">
      <formula>4</formula>
    </cfRule>
    <cfRule type="cellIs" dxfId="186" priority="322" operator="equal">
      <formula>2</formula>
    </cfRule>
    <cfRule type="cellIs" dxfId="185" priority="321" operator="equal">
      <formula>1</formula>
    </cfRule>
    <cfRule type="cellIs" dxfId="184" priority="323" operator="equal">
      <formula>3</formula>
    </cfRule>
  </conditionalFormatting>
  <conditionalFormatting sqref="F232:G239">
    <cfRule type="cellIs" dxfId="183" priority="320" operator="equal">
      <formula>5</formula>
    </cfRule>
    <cfRule type="cellIs" dxfId="182" priority="319" operator="equal">
      <formula>4</formula>
    </cfRule>
    <cfRule type="cellIs" dxfId="181" priority="318" operator="equal">
      <formula>3</formula>
    </cfRule>
    <cfRule type="cellIs" dxfId="180" priority="317" operator="equal">
      <formula>2</formula>
    </cfRule>
    <cfRule type="cellIs" dxfId="179" priority="316" operator="equal">
      <formula>1</formula>
    </cfRule>
  </conditionalFormatting>
  <conditionalFormatting sqref="F241:G245">
    <cfRule type="cellIs" dxfId="178" priority="313" operator="equal">
      <formula>3</formula>
    </cfRule>
    <cfRule type="cellIs" dxfId="177" priority="315" operator="equal">
      <formula>5</formula>
    </cfRule>
    <cfRule type="cellIs" dxfId="176" priority="314" operator="equal">
      <formula>4</formula>
    </cfRule>
    <cfRule type="cellIs" dxfId="175" priority="312" operator="equal">
      <formula>2</formula>
    </cfRule>
    <cfRule type="cellIs" dxfId="174" priority="311" operator="equal">
      <formula>1</formula>
    </cfRule>
  </conditionalFormatting>
  <conditionalFormatting sqref="F247:G252">
    <cfRule type="cellIs" dxfId="173" priority="31" operator="equal">
      <formula>1</formula>
    </cfRule>
    <cfRule type="cellIs" dxfId="172" priority="35" operator="equal">
      <formula>5</formula>
    </cfRule>
    <cfRule type="cellIs" dxfId="171" priority="34" operator="equal">
      <formula>4</formula>
    </cfRule>
    <cfRule type="cellIs" dxfId="170" priority="33" operator="equal">
      <formula>3</formula>
    </cfRule>
    <cfRule type="cellIs" dxfId="169" priority="32" operator="equal">
      <formula>2</formula>
    </cfRule>
  </conditionalFormatting>
  <conditionalFormatting sqref="F254:G258">
    <cfRule type="cellIs" dxfId="168" priority="301" operator="equal">
      <formula>1</formula>
    </cfRule>
    <cfRule type="cellIs" dxfId="167" priority="305" operator="equal">
      <formula>5</formula>
    </cfRule>
    <cfRule type="cellIs" dxfId="166" priority="304" operator="equal">
      <formula>4</formula>
    </cfRule>
    <cfRule type="cellIs" dxfId="165" priority="303" operator="equal">
      <formula>3</formula>
    </cfRule>
    <cfRule type="cellIs" dxfId="164" priority="302" operator="equal">
      <formula>2</formula>
    </cfRule>
  </conditionalFormatting>
  <conditionalFormatting sqref="F260:G260">
    <cfRule type="cellIs" dxfId="163" priority="300" operator="equal">
      <formula>5</formula>
    </cfRule>
    <cfRule type="cellIs" dxfId="162" priority="299" operator="equal">
      <formula>4</formula>
    </cfRule>
    <cfRule type="cellIs" dxfId="161" priority="298" operator="equal">
      <formula>3</formula>
    </cfRule>
    <cfRule type="cellIs" dxfId="160" priority="297" operator="equal">
      <formula>2</formula>
    </cfRule>
    <cfRule type="cellIs" dxfId="159" priority="296" operator="equal">
      <formula>1</formula>
    </cfRule>
  </conditionalFormatting>
  <conditionalFormatting sqref="G272:G296">
    <cfRule type="colorScale" priority="17">
      <colorScale>
        <cfvo type="min"/>
        <cfvo type="percentile" val="50"/>
        <cfvo type="max"/>
        <color rgb="FFF8696B"/>
        <color rgb="FFFFEB84"/>
        <color rgb="FF63BE7B"/>
      </colorScale>
    </cfRule>
    <cfRule type="colorScale" priority="16">
      <colorScale>
        <cfvo type="min"/>
        <cfvo type="percentile" val="50"/>
        <cfvo type="max"/>
        <color rgb="FF63BE7B"/>
        <color rgb="FFFFEB84"/>
        <color rgb="FFF8696B"/>
      </colorScale>
    </cfRule>
  </conditionalFormatting>
  <conditionalFormatting sqref="H10:H18 H22:H63 H65:H68 H70:H90 H131:H158 H160:H174">
    <cfRule type="cellIs" dxfId="158" priority="403" operator="between">
      <formula>10</formula>
      <formula>14</formula>
    </cfRule>
    <cfRule type="cellIs" dxfId="157" priority="402" operator="between">
      <formula>15</formula>
      <formula>20</formula>
    </cfRule>
    <cfRule type="cellIs" dxfId="156" priority="401" operator="between">
      <formula>21</formula>
      <formula>25</formula>
    </cfRule>
    <cfRule type="cellIs" dxfId="155" priority="295" operator="between">
      <formula>20</formula>
      <formula>25</formula>
    </cfRule>
    <cfRule type="cellIs" dxfId="154" priority="294" operator="between">
      <formula>12</formula>
      <formula>19</formula>
    </cfRule>
    <cfRule type="cellIs" dxfId="153" priority="293" operator="between">
      <formula>6</formula>
      <formula>10</formula>
    </cfRule>
    <cfRule type="cellIs" dxfId="152" priority="292" operator="between">
      <formula>3</formula>
      <formula>5</formula>
    </cfRule>
    <cfRule type="cellIs" dxfId="151" priority="291" operator="between">
      <formula>1</formula>
      <formula>2</formula>
    </cfRule>
    <cfRule type="cellIs" dxfId="150" priority="404" operator="between">
      <formula>5</formula>
      <formula>9</formula>
    </cfRule>
    <cfRule type="cellIs" dxfId="149" priority="405" operator="between">
      <formula>1</formula>
      <formula>4</formula>
    </cfRule>
  </conditionalFormatting>
  <conditionalFormatting sqref="H92:H94">
    <cfRule type="cellIs" dxfId="148" priority="252" operator="between">
      <formula>3</formula>
      <formula>5</formula>
    </cfRule>
    <cfRule type="cellIs" dxfId="147" priority="260" operator="between">
      <formula>1</formula>
      <formula>4</formula>
    </cfRule>
    <cfRule type="cellIs" dxfId="146" priority="258" operator="between">
      <formula>10</formula>
      <formula>14</formula>
    </cfRule>
    <cfRule type="cellIs" dxfId="145" priority="251" operator="between">
      <formula>1</formula>
      <formula>2</formula>
    </cfRule>
    <cfRule type="cellIs" dxfId="144" priority="259" operator="between">
      <formula>5</formula>
      <formula>9</formula>
    </cfRule>
    <cfRule type="cellIs" dxfId="143" priority="257" operator="between">
      <formula>15</formula>
      <formula>20</formula>
    </cfRule>
    <cfRule type="cellIs" dxfId="142" priority="256" operator="between">
      <formula>21</formula>
      <formula>25</formula>
    </cfRule>
    <cfRule type="cellIs" dxfId="141" priority="255" operator="between">
      <formula>20</formula>
      <formula>25</formula>
    </cfRule>
    <cfRule type="cellIs" dxfId="140" priority="254" operator="between">
      <formula>12</formula>
      <formula>19</formula>
    </cfRule>
    <cfRule type="cellIs" dxfId="139" priority="253" operator="between">
      <formula>6</formula>
      <formula>10</formula>
    </cfRule>
  </conditionalFormatting>
  <conditionalFormatting sqref="H96">
    <cfRule type="cellIs" dxfId="138" priority="243" operator="between">
      <formula>6</formula>
      <formula>10</formula>
    </cfRule>
    <cfRule type="cellIs" dxfId="137" priority="242" operator="between">
      <formula>3</formula>
      <formula>5</formula>
    </cfRule>
    <cfRule type="cellIs" dxfId="136" priority="241" operator="between">
      <formula>1</formula>
      <formula>2</formula>
    </cfRule>
    <cfRule type="cellIs" dxfId="135" priority="250" operator="between">
      <formula>1</formula>
      <formula>4</formula>
    </cfRule>
    <cfRule type="cellIs" dxfId="134" priority="249" operator="between">
      <formula>5</formula>
      <formula>9</formula>
    </cfRule>
    <cfRule type="cellIs" dxfId="133" priority="248" operator="between">
      <formula>10</formula>
      <formula>14</formula>
    </cfRule>
    <cfRule type="cellIs" dxfId="132" priority="247" operator="between">
      <formula>15</formula>
      <formula>20</formula>
    </cfRule>
    <cfRule type="cellIs" dxfId="131" priority="246" operator="between">
      <formula>21</formula>
      <formula>25</formula>
    </cfRule>
    <cfRule type="cellIs" dxfId="130" priority="245" operator="between">
      <formula>20</formula>
      <formula>25</formula>
    </cfRule>
    <cfRule type="cellIs" dxfId="129" priority="244" operator="between">
      <formula>12</formula>
      <formula>19</formula>
    </cfRule>
  </conditionalFormatting>
  <conditionalFormatting sqref="H99:H118">
    <cfRule type="cellIs" dxfId="128" priority="240" operator="between">
      <formula>1</formula>
      <formula>4</formula>
    </cfRule>
    <cfRule type="cellIs" dxfId="127" priority="239" operator="between">
      <formula>5</formula>
      <formula>9</formula>
    </cfRule>
    <cfRule type="cellIs" dxfId="126" priority="237" operator="between">
      <formula>15</formula>
      <formula>20</formula>
    </cfRule>
    <cfRule type="cellIs" dxfId="125" priority="236" operator="between">
      <formula>21</formula>
      <formula>25</formula>
    </cfRule>
    <cfRule type="cellIs" dxfId="124" priority="235" operator="between">
      <formula>20</formula>
      <formula>25</formula>
    </cfRule>
    <cfRule type="cellIs" dxfId="123" priority="234" operator="between">
      <formula>12</formula>
      <formula>19</formula>
    </cfRule>
    <cfRule type="cellIs" dxfId="122" priority="233" operator="between">
      <formula>6</formula>
      <formula>10</formula>
    </cfRule>
    <cfRule type="cellIs" dxfId="121" priority="232" operator="between">
      <formula>3</formula>
      <formula>5</formula>
    </cfRule>
    <cfRule type="cellIs" dxfId="120" priority="231" operator="between">
      <formula>1</formula>
      <formula>2</formula>
    </cfRule>
    <cfRule type="cellIs" dxfId="119" priority="238" operator="between">
      <formula>10</formula>
      <formula>14</formula>
    </cfRule>
  </conditionalFormatting>
  <conditionalFormatting sqref="H120:H129">
    <cfRule type="cellIs" dxfId="118" priority="228" operator="between">
      <formula>10</formula>
      <formula>14</formula>
    </cfRule>
    <cfRule type="cellIs" dxfId="117" priority="229" operator="between">
      <formula>5</formula>
      <formula>9</formula>
    </cfRule>
    <cfRule type="cellIs" dxfId="116" priority="230" operator="between">
      <formula>1</formula>
      <formula>4</formula>
    </cfRule>
    <cfRule type="cellIs" dxfId="115" priority="221" operator="between">
      <formula>1</formula>
      <formula>2</formula>
    </cfRule>
    <cfRule type="cellIs" dxfId="114" priority="222" operator="between">
      <formula>3</formula>
      <formula>5</formula>
    </cfRule>
    <cfRule type="cellIs" dxfId="113" priority="223" operator="between">
      <formula>6</formula>
      <formula>10</formula>
    </cfRule>
    <cfRule type="cellIs" dxfId="112" priority="224" operator="between">
      <formula>12</formula>
      <formula>19</formula>
    </cfRule>
    <cfRule type="cellIs" dxfId="111" priority="225" operator="between">
      <formula>20</formula>
      <formula>25</formula>
    </cfRule>
    <cfRule type="cellIs" dxfId="110" priority="226" operator="between">
      <formula>21</formula>
      <formula>25</formula>
    </cfRule>
    <cfRule type="cellIs" dxfId="109" priority="227" operator="between">
      <formula>15</formula>
      <formula>20</formula>
    </cfRule>
  </conditionalFormatting>
  <conditionalFormatting sqref="H176:H192">
    <cfRule type="cellIs" dxfId="108" priority="193" operator="between">
      <formula>6</formula>
      <formula>10</formula>
    </cfRule>
    <cfRule type="cellIs" dxfId="107" priority="192" operator="between">
      <formula>3</formula>
      <formula>5</formula>
    </cfRule>
    <cfRule type="cellIs" dxfId="106" priority="191" operator="between">
      <formula>1</formula>
      <formula>2</formula>
    </cfRule>
    <cfRule type="cellIs" dxfId="105" priority="194" operator="between">
      <formula>12</formula>
      <formula>19</formula>
    </cfRule>
    <cfRule type="cellIs" dxfId="104" priority="200" operator="between">
      <formula>1</formula>
      <formula>4</formula>
    </cfRule>
    <cfRule type="cellIs" dxfId="103" priority="199" operator="between">
      <formula>5</formula>
      <formula>9</formula>
    </cfRule>
    <cfRule type="cellIs" dxfId="102" priority="198" operator="between">
      <formula>10</formula>
      <formula>14</formula>
    </cfRule>
    <cfRule type="cellIs" dxfId="101" priority="197" operator="between">
      <formula>15</formula>
      <formula>20</formula>
    </cfRule>
    <cfRule type="cellIs" dxfId="100" priority="196" operator="between">
      <formula>21</formula>
      <formula>25</formula>
    </cfRule>
    <cfRule type="cellIs" dxfId="99" priority="195" operator="between">
      <formula>20</formula>
      <formula>25</formula>
    </cfRule>
  </conditionalFormatting>
  <conditionalFormatting sqref="H194:H203">
    <cfRule type="cellIs" dxfId="98" priority="190" operator="between">
      <formula>1</formula>
      <formula>4</formula>
    </cfRule>
    <cfRule type="cellIs" dxfId="97" priority="189" operator="between">
      <formula>5</formula>
      <formula>9</formula>
    </cfRule>
    <cfRule type="cellIs" dxfId="96" priority="188" operator="between">
      <formula>10</formula>
      <formula>14</formula>
    </cfRule>
    <cfRule type="cellIs" dxfId="95" priority="187" operator="between">
      <formula>15</formula>
      <formula>20</formula>
    </cfRule>
    <cfRule type="cellIs" dxfId="94" priority="186" operator="between">
      <formula>21</formula>
      <formula>25</formula>
    </cfRule>
    <cfRule type="cellIs" dxfId="93" priority="185" operator="between">
      <formula>20</formula>
      <formula>25</formula>
    </cfRule>
    <cfRule type="cellIs" dxfId="92" priority="184" operator="between">
      <formula>12</formula>
      <formula>19</formula>
    </cfRule>
    <cfRule type="cellIs" dxfId="91" priority="183" operator="between">
      <formula>6</formula>
      <formula>10</formula>
    </cfRule>
    <cfRule type="cellIs" dxfId="90" priority="182" operator="between">
      <formula>3</formula>
      <formula>5</formula>
    </cfRule>
    <cfRule type="cellIs" dxfId="89" priority="181" operator="between">
      <formula>1</formula>
      <formula>2</formula>
    </cfRule>
  </conditionalFormatting>
  <conditionalFormatting sqref="H205:H213">
    <cfRule type="cellIs" dxfId="88" priority="179" operator="between">
      <formula>5</formula>
      <formula>9</formula>
    </cfRule>
    <cfRule type="cellIs" dxfId="87" priority="178" operator="between">
      <formula>10</formula>
      <formula>14</formula>
    </cfRule>
    <cfRule type="cellIs" dxfId="86" priority="177" operator="between">
      <formula>15</formula>
      <formula>20</formula>
    </cfRule>
    <cfRule type="cellIs" dxfId="85" priority="176" operator="between">
      <formula>21</formula>
      <formula>25</formula>
    </cfRule>
    <cfRule type="cellIs" dxfId="84" priority="175" operator="between">
      <formula>20</formula>
      <formula>25</formula>
    </cfRule>
    <cfRule type="cellIs" dxfId="83" priority="174" operator="between">
      <formula>12</formula>
      <formula>19</formula>
    </cfRule>
    <cfRule type="cellIs" dxfId="82" priority="173" operator="between">
      <formula>6</formula>
      <formula>10</formula>
    </cfRule>
    <cfRule type="cellIs" dxfId="81" priority="180" operator="between">
      <formula>1</formula>
      <formula>4</formula>
    </cfRule>
    <cfRule type="cellIs" dxfId="80" priority="172" operator="between">
      <formula>3</formula>
      <formula>5</formula>
    </cfRule>
    <cfRule type="cellIs" dxfId="79" priority="171" operator="between">
      <formula>1</formula>
      <formula>2</formula>
    </cfRule>
  </conditionalFormatting>
  <conditionalFormatting sqref="H215:H222">
    <cfRule type="cellIs" dxfId="78" priority="163" operator="between">
      <formula>6</formula>
      <formula>10</formula>
    </cfRule>
    <cfRule type="cellIs" dxfId="77" priority="162" operator="between">
      <formula>3</formula>
      <formula>5</formula>
    </cfRule>
    <cfRule type="cellIs" dxfId="76" priority="161" operator="between">
      <formula>1</formula>
      <formula>2</formula>
    </cfRule>
    <cfRule type="cellIs" dxfId="75" priority="170" operator="between">
      <formula>1</formula>
      <formula>4</formula>
    </cfRule>
    <cfRule type="cellIs" dxfId="74" priority="169" operator="between">
      <formula>5</formula>
      <formula>9</formula>
    </cfRule>
    <cfRule type="cellIs" dxfId="73" priority="168" operator="between">
      <formula>10</formula>
      <formula>14</formula>
    </cfRule>
    <cfRule type="cellIs" dxfId="72" priority="167" operator="between">
      <formula>15</formula>
      <formula>20</formula>
    </cfRule>
    <cfRule type="cellIs" dxfId="71" priority="166" operator="between">
      <formula>21</formula>
      <formula>25</formula>
    </cfRule>
    <cfRule type="cellIs" dxfId="70" priority="165" operator="between">
      <formula>20</formula>
      <formula>25</formula>
    </cfRule>
    <cfRule type="cellIs" dxfId="69" priority="164" operator="between">
      <formula>12</formula>
      <formula>19</formula>
    </cfRule>
  </conditionalFormatting>
  <conditionalFormatting sqref="H224:H230">
    <cfRule type="cellIs" dxfId="68" priority="153" operator="between">
      <formula>6</formula>
      <formula>10</formula>
    </cfRule>
    <cfRule type="cellIs" dxfId="67" priority="152" operator="between">
      <formula>3</formula>
      <formula>5</formula>
    </cfRule>
    <cfRule type="cellIs" dxfId="66" priority="151" operator="between">
      <formula>1</formula>
      <formula>2</formula>
    </cfRule>
    <cfRule type="cellIs" dxfId="65" priority="160" operator="between">
      <formula>1</formula>
      <formula>4</formula>
    </cfRule>
    <cfRule type="cellIs" dxfId="64" priority="159" operator="between">
      <formula>5</formula>
      <formula>9</formula>
    </cfRule>
    <cfRule type="cellIs" dxfId="63" priority="158" operator="between">
      <formula>10</formula>
      <formula>14</formula>
    </cfRule>
    <cfRule type="cellIs" dxfId="62" priority="157" operator="between">
      <formula>15</formula>
      <formula>20</formula>
    </cfRule>
    <cfRule type="cellIs" dxfId="61" priority="156" operator="between">
      <formula>21</formula>
      <formula>25</formula>
    </cfRule>
    <cfRule type="cellIs" dxfId="60" priority="155" operator="between">
      <formula>20</formula>
      <formula>25</formula>
    </cfRule>
    <cfRule type="cellIs" dxfId="59" priority="154" operator="between">
      <formula>12</formula>
      <formula>19</formula>
    </cfRule>
  </conditionalFormatting>
  <conditionalFormatting sqref="H232:H239">
    <cfRule type="cellIs" dxfId="58" priority="150" operator="between">
      <formula>1</formula>
      <formula>4</formula>
    </cfRule>
    <cfRule type="cellIs" dxfId="57" priority="149" operator="between">
      <formula>5</formula>
      <formula>9</formula>
    </cfRule>
    <cfRule type="cellIs" dxfId="56" priority="147" operator="between">
      <formula>15</formula>
      <formula>20</formula>
    </cfRule>
    <cfRule type="cellIs" dxfId="55" priority="146" operator="between">
      <formula>21</formula>
      <formula>25</formula>
    </cfRule>
    <cfRule type="cellIs" dxfId="54" priority="145" operator="between">
      <formula>20</formula>
      <formula>25</formula>
    </cfRule>
    <cfRule type="cellIs" dxfId="53" priority="144" operator="between">
      <formula>12</formula>
      <formula>19</formula>
    </cfRule>
    <cfRule type="cellIs" dxfId="52" priority="143" operator="between">
      <formula>6</formula>
      <formula>10</formula>
    </cfRule>
    <cfRule type="cellIs" dxfId="51" priority="142" operator="between">
      <formula>3</formula>
      <formula>5</formula>
    </cfRule>
    <cfRule type="cellIs" dxfId="50" priority="148" operator="between">
      <formula>10</formula>
      <formula>14</formula>
    </cfRule>
    <cfRule type="cellIs" dxfId="49" priority="141" operator="between">
      <formula>1</formula>
      <formula>2</formula>
    </cfRule>
  </conditionalFormatting>
  <conditionalFormatting sqref="H241:H245">
    <cfRule type="cellIs" dxfId="48" priority="133" operator="between">
      <formula>6</formula>
      <formula>10</formula>
    </cfRule>
    <cfRule type="cellIs" dxfId="47" priority="132" operator="between">
      <formula>3</formula>
      <formula>5</formula>
    </cfRule>
    <cfRule type="cellIs" dxfId="46" priority="131" operator="between">
      <formula>1</formula>
      <formula>2</formula>
    </cfRule>
    <cfRule type="cellIs" dxfId="45" priority="140" operator="between">
      <formula>1</formula>
      <formula>4</formula>
    </cfRule>
    <cfRule type="cellIs" dxfId="44" priority="139" operator="between">
      <formula>5</formula>
      <formula>9</formula>
    </cfRule>
    <cfRule type="cellIs" dxfId="43" priority="138" operator="between">
      <formula>10</formula>
      <formula>14</formula>
    </cfRule>
    <cfRule type="cellIs" dxfId="42" priority="137" operator="between">
      <formula>15</formula>
      <formula>20</formula>
    </cfRule>
    <cfRule type="cellIs" dxfId="41" priority="136" operator="between">
      <formula>21</formula>
      <formula>25</formula>
    </cfRule>
    <cfRule type="cellIs" dxfId="40" priority="135" operator="between">
      <formula>20</formula>
      <formula>25</formula>
    </cfRule>
    <cfRule type="cellIs" dxfId="39" priority="134" operator="between">
      <formula>12</formula>
      <formula>19</formula>
    </cfRule>
  </conditionalFormatting>
  <conditionalFormatting sqref="H247:H252">
    <cfRule type="cellIs" dxfId="38" priority="24" operator="between">
      <formula>12</formula>
      <formula>19</formula>
    </cfRule>
    <cfRule type="cellIs" dxfId="37" priority="21" operator="between">
      <formula>1</formula>
      <formula>2</formula>
    </cfRule>
    <cfRule type="cellIs" dxfId="36" priority="22" operator="between">
      <formula>3</formula>
      <formula>5</formula>
    </cfRule>
    <cfRule type="cellIs" dxfId="35" priority="23" operator="between">
      <formula>6</formula>
      <formula>10</formula>
    </cfRule>
    <cfRule type="cellIs" dxfId="34" priority="30" operator="between">
      <formula>1</formula>
      <formula>4</formula>
    </cfRule>
    <cfRule type="cellIs" dxfId="33" priority="29" operator="between">
      <formula>5</formula>
      <formula>9</formula>
    </cfRule>
    <cfRule type="cellIs" dxfId="32" priority="28" operator="between">
      <formula>10</formula>
      <formula>14</formula>
    </cfRule>
    <cfRule type="cellIs" dxfId="31" priority="27" operator="between">
      <formula>15</formula>
      <formula>20</formula>
    </cfRule>
    <cfRule type="cellIs" dxfId="30" priority="26" operator="between">
      <formula>21</formula>
      <formula>25</formula>
    </cfRule>
    <cfRule type="cellIs" dxfId="29" priority="25" operator="between">
      <formula>20</formula>
      <formula>25</formula>
    </cfRule>
  </conditionalFormatting>
  <conditionalFormatting sqref="H254:H258">
    <cfRule type="cellIs" dxfId="28" priority="112" operator="between">
      <formula>3</formula>
      <formula>5</formula>
    </cfRule>
    <cfRule type="cellIs" dxfId="27" priority="111" operator="between">
      <formula>1</formula>
      <formula>2</formula>
    </cfRule>
    <cfRule type="cellIs" dxfId="26" priority="120" operator="between">
      <formula>1</formula>
      <formula>4</formula>
    </cfRule>
    <cfRule type="cellIs" dxfId="25" priority="119" operator="between">
      <formula>5</formula>
      <formula>9</formula>
    </cfRule>
    <cfRule type="cellIs" dxfId="24" priority="118" operator="between">
      <formula>10</formula>
      <formula>14</formula>
    </cfRule>
    <cfRule type="cellIs" dxfId="23" priority="117" operator="between">
      <formula>15</formula>
      <formula>20</formula>
    </cfRule>
    <cfRule type="cellIs" dxfId="22" priority="116" operator="between">
      <formula>21</formula>
      <formula>25</formula>
    </cfRule>
    <cfRule type="cellIs" dxfId="21" priority="115" operator="between">
      <formula>20</formula>
      <formula>25</formula>
    </cfRule>
    <cfRule type="cellIs" dxfId="20" priority="114" operator="between">
      <formula>12</formula>
      <formula>19</formula>
    </cfRule>
    <cfRule type="cellIs" dxfId="19" priority="113" operator="between">
      <formula>6</formula>
      <formula>10</formula>
    </cfRule>
  </conditionalFormatting>
  <conditionalFormatting sqref="H260">
    <cfRule type="cellIs" dxfId="18" priority="109" operator="between">
      <formula>5</formula>
      <formula>9</formula>
    </cfRule>
    <cfRule type="cellIs" dxfId="17" priority="108" operator="between">
      <formula>10</formula>
      <formula>14</formula>
    </cfRule>
    <cfRule type="cellIs" dxfId="16" priority="107" operator="between">
      <formula>15</formula>
      <formula>20</formula>
    </cfRule>
    <cfRule type="cellIs" dxfId="15" priority="106" operator="between">
      <formula>21</formula>
      <formula>25</formula>
    </cfRule>
    <cfRule type="cellIs" dxfId="14" priority="105" operator="between">
      <formula>20</formula>
      <formula>25</formula>
    </cfRule>
    <cfRule type="cellIs" dxfId="13" priority="104" operator="between">
      <formula>12</formula>
      <formula>19</formula>
    </cfRule>
    <cfRule type="cellIs" dxfId="12" priority="110" operator="between">
      <formula>1</formula>
      <formula>4</formula>
    </cfRule>
    <cfRule type="cellIs" dxfId="11" priority="102" operator="between">
      <formula>3</formula>
      <formula>5</formula>
    </cfRule>
    <cfRule type="cellIs" dxfId="10" priority="103" operator="between">
      <formula>6</formula>
      <formula>10</formula>
    </cfRule>
    <cfRule type="cellIs" dxfId="9" priority="101" operator="between">
      <formula>1</formula>
      <formula>2</formula>
    </cfRule>
  </conditionalFormatting>
  <conditionalFormatting sqref="I2:K2 K4:K95 K97:K130 K159:K211 K213:K214 K223:K231 K236 K240:K277 K279:K280 K283 K287 K296:K667">
    <cfRule type="cellIs" dxfId="8" priority="463" operator="equal">
      <formula>"Not Compliant "</formula>
    </cfRule>
    <cfRule type="cellIs" dxfId="7" priority="461" operator="equal">
      <formula>"Compliant"</formula>
    </cfRule>
    <cfRule type="cellIs" dxfId="6" priority="462" operator="equal">
      <formula>"Partial Compliance"</formula>
    </cfRule>
  </conditionalFormatting>
  <conditionalFormatting sqref="L4">
    <cfRule type="cellIs" dxfId="5" priority="20" operator="equal">
      <formula>"Not Compliant "</formula>
    </cfRule>
    <cfRule type="cellIs" dxfId="4" priority="19" operator="equal">
      <formula>"Partial Compliance"</formula>
    </cfRule>
    <cfRule type="cellIs" dxfId="3" priority="18" operator="equal">
      <formula>"Compliant"</formula>
    </cfRule>
  </conditionalFormatting>
  <conditionalFormatting sqref="L215:L222">
    <cfRule type="cellIs" dxfId="2" priority="413" operator="equal">
      <formula>"Compliant"</formula>
    </cfRule>
    <cfRule type="cellIs" dxfId="1" priority="414" operator="equal">
      <formula>"Partial Compliance"</formula>
    </cfRule>
    <cfRule type="cellIs" dxfId="0" priority="415" operator="equal">
      <formula>"Not Compliant "</formula>
    </cfRule>
  </conditionalFormatting>
  <dataValidations disablePrompts="1" count="2">
    <dataValidation type="list" allowBlank="1" sqref="K4:K7 K247:K251 K120:K129 K224:K230 K22:K63 K241:K245 K92:K94 K176:K192 K99:K118 K205:K211 K213 K194:K203 L223 K70:K90 K65:K68 K10:K18 K160:K174 K232:K239" xr:uid="{6E3943BD-6DF7-4498-8420-62A90416FDB9}">
      <formula1>"Compliant,Partial Compliance,Not Compliant,N/A,"</formula1>
    </dataValidation>
    <dataValidation type="list" allowBlank="1" showInputMessage="1" showErrorMessage="1" sqref="F92:G94 F96:G96 F99:G117 F120:G129 F176:G192 F205:G213 F215:G222 F224:G230 F22:G63 F241:G245 F247:G252 F254:G258 F260:G260 F131:G158 F194:G203 F70:G90 F65:G68 F10:G18 F160:G174 F232:G239" xr:uid="{15A239D9-3257-4FE3-8AF7-AC429323EEDE}">
      <formula1>"1,2,3,4,5"</formula1>
    </dataValidation>
  </dataValidations>
  <hyperlinks>
    <hyperlink ref="O165" r:id="rId1" location="352" xr:uid="{121E99B9-264A-4484-B17E-EE70ED69836E}"/>
  </hyperlinks>
  <pageMargins left="0.7" right="0.7" top="0.75" bottom="0.75" header="0.3" footer="0.3"/>
  <pageSetup orientation="portrait"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fddea37-9a81-40be-be52-43bc8c450325" xsi:nil="true"/>
    <lcf76f155ced4ddcb4097134ff3c332f xmlns="712454dd-5204-4a53-9b93-2190bcc5a4d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367FFA6CE6AF44BB5A0A799E41418A" ma:contentTypeVersion="12" ma:contentTypeDescription="Create a new document." ma:contentTypeScope="" ma:versionID="83cc124f6000d822cd079a44e519a831">
  <xsd:schema xmlns:xsd="http://www.w3.org/2001/XMLSchema" xmlns:xs="http://www.w3.org/2001/XMLSchema" xmlns:p="http://schemas.microsoft.com/office/2006/metadata/properties" xmlns:ns2="712454dd-5204-4a53-9b93-2190bcc5a4da" xmlns:ns3="9fddea37-9a81-40be-be52-43bc8c450325" targetNamespace="http://schemas.microsoft.com/office/2006/metadata/properties" ma:root="true" ma:fieldsID="ad97862aef4f64f9b2a8b3fd2392599d" ns2:_="" ns3:_="">
    <xsd:import namespace="712454dd-5204-4a53-9b93-2190bcc5a4da"/>
    <xsd:import namespace="9fddea37-9a81-40be-be52-43bc8c4503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2454dd-5204-4a53-9b93-2190bcc5a4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8ed7cba-b263-44e1-aaea-116db9091a5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ddea37-9a81-40be-be52-43bc8c45032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03b27e4-fcd5-41c3-bf5d-5ad76d556dcf}" ma:internalName="TaxCatchAll" ma:showField="CatchAllData" ma:web="9fddea37-9a81-40be-be52-43bc8c4503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EAB466-ED65-49E3-80A4-C90F176AE0DE}"/>
</file>

<file path=customXml/itemProps2.xml><?xml version="1.0" encoding="utf-8"?>
<ds:datastoreItem xmlns:ds="http://schemas.openxmlformats.org/officeDocument/2006/customXml" ds:itemID="{EAA91959-5A8C-4E0F-8339-BAD716440BD0}"/>
</file>

<file path=customXml/itemProps3.xml><?xml version="1.0" encoding="utf-8"?>
<ds:datastoreItem xmlns:ds="http://schemas.openxmlformats.org/officeDocument/2006/customXml" ds:itemID="{4F6F7D3F-A35C-463B-9677-74ECBF6D11BC}"/>
</file>

<file path=docMetadata/LabelInfo.xml><?xml version="1.0" encoding="utf-8"?>
<clbl:labelList xmlns:clbl="http://schemas.microsoft.com/office/2020/mipLabelMetadata">
  <clbl:label id="{d9a2fa71-d67d-4cb6-b541-06ccaa8013fb}" enabled="0" method="" siteId="{d9a2fa71-d67d-4cb6-b541-06ccaa8013f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Bailey Walke</dc:creator>
  <cp:keywords/>
  <dc:description/>
  <cp:lastModifiedBy/>
  <cp:revision/>
  <dcterms:created xsi:type="dcterms:W3CDTF">2025-03-31T15:51:47Z</dcterms:created>
  <dcterms:modified xsi:type="dcterms:W3CDTF">2026-01-25T06:29:43Z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0x0101004F367FFA6CE6AF44BB5A0A799E41418A</vt:lpwstr>
  </property>
  <property fmtid="{D5CDD505-2E9C-101B-9397-08002B2CF9AE}" pid="3" name="MediaServiceImageTags">
    <vt:lpwstr/>
  </property>
</Properties>
</file>
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ksuemailprod.sharepoint.com/sites/CubeSatTechnicalDesign/Shared Documents/General/"/>
    </mc:Choice>
  </mc:AlternateContent>
  <xr:revisionPtr revIDLastSave="0" documentId="8_{C89B54DA-2F3D-426E-9CDA-70D33D92D163}" xr6:coauthVersionLast="47" xr6:coauthVersionMax="47" xr10:uidLastSave="{00000000-0000-0000-0000-000000000000}"/>
  <bookViews>
    <workbookView xWindow="-103" yWindow="-103" windowWidth="27634" windowHeight="16989" xr2:uid="{00000000-000D-0000-FFFF-FFFF00000000}"/>
  </bookViews>
  <sheets>
    <sheet name="Overall Modes" sheetId="1" r:id="rId1"/>
    <sheet name="Neutron Detector" sheetId="3" r:id="rId2"/>
    <sheet name="ADCS" sheetId="5" r:id="rId3"/>
    <sheet name="C&amp;DH" sheetId="6" r:id="rId4"/>
    <sheet name="EPD" sheetId="7" r:id="rId5"/>
    <sheet name="FSW" sheetId="8" r:id="rId6"/>
    <sheet name="Thermal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B94" i="1"/>
  <c r="B95" i="1"/>
  <c r="B96" i="1"/>
  <c r="B97" i="1"/>
  <c r="B98" i="1"/>
  <c r="B99" i="1"/>
  <c r="B100" i="1"/>
  <c r="B82" i="1"/>
  <c r="B83" i="1" l="1"/>
  <c r="B84" i="1" s="1"/>
  <c r="B85" i="1" s="1"/>
  <c r="B86" i="1" s="1"/>
  <c r="B87" i="1" s="1"/>
  <c r="B88" i="1" s="1"/>
  <c r="B89" i="1" s="1"/>
  <c r="B90" i="1" s="1"/>
  <c r="B91" i="1" s="1"/>
  <c r="B92" i="1" s="1"/>
  <c r="A2" i="9" l="1" a="1"/>
  <c r="A2" i="9" s="1"/>
  <c r="A2" i="3" a="1"/>
  <c r="A2" i="3" s="1"/>
  <c r="A2" i="7" a="1"/>
  <c r="A2" i="7" s="1"/>
  <c r="A2" i="6" a="1"/>
  <c r="A2" i="6" s="1"/>
  <c r="A2" i="5" a="1"/>
  <c r="A2" i="5" s="1"/>
  <c r="A2" i="8" l="1" a="1"/>
  <c r="A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<sst xmlns="http://schemas.openxmlformats.org/spreadsheetml/2006/main" count="276" uniqueCount="153">
  <si>
    <t>NuKat LIFETIME OPERATIONS AND MODES OF OPERATION</t>
  </si>
  <si>
    <t>Process #</t>
  </si>
  <si>
    <t>Process Tags</t>
  </si>
  <si>
    <t>Scope Description</t>
  </si>
  <si>
    <t>General Description</t>
  </si>
  <si>
    <t>MOVE</t>
  </si>
  <si>
    <t>Transporting from K-State facilities to launch facilities.</t>
  </si>
  <si>
    <t>NuKat will be off and placed in a mode that reduces the impact of all transport-related effects (i.e., jostling, heat, etc.)</t>
  </si>
  <si>
    <t>LOAD</t>
  </si>
  <si>
    <t>Loading NuKat on the launch vehicle</t>
  </si>
  <si>
    <t>NuKat will be off and placed in a mode that reduces the impact of all loading-related effects (i.e., jostling, heat, electronic intereferences, magnetic fields, etc.). It must also not turn on prematurely.</t>
  </si>
  <si>
    <t>PRIOR</t>
  </si>
  <si>
    <t>All time waiting for launch to occur after being loaded</t>
  </si>
  <si>
    <t>NuKat will be standing by for launch and deployment. It must not turn on any systems prematurely</t>
  </si>
  <si>
    <t>LAUNCH</t>
  </si>
  <si>
    <t>From first firing the engines until deployment from the vehicle</t>
  </si>
  <si>
    <t>NuKat will be in a state that will not interfere with launch systems and will likewise reduce the impact of lauch-related effects</t>
  </si>
  <si>
    <t>DEPLOY</t>
  </si>
  <si>
    <t>Ejection from the launch vehicle and preparation before beginning mission operations</t>
  </si>
  <si>
    <t>NuKat will begin starting up systems after some interval of time after ejection and run system checks before beginning normal operation.</t>
  </si>
  <si>
    <t>OPS</t>
  </si>
  <si>
    <t>All actions taken during "typical" mission operations as well as those needed to maintain mission performance</t>
  </si>
  <si>
    <t>DECAY</t>
  </si>
  <si>
    <t>Following mission performance, the steps needed to conclude the mission</t>
  </si>
  <si>
    <t>General Lifetime Expectations For Operation</t>
  </si>
  <si>
    <t>Stage ID</t>
  </si>
  <si>
    <t>Title</t>
  </si>
  <si>
    <t>Modes that Flow Up to this Point</t>
  </si>
  <si>
    <t>Notes</t>
  </si>
  <si>
    <t>1.1 Moving Considerations</t>
  </si>
  <si>
    <t>MOVE-1.01</t>
  </si>
  <si>
    <t>Packaging in-house</t>
  </si>
  <si>
    <t>MOVE-1.02</t>
  </si>
  <si>
    <t>Shipping</t>
  </si>
  <si>
    <t>MOVE-1.03</t>
  </si>
  <si>
    <t>Unpacking at launch facility</t>
  </si>
  <si>
    <t>MOVE-1.04</t>
  </si>
  <si>
    <t>Final Assembly at launch facility?</t>
  </si>
  <si>
    <t>Only if we need to ship in parts</t>
  </si>
  <si>
    <t>MOVE-1.05</t>
  </si>
  <si>
    <t>MOVE-1.06</t>
  </si>
  <si>
    <t>MOVE-1.07</t>
  </si>
  <si>
    <t>MOVE-1.08</t>
  </si>
  <si>
    <t>1.2 Loading Considerations</t>
  </si>
  <si>
    <t>LOAD-1.01</t>
  </si>
  <si>
    <t>LOAD-1.02</t>
  </si>
  <si>
    <t>LOAD-1.03</t>
  </si>
  <si>
    <t>LOAD-1.04</t>
  </si>
  <si>
    <t>LOAD-1.05</t>
  </si>
  <si>
    <t>LOAD-1.06</t>
  </si>
  <si>
    <t>LOAD-1.07</t>
  </si>
  <si>
    <t>LOAD-1.08</t>
  </si>
  <si>
    <t>1.3 Pre-Launch Considerations</t>
  </si>
  <si>
    <t>PRIOR-1.01</t>
  </si>
  <si>
    <t>PRIOR-1.02</t>
  </si>
  <si>
    <t>PRIOR-1.03</t>
  </si>
  <si>
    <t>PRIOR-1.04</t>
  </si>
  <si>
    <t>PRIOR-1.05</t>
  </si>
  <si>
    <t>PRIOR-1.06</t>
  </si>
  <si>
    <t>PRIOR-1.07</t>
  </si>
  <si>
    <t>PRIOR-1.08</t>
  </si>
  <si>
    <t>1.4 Launch Considerations</t>
  </si>
  <si>
    <t>LAUNCH-1.01</t>
  </si>
  <si>
    <t>LAUNCH-1.02</t>
  </si>
  <si>
    <t>LAUNCH-1.03</t>
  </si>
  <si>
    <t>LAUNCH-1.04</t>
  </si>
  <si>
    <t>LAUNCH-1.05</t>
  </si>
  <si>
    <t>LAUNCH-1.06</t>
  </si>
  <si>
    <t>LAUNCH-1.07</t>
  </si>
  <si>
    <t>LAUNCH-1.08</t>
  </si>
  <si>
    <t>1.5 Deploy Considerations</t>
  </si>
  <si>
    <t>DEPLOY-1.01</t>
  </si>
  <si>
    <t>DEPLOY-1.02</t>
  </si>
  <si>
    <t>DEPLOY-1.03</t>
  </si>
  <si>
    <t>DEPLOY-1.04</t>
  </si>
  <si>
    <t>DEPLOY-1.05</t>
  </si>
  <si>
    <t>DEPLOY-1.06</t>
  </si>
  <si>
    <t>DEPLOY-1.07</t>
  </si>
  <si>
    <t>DEPLOY-1.08</t>
  </si>
  <si>
    <t>1.6 Mission Operational Considerations</t>
  </si>
  <si>
    <t>OPS-1.01</t>
  </si>
  <si>
    <t>OPS-1.02</t>
  </si>
  <si>
    <t>OPS-1.03</t>
  </si>
  <si>
    <t>OPS-1.04</t>
  </si>
  <si>
    <t>OPS-1.05</t>
  </si>
  <si>
    <t>OPS-1.06</t>
  </si>
  <si>
    <t>OPS-1.07</t>
  </si>
  <si>
    <t>OPS-1.08</t>
  </si>
  <si>
    <t>1.7 End of Mission Considerations</t>
  </si>
  <si>
    <t>DECAY-1.01</t>
  </si>
  <si>
    <t>DECAY-1.02</t>
  </si>
  <si>
    <t>DECAY-1.03</t>
  </si>
  <si>
    <t>DECAY-1.04</t>
  </si>
  <si>
    <t>DECAY-1.05</t>
  </si>
  <si>
    <t>DECAY-1.06</t>
  </si>
  <si>
    <t>DECAY-1.07</t>
  </si>
  <si>
    <t>DECAY-1.08</t>
  </si>
  <si>
    <t>Modes of Operation (checked boxes indicate the associated system will be "on" for this mode)</t>
  </si>
  <si>
    <t>Normal Mode of Operation</t>
  </si>
  <si>
    <t>MODE ID</t>
  </si>
  <si>
    <t>Description</t>
  </si>
  <si>
    <t>Follows (what modes can directly preceed this)</t>
  </si>
  <si>
    <t>Concurrent (What modes can happen go on at the same time as this?)</t>
  </si>
  <si>
    <t>Leads to (what modes can directly follow this)</t>
  </si>
  <si>
    <t>Neutron Detector</t>
  </si>
  <si>
    <t>ADCS</t>
  </si>
  <si>
    <t>Communications</t>
  </si>
  <si>
    <t>Data Handling</t>
  </si>
  <si>
    <t>Solar Panels</t>
  </si>
  <si>
    <t>EPDS</t>
  </si>
  <si>
    <t>FSW</t>
  </si>
  <si>
    <t>Thermal</t>
  </si>
  <si>
    <t>Solar Panels Deployment</t>
  </si>
  <si>
    <t>Antenna Deployment</t>
  </si>
  <si>
    <t>Scheduled</t>
  </si>
  <si>
    <t>Detumble</t>
  </si>
  <si>
    <t>Bring NuKat back to a stable state decided by ground team.</t>
  </si>
  <si>
    <t>Deployment Monitoring</t>
  </si>
  <si>
    <t>Initial Startup</t>
  </si>
  <si>
    <t>Bring critical systems online for NuKat to begin normal operation.</t>
  </si>
  <si>
    <t>Sleep</t>
  </si>
  <si>
    <t>Detumble
Sleep</t>
  </si>
  <si>
    <t>Prior to deployment from rocket, the safe/sleep mode ensures no systems will turn on prematurely and protects them from transportation, loading, or launching effects on NuKat</t>
  </si>
  <si>
    <r>
      <rPr>
        <b/>
        <sz val="11"/>
        <color rgb="FF000000"/>
        <rFont val="Aptos Narrow"/>
        <scheme val="minor"/>
      </rPr>
      <t xml:space="preserve">Initial Mode
</t>
    </r>
    <r>
      <rPr>
        <sz val="11"/>
        <color rgb="FF000000"/>
        <rFont val="Aptos Narrow"/>
        <scheme val="minor"/>
      </rPr>
      <t>Deployment Monitoring
Initial Startup
Detumble</t>
    </r>
  </si>
  <si>
    <t>Overseeing the initial deployment of appendiges (solar arrays, antenna, &amp; radiator panels).</t>
  </si>
  <si>
    <t>Sleep
Idle</t>
  </si>
  <si>
    <t>Reaction</t>
  </si>
  <si>
    <t>Survival</t>
  </si>
  <si>
    <t>Emergency state if anything disasterous occurs. Thermal regulation and/or maximum power absorption becomes necessary. Transmitting a beacon signal is prefereable</t>
  </si>
  <si>
    <t>Any</t>
  </si>
  <si>
    <t>Idle</t>
  </si>
  <si>
    <t>Commanded</t>
  </si>
  <si>
    <t>Science Operations</t>
  </si>
  <si>
    <t>Collecting counts from Nuetron Detector.</t>
  </si>
  <si>
    <t>Data Processing
Receiving
Transmitting</t>
  </si>
  <si>
    <t>Transmitting</t>
  </si>
  <si>
    <t>Transmitting telemetry, mission data, and operational data to ground station(s).</t>
  </si>
  <si>
    <t>Idle
Science Operations</t>
  </si>
  <si>
    <t>NuKat continues along planned orbit and awaits scheduled operations or commands from ground station. Includes periodic health monitoring.</t>
  </si>
  <si>
    <t>Receiving
Transmitting</t>
  </si>
  <si>
    <t>Calibration - ADCS</t>
  </si>
  <si>
    <t>Verify orientation and position of the NuKat at any point in orbit.</t>
  </si>
  <si>
    <t>Data Processing</t>
  </si>
  <si>
    <t>Processors are analyzing collection of measured or received data, performing operations, storing desireable data, and prepparing data for transmission.</t>
  </si>
  <si>
    <t>Pointing</t>
  </si>
  <si>
    <t>Pointing Solar Array towards the sun for maximum power generation or Antenna towards ground station for communication.</t>
  </si>
  <si>
    <t>Receiving</t>
  </si>
  <si>
    <t>Receive commands and data uplink from ground station.</t>
  </si>
  <si>
    <t>N/A</t>
  </si>
  <si>
    <t>Upset</t>
  </si>
  <si>
    <t>There has been some fault or a condition is found unsatisfactory in the vehicle. The upset trigger is analyzed and a plan is formulated to mitigate the trigger.</t>
  </si>
  <si>
    <t>I've been using this box shade to signify the descriptions I've changed and/or added. - D. Rizzo</t>
  </si>
  <si>
    <t xml:space="preserve">Thermal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</si>
</sst>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00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  <xf numFmtId="0" fontId="0" fillId="7" borderId="3" xfId="0" applyFill="1" applyBorder="1"/>
    <xf numFmtId="0" fontId="0" fillId="7" borderId="3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7" fillId="7" borderId="10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9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3" xfId="0" applyFill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7" fillId="7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8" borderId="6" xfId="0" applyFill="1" applyBorder="1" applyAlignment="1">
      <alignment wrapText="1"/>
    </xf>
    <xf numFmtId="0" fontId="7" fillId="7" borderId="1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7" borderId="8" xfId="0" applyFill="1" applyBorder="1" applyAlignment="1">
      <alignment wrapText="1"/>
    </xf>
    <xf numFmtId="0" fontId="0" fillId="8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/>
    </xf>
    <xf numFmtId="0" fontId="9" fillId="8" borderId="3" xfId="0" applyFont="1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9" borderId="3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9" borderId="13" xfId="0" applyFill="1" applyBorder="1" applyAlignment="1">
      <alignment vertical="center"/>
    </xf>
    <xf numFmtId="0" fontId="0" fillId="9" borderId="8" xfId="0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2"/>
    </xf>
    <xf numFmtId="0" fontId="5" fillId="5" borderId="2" xfId="0" applyFont="1" applyFill="1" applyBorder="1" applyAlignment="1">
      <alignment horizontal="left" vertical="center" wrapText="1" indent="2"/>
    </xf>
    <xf numFmtId="0" fontId="5" fillId="5" borderId="2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41"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1" defaultTableStyle="TableStyleMedium2" defaultPivotStyle="PivotStyleMedium9">
    <tableStyle name="Table Style 1" pivot="0" count="0" xr9:uid="{8210B783-6157-4637-9BD0-3470024DA9DD}"/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AA4947-D6D7-4B28-BB2B-5F814D33E70B}" name="Table6" displayName="Table6" ref="A80:Q100" totalsRowShown="0" headerRowDxfId="35" dataDxfId="34" headerRowBorderDxfId="32" tableBorderDxfId="33" totalsRowBorderDxfId="31">
  <autoFilter ref="A80:Q100" xr:uid="{FFAA4947-D6D7-4B28-BB2B-5F814D33E7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8" xr3:uid="{C5089F4A-29DB-4C09-9528-CB6367B6FFC1}" name="Normal Mode of Operation" dataDxfId="30"/>
    <tableColumn id="1" xr3:uid="{336E6947-E962-47C2-AA9E-B09582EBC920}" name="MODE ID" dataDxfId="29"/>
    <tableColumn id="2" xr3:uid="{E303C2EF-45AD-4848-AF7C-7D7668A34AA5}" name="Title" dataDxfId="28"/>
    <tableColumn id="3" xr3:uid="{518D5EBD-8AB2-4CD0-9F69-FC110FF949DA}" name="Description" dataDxfId="27"/>
    <tableColumn id="4" xr3:uid="{2C5C0A61-2B91-4075-A6C6-A833329EC4AF}" name="Follows (what modes can directly preceed this)" dataDxfId="26"/>
    <tableColumn id="6" xr3:uid="{8EBF3010-EC1E-4254-A361-70D0BC7ADCCD}" name="Concurrent (What modes can happen go on at the same time as this?)" dataDxfId="25"/>
    <tableColumn id="5" xr3:uid="{75C8FC09-4585-456F-81D8-4928FA8FBD95}" name="Leads to (what modes can directly follow this)" dataDxfId="24"/>
    <tableColumn id="7" xr3:uid="{3B3FCD14-A767-4C18-A6BC-25A52B8C98EA}" name="Neutron Detector" dataDxfId="23"/>
    <tableColumn id="9" xr3:uid="{A95562E8-05C6-46C1-812A-E6A5FA66292C}" name="ADCS" dataDxfId="22"/>
    <tableColumn id="10" xr3:uid="{6B8F3779-7F75-4068-8C8F-0530493A294B}" name="Communications" dataDxfId="21"/>
    <tableColumn id="11" xr3:uid="{9D5F7156-B115-4C43-85F2-1859323B9AE8}" name="Data Handling" dataDxfId="20"/>
    <tableColumn id="12" xr3:uid="{D631350A-35A5-4571-A8F5-C870150C9373}" name="Solar Panels" dataDxfId="19"/>
    <tableColumn id="13" xr3:uid="{571095D9-164B-44F7-AC2D-B66605403A66}" name="EPDS" dataDxfId="18"/>
    <tableColumn id="14" xr3:uid="{811AD723-7E20-43C4-A124-BCA2BE0DA82E}" name="FSW" dataDxfId="17"/>
    <tableColumn id="15" xr3:uid="{516D0E16-2F9D-41A7-924C-CE8F1773C49F}" name="Thermal" dataDxfId="16"/>
    <tableColumn id="16" xr3:uid="{29EF4428-8604-4223-8497-1D4321B3EE57}" name="Solar Panels Deployment" dataDxfId="15"/>
    <tableColumn id="17" xr3:uid="{E818F1F8-A9F2-467C-A4BA-5A4F04F92B45}" name="Antenna Deployment" dataDxfId="1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60" zoomScale="87" workbookViewId="0">
      <selection activeCell="O93" sqref="O93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24.5703125" customWidth="1"/>
    <col min="6" max="6" width="23.85546875" customWidth="1"/>
    <col min="7" max="7" width="18.5703125" customWidth="1"/>
    <col min="8" max="9" width="12.7109375" customWidth="1"/>
    <col min="10" max="10" width="11.85546875" customWidth="1"/>
    <col min="11" max="19" width="12.7109375" customWidth="1"/>
  </cols>
  <sheetData>
    <row r="1" spans="1:6" s="2" customFormat="1" ht="30" customHeight="1">
      <c r="A1" s="51" t="s">
        <v>0</v>
      </c>
      <c r="B1" s="52"/>
      <c r="C1" s="52"/>
      <c r="D1" s="52"/>
      <c r="E1" s="52"/>
    </row>
    <row r="2" spans="1:6" ht="24" customHeight="1">
      <c r="A2" s="5" t="s">
        <v>1</v>
      </c>
      <c r="B2" s="5" t="s">
        <v>2</v>
      </c>
      <c r="C2" s="5" t="s">
        <v>3</v>
      </c>
      <c r="D2" s="5" t="s">
        <v>4</v>
      </c>
      <c r="E2" s="1"/>
      <c r="F2" s="2"/>
    </row>
    <row r="3" spans="1:6" ht="43.5">
      <c r="A3" s="23">
        <v>1</v>
      </c>
      <c r="B3" s="24" t="s">
        <v>5</v>
      </c>
      <c r="C3" s="25" t="s">
        <v>6</v>
      </c>
      <c r="D3" s="25" t="s">
        <v>7</v>
      </c>
      <c r="E3" s="25"/>
      <c r="F3" s="2"/>
    </row>
    <row r="4" spans="1:6" ht="72.75">
      <c r="A4" s="23">
        <v>2</v>
      </c>
      <c r="B4" s="24" t="s">
        <v>8</v>
      </c>
      <c r="C4" s="25" t="s">
        <v>9</v>
      </c>
      <c r="D4" s="25" t="s">
        <v>10</v>
      </c>
      <c r="E4" s="25"/>
      <c r="F4" s="2"/>
    </row>
    <row r="5" spans="1:6" ht="43.5">
      <c r="A5" s="23">
        <v>3</v>
      </c>
      <c r="B5" s="24" t="s">
        <v>11</v>
      </c>
      <c r="C5" s="25" t="s">
        <v>12</v>
      </c>
      <c r="D5" s="25" t="s">
        <v>13</v>
      </c>
      <c r="E5" s="25"/>
      <c r="F5" s="2"/>
    </row>
    <row r="6" spans="1:6" ht="43.5">
      <c r="A6" s="23">
        <v>4</v>
      </c>
      <c r="B6" s="24" t="s">
        <v>14</v>
      </c>
      <c r="C6" s="25" t="s">
        <v>15</v>
      </c>
      <c r="D6" s="25" t="s">
        <v>16</v>
      </c>
      <c r="E6" s="25"/>
      <c r="F6" s="2"/>
    </row>
    <row r="7" spans="1:6" ht="43.5">
      <c r="A7" s="23">
        <v>5</v>
      </c>
      <c r="B7" s="24" t="s">
        <v>17</v>
      </c>
      <c r="C7" s="25" t="s">
        <v>18</v>
      </c>
      <c r="D7" s="43" t="s">
        <v>19</v>
      </c>
      <c r="E7" s="25"/>
      <c r="F7" s="2"/>
    </row>
    <row r="8" spans="1:6" ht="57.75">
      <c r="A8" s="23">
        <v>6</v>
      </c>
      <c r="B8" s="24" t="s">
        <v>20</v>
      </c>
      <c r="C8" s="25" t="s">
        <v>21</v>
      </c>
      <c r="D8" s="25"/>
      <c r="E8" s="25"/>
      <c r="F8" s="2"/>
    </row>
    <row r="9" spans="1:6" ht="43.5">
      <c r="A9" s="23">
        <v>7</v>
      </c>
      <c r="B9" s="24" t="s">
        <v>22</v>
      </c>
      <c r="C9" s="25" t="s">
        <v>23</v>
      </c>
      <c r="D9" s="25"/>
      <c r="E9" s="25"/>
      <c r="F9" s="2"/>
    </row>
    <row r="10" spans="1:6" ht="15" customHeight="1">
      <c r="F10" s="2"/>
    </row>
    <row r="11" spans="1:6" ht="15" customHeight="1">
      <c r="F11" s="2"/>
    </row>
    <row r="12" spans="1:6" ht="15" customHeight="1">
      <c r="F12" s="2"/>
    </row>
    <row r="13" spans="1:6" s="2" customFormat="1" ht="30" customHeight="1">
      <c r="A13" s="53" t="s">
        <v>24</v>
      </c>
      <c r="B13" s="53"/>
      <c r="C13" s="53"/>
      <c r="D13" s="53"/>
      <c r="E13" s="53"/>
    </row>
    <row r="14" spans="1:6" ht="24" customHeight="1">
      <c r="A14" s="6" t="s">
        <v>25</v>
      </c>
      <c r="B14" s="6" t="s">
        <v>26</v>
      </c>
      <c r="C14" s="6" t="s">
        <v>27</v>
      </c>
      <c r="D14" s="6" t="s">
        <v>28</v>
      </c>
      <c r="E14" s="3"/>
      <c r="F14" s="2"/>
    </row>
    <row r="15" spans="1:6" ht="15.75" customHeight="1">
      <c r="A15" s="54" t="s">
        <v>29</v>
      </c>
      <c r="B15" s="55"/>
      <c r="C15" s="55"/>
      <c r="D15" s="55"/>
      <c r="E15" s="55"/>
      <c r="F15" s="2"/>
    </row>
    <row r="16" spans="1:6">
      <c r="A16" s="26" t="s">
        <v>30</v>
      </c>
      <c r="B16" s="27" t="s">
        <v>31</v>
      </c>
      <c r="C16" s="27"/>
      <c r="D16" s="27"/>
      <c r="E16" s="26"/>
      <c r="F16" s="2"/>
    </row>
    <row r="17" spans="1:6">
      <c r="A17" s="26" t="s">
        <v>32</v>
      </c>
      <c r="B17" s="27" t="s">
        <v>33</v>
      </c>
      <c r="C17" s="27"/>
      <c r="D17" s="27"/>
      <c r="E17" s="26"/>
      <c r="F17" s="2"/>
    </row>
    <row r="18" spans="1:6" ht="29.25">
      <c r="A18" s="26" t="s">
        <v>34</v>
      </c>
      <c r="B18" s="27" t="s">
        <v>35</v>
      </c>
      <c r="C18" s="27"/>
      <c r="D18" s="27"/>
      <c r="E18" s="26"/>
      <c r="F18" s="2"/>
    </row>
    <row r="19" spans="1:6" ht="29.25">
      <c r="A19" s="26" t="s">
        <v>36</v>
      </c>
      <c r="B19" s="27" t="s">
        <v>37</v>
      </c>
      <c r="C19" s="27"/>
      <c r="D19" s="27" t="s">
        <v>38</v>
      </c>
      <c r="E19" s="26"/>
      <c r="F19" s="2"/>
    </row>
    <row r="20" spans="1:6">
      <c r="A20" s="26" t="s">
        <v>39</v>
      </c>
      <c r="B20" s="27"/>
      <c r="C20" s="27"/>
      <c r="D20" s="27"/>
      <c r="E20" s="26"/>
      <c r="F20" s="2"/>
    </row>
    <row r="21" spans="1:6">
      <c r="A21" s="26" t="s">
        <v>40</v>
      </c>
      <c r="B21" s="27"/>
      <c r="C21" s="27"/>
      <c r="D21" s="27"/>
      <c r="E21" s="26"/>
      <c r="F21" s="2"/>
    </row>
    <row r="22" spans="1:6">
      <c r="A22" s="26" t="s">
        <v>41</v>
      </c>
      <c r="B22" s="27"/>
      <c r="C22" s="27"/>
      <c r="D22" s="27"/>
      <c r="E22" s="26"/>
      <c r="F22" s="2"/>
    </row>
    <row r="23" spans="1:6">
      <c r="A23" s="26" t="s">
        <v>42</v>
      </c>
      <c r="B23" s="27"/>
      <c r="C23" s="27"/>
      <c r="D23" s="27"/>
      <c r="E23" s="26"/>
      <c r="F23" s="2"/>
    </row>
    <row r="24" spans="1:6" ht="15.75" customHeight="1">
      <c r="A24" s="54" t="s">
        <v>43</v>
      </c>
      <c r="B24" s="56"/>
      <c r="C24" s="55"/>
      <c r="D24" s="55"/>
      <c r="E24" s="55"/>
      <c r="F24" s="2"/>
    </row>
    <row r="25" spans="1:6">
      <c r="A25" s="26" t="s">
        <v>44</v>
      </c>
      <c r="B25" s="27"/>
      <c r="C25" s="27"/>
      <c r="D25" s="27"/>
      <c r="E25" s="26"/>
      <c r="F25" s="2"/>
    </row>
    <row r="26" spans="1:6">
      <c r="A26" s="26" t="s">
        <v>45</v>
      </c>
      <c r="B26" s="27"/>
      <c r="C26" s="27"/>
      <c r="D26" s="27"/>
      <c r="E26" s="26"/>
      <c r="F26" s="2"/>
    </row>
    <row r="27" spans="1:6">
      <c r="A27" s="26" t="s">
        <v>46</v>
      </c>
      <c r="B27" s="27"/>
      <c r="C27" s="27"/>
      <c r="D27" s="27"/>
      <c r="E27" s="26"/>
      <c r="F27" s="2"/>
    </row>
    <row r="28" spans="1:6">
      <c r="A28" s="26" t="s">
        <v>47</v>
      </c>
      <c r="B28" s="27"/>
      <c r="C28" s="27"/>
      <c r="D28" s="27"/>
      <c r="E28" s="26"/>
      <c r="F28" s="2"/>
    </row>
    <row r="29" spans="1:6">
      <c r="A29" s="26" t="s">
        <v>48</v>
      </c>
      <c r="B29" s="27"/>
      <c r="C29" s="27"/>
      <c r="D29" s="27"/>
      <c r="E29" s="26"/>
      <c r="F29" s="2"/>
    </row>
    <row r="30" spans="1:6">
      <c r="A30" s="26" t="s">
        <v>49</v>
      </c>
      <c r="B30" s="27"/>
      <c r="C30" s="27"/>
      <c r="D30" s="27"/>
      <c r="E30" s="26"/>
      <c r="F30" s="2"/>
    </row>
    <row r="31" spans="1:6">
      <c r="A31" s="26" t="s">
        <v>50</v>
      </c>
      <c r="B31" s="27"/>
      <c r="C31" s="27"/>
      <c r="D31" s="27"/>
      <c r="E31" s="26"/>
      <c r="F31" s="2"/>
    </row>
    <row r="32" spans="1:6">
      <c r="A32" s="26" t="s">
        <v>51</v>
      </c>
      <c r="B32" s="27"/>
      <c r="C32" s="27"/>
      <c r="D32" s="27"/>
      <c r="E32" s="26"/>
      <c r="F32" s="2"/>
    </row>
    <row r="33" spans="1:6" ht="15.75" customHeight="1">
      <c r="A33" s="54" t="s">
        <v>52</v>
      </c>
      <c r="B33" s="56"/>
      <c r="C33" s="55"/>
      <c r="D33" s="55"/>
      <c r="E33" s="55"/>
      <c r="F33" s="2"/>
    </row>
    <row r="34" spans="1:6">
      <c r="A34" s="26" t="s">
        <v>53</v>
      </c>
      <c r="B34" s="27"/>
      <c r="C34" s="27"/>
      <c r="D34" s="27"/>
      <c r="E34" s="26"/>
      <c r="F34" s="2"/>
    </row>
    <row r="35" spans="1:6">
      <c r="A35" s="26" t="s">
        <v>54</v>
      </c>
      <c r="B35" s="27"/>
      <c r="C35" s="27"/>
      <c r="D35" s="27"/>
      <c r="E35" s="26"/>
      <c r="F35" s="2"/>
    </row>
    <row r="36" spans="1:6">
      <c r="A36" s="26" t="s">
        <v>55</v>
      </c>
      <c r="B36" s="27"/>
      <c r="C36" s="27"/>
      <c r="D36" s="27"/>
      <c r="E36" s="26"/>
      <c r="F36" s="2"/>
    </row>
    <row r="37" spans="1:6">
      <c r="A37" s="26" t="s">
        <v>56</v>
      </c>
      <c r="B37" s="27"/>
      <c r="C37" s="27"/>
      <c r="D37" s="27"/>
      <c r="E37" s="26"/>
      <c r="F37" s="2"/>
    </row>
    <row r="38" spans="1:6">
      <c r="A38" s="26" t="s">
        <v>57</v>
      </c>
      <c r="B38" s="27"/>
      <c r="C38" s="27"/>
      <c r="D38" s="27"/>
      <c r="E38" s="26"/>
      <c r="F38" s="2"/>
    </row>
    <row r="39" spans="1:6">
      <c r="A39" s="26" t="s">
        <v>58</v>
      </c>
      <c r="B39" s="27"/>
      <c r="C39" s="27"/>
      <c r="D39" s="27"/>
      <c r="E39" s="26"/>
      <c r="F39" s="2"/>
    </row>
    <row r="40" spans="1:6">
      <c r="A40" s="26" t="s">
        <v>59</v>
      </c>
      <c r="B40" s="27"/>
      <c r="C40" s="27"/>
      <c r="D40" s="27"/>
      <c r="E40" s="26"/>
      <c r="F40" s="2"/>
    </row>
    <row r="41" spans="1:6">
      <c r="A41" s="26" t="s">
        <v>60</v>
      </c>
      <c r="B41" s="27"/>
      <c r="C41" s="27"/>
      <c r="D41" s="27"/>
      <c r="E41" s="26"/>
      <c r="F41" s="2"/>
    </row>
    <row r="42" spans="1:6" ht="15.75">
      <c r="A42" s="54" t="s">
        <v>61</v>
      </c>
      <c r="B42" s="56"/>
      <c r="C42" s="55"/>
      <c r="D42" s="55"/>
      <c r="E42" s="55"/>
      <c r="F42" s="2"/>
    </row>
    <row r="43" spans="1:6">
      <c r="A43" s="26" t="s">
        <v>62</v>
      </c>
      <c r="B43" s="27"/>
      <c r="C43" s="27"/>
      <c r="D43" s="27"/>
      <c r="E43" s="26"/>
      <c r="F43" s="2"/>
    </row>
    <row r="44" spans="1:6">
      <c r="A44" s="26" t="s">
        <v>63</v>
      </c>
      <c r="B44" s="27"/>
      <c r="C44" s="27"/>
      <c r="D44" s="27"/>
      <c r="E44" s="26"/>
      <c r="F44" s="2"/>
    </row>
    <row r="45" spans="1:6">
      <c r="A45" s="26" t="s">
        <v>64</v>
      </c>
      <c r="B45" s="27"/>
      <c r="C45" s="27"/>
      <c r="D45" s="27"/>
      <c r="E45" s="26"/>
      <c r="F45" s="2"/>
    </row>
    <row r="46" spans="1:6">
      <c r="A46" s="26" t="s">
        <v>65</v>
      </c>
      <c r="B46" s="27"/>
      <c r="C46" s="27"/>
      <c r="D46" s="27"/>
      <c r="E46" s="26"/>
      <c r="F46" s="2"/>
    </row>
    <row r="47" spans="1:6">
      <c r="A47" s="26" t="s">
        <v>66</v>
      </c>
      <c r="B47" s="27"/>
      <c r="C47" s="27"/>
      <c r="D47" s="27"/>
      <c r="E47" s="26"/>
      <c r="F47" s="2"/>
    </row>
    <row r="48" spans="1:6">
      <c r="A48" s="26" t="s">
        <v>67</v>
      </c>
      <c r="B48" s="27"/>
      <c r="C48" s="27"/>
      <c r="D48" s="27"/>
      <c r="E48" s="26"/>
      <c r="F48" s="2"/>
    </row>
    <row r="49" spans="1:6">
      <c r="A49" s="26" t="s">
        <v>68</v>
      </c>
      <c r="B49" s="27"/>
      <c r="C49" s="27"/>
      <c r="D49" s="27"/>
      <c r="E49" s="26"/>
      <c r="F49" s="2"/>
    </row>
    <row r="50" spans="1:6">
      <c r="A50" s="26" t="s">
        <v>69</v>
      </c>
      <c r="B50" s="27"/>
      <c r="C50" s="27"/>
      <c r="D50" s="27"/>
      <c r="E50" s="26"/>
      <c r="F50" s="2"/>
    </row>
    <row r="51" spans="1:6" ht="15.75">
      <c r="A51" s="54" t="s">
        <v>70</v>
      </c>
      <c r="B51" s="56"/>
      <c r="C51" s="55"/>
      <c r="D51" s="55"/>
      <c r="E51" s="55"/>
      <c r="F51" s="2"/>
    </row>
    <row r="52" spans="1:6">
      <c r="A52" s="26" t="s">
        <v>71</v>
      </c>
      <c r="B52" s="27"/>
      <c r="C52" s="27"/>
      <c r="D52" s="27"/>
      <c r="E52" s="26"/>
      <c r="F52" s="2"/>
    </row>
    <row r="53" spans="1:6">
      <c r="A53" s="26" t="s">
        <v>72</v>
      </c>
      <c r="B53" s="27"/>
      <c r="C53" s="27"/>
      <c r="D53" s="27"/>
      <c r="E53" s="26"/>
      <c r="F53" s="2"/>
    </row>
    <row r="54" spans="1:6">
      <c r="A54" s="26" t="s">
        <v>73</v>
      </c>
      <c r="B54" s="27"/>
      <c r="C54" s="27"/>
      <c r="D54" s="27"/>
      <c r="E54" s="26"/>
      <c r="F54" s="2"/>
    </row>
    <row r="55" spans="1:6">
      <c r="A55" s="26" t="s">
        <v>74</v>
      </c>
      <c r="B55" s="27"/>
      <c r="C55" s="27"/>
      <c r="D55" s="27"/>
      <c r="E55" s="26"/>
      <c r="F55" s="2"/>
    </row>
    <row r="56" spans="1:6">
      <c r="A56" s="26" t="s">
        <v>75</v>
      </c>
      <c r="B56" s="27"/>
      <c r="C56" s="27"/>
      <c r="D56" s="27"/>
      <c r="E56" s="26"/>
      <c r="F56" s="2"/>
    </row>
    <row r="57" spans="1:6">
      <c r="A57" s="26" t="s">
        <v>76</v>
      </c>
      <c r="B57" s="27"/>
      <c r="C57" s="27"/>
      <c r="D57" s="27"/>
      <c r="E57" s="26"/>
      <c r="F57" s="2"/>
    </row>
    <row r="58" spans="1:6">
      <c r="A58" s="26" t="s">
        <v>77</v>
      </c>
      <c r="B58" s="27"/>
      <c r="C58" s="27"/>
      <c r="D58" s="27"/>
      <c r="E58" s="26"/>
      <c r="F58" s="2"/>
    </row>
    <row r="59" spans="1:6">
      <c r="A59" s="26" t="s">
        <v>78</v>
      </c>
      <c r="B59" s="27"/>
      <c r="C59" s="27"/>
      <c r="D59" s="27"/>
      <c r="E59" s="26"/>
      <c r="F59" s="2"/>
    </row>
    <row r="60" spans="1:6" ht="15.75">
      <c r="A60" s="54" t="s">
        <v>79</v>
      </c>
      <c r="B60" s="56"/>
      <c r="C60" s="55"/>
      <c r="D60" s="55"/>
      <c r="E60" s="55"/>
      <c r="F60" s="2"/>
    </row>
    <row r="61" spans="1:6">
      <c r="A61" s="26" t="s">
        <v>80</v>
      </c>
      <c r="B61" s="27"/>
      <c r="C61" s="27"/>
      <c r="D61" s="27"/>
      <c r="E61" s="26"/>
      <c r="F61" s="2"/>
    </row>
    <row r="62" spans="1:6">
      <c r="A62" s="26" t="s">
        <v>81</v>
      </c>
      <c r="B62" s="27"/>
      <c r="C62" s="27"/>
      <c r="D62" s="27"/>
      <c r="E62" s="26"/>
      <c r="F62" s="2"/>
    </row>
    <row r="63" spans="1:6">
      <c r="A63" s="26" t="s">
        <v>82</v>
      </c>
      <c r="B63" s="27"/>
      <c r="C63" s="27"/>
      <c r="D63" s="27"/>
      <c r="E63" s="26"/>
      <c r="F63" s="2"/>
    </row>
    <row r="64" spans="1:6">
      <c r="A64" s="26" t="s">
        <v>83</v>
      </c>
      <c r="B64" s="27"/>
      <c r="C64" s="27"/>
      <c r="D64" s="27"/>
      <c r="E64" s="26"/>
      <c r="F64" s="2"/>
    </row>
    <row r="65" spans="1:17">
      <c r="A65" s="26" t="s">
        <v>84</v>
      </c>
      <c r="B65" s="27"/>
      <c r="C65" s="27"/>
      <c r="D65" s="27"/>
      <c r="E65" s="26"/>
      <c r="F65" s="2"/>
    </row>
    <row r="66" spans="1:17">
      <c r="A66" s="26" t="s">
        <v>85</v>
      </c>
      <c r="B66" s="27"/>
      <c r="C66" s="27"/>
      <c r="D66" s="27"/>
      <c r="E66" s="26"/>
      <c r="F66" s="2"/>
    </row>
    <row r="67" spans="1:17">
      <c r="A67" s="26" t="s">
        <v>86</v>
      </c>
      <c r="B67" s="27"/>
      <c r="C67" s="27"/>
      <c r="D67" s="27"/>
      <c r="E67" s="26"/>
      <c r="F67" s="2"/>
    </row>
    <row r="68" spans="1:17">
      <c r="A68" s="26" t="s">
        <v>87</v>
      </c>
      <c r="B68" s="27"/>
      <c r="C68" s="27"/>
      <c r="D68" s="27"/>
      <c r="E68" s="26"/>
      <c r="F68" s="2"/>
    </row>
    <row r="69" spans="1:17" ht="15.75">
      <c r="A69" s="54" t="s">
        <v>88</v>
      </c>
      <c r="B69" s="56"/>
      <c r="C69" s="55"/>
      <c r="D69" s="55"/>
      <c r="E69" s="55"/>
      <c r="F69" s="2"/>
    </row>
    <row r="70" spans="1:17">
      <c r="A70" s="26" t="s">
        <v>89</v>
      </c>
      <c r="B70" s="27"/>
      <c r="C70" s="27"/>
      <c r="D70" s="27"/>
      <c r="E70" s="26"/>
      <c r="F70" s="2"/>
    </row>
    <row r="71" spans="1:17">
      <c r="A71" s="26" t="s">
        <v>90</v>
      </c>
      <c r="B71" s="27"/>
      <c r="C71" s="27"/>
      <c r="D71" s="27"/>
      <c r="E71" s="26"/>
      <c r="F71" s="2"/>
    </row>
    <row r="72" spans="1:17">
      <c r="A72" s="26" t="s">
        <v>91</v>
      </c>
      <c r="B72" s="27"/>
      <c r="C72" s="27"/>
      <c r="D72" s="27"/>
      <c r="E72" s="26"/>
      <c r="F72" s="2"/>
    </row>
    <row r="73" spans="1:17">
      <c r="A73" s="26" t="s">
        <v>92</v>
      </c>
      <c r="B73" s="27"/>
      <c r="C73" s="27"/>
      <c r="D73" s="27"/>
      <c r="E73" s="26"/>
      <c r="F73" s="2"/>
    </row>
    <row r="74" spans="1:17">
      <c r="A74" s="26" t="s">
        <v>93</v>
      </c>
      <c r="B74" s="27"/>
      <c r="C74" s="27"/>
      <c r="D74" s="27"/>
      <c r="E74" s="26"/>
      <c r="F74" s="2"/>
    </row>
    <row r="75" spans="1:17">
      <c r="A75" s="26" t="s">
        <v>94</v>
      </c>
      <c r="B75" s="27"/>
      <c r="C75" s="27"/>
      <c r="D75" s="27"/>
      <c r="E75" s="26"/>
      <c r="F75" s="2"/>
    </row>
    <row r="76" spans="1:17">
      <c r="A76" s="26" t="s">
        <v>95</v>
      </c>
      <c r="B76" s="27"/>
      <c r="C76" s="27"/>
      <c r="D76" s="27"/>
      <c r="E76" s="26"/>
      <c r="F76" s="2"/>
    </row>
    <row r="77" spans="1:17">
      <c r="A77" s="26" t="s">
        <v>96</v>
      </c>
      <c r="B77" s="27"/>
      <c r="C77" s="27"/>
      <c r="D77" s="27"/>
      <c r="E77" s="26"/>
      <c r="F77" s="2"/>
    </row>
    <row r="79" spans="1:17" ht="30" customHeight="1">
      <c r="A79" s="57" t="s">
        <v>97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0" spans="1:17" ht="61.5">
      <c r="A80" s="15" t="s">
        <v>98</v>
      </c>
      <c r="B80" s="13" t="s">
        <v>99</v>
      </c>
      <c r="C80" s="14" t="s">
        <v>26</v>
      </c>
      <c r="D80" s="14" t="s">
        <v>100</v>
      </c>
      <c r="E80" s="15" t="s">
        <v>101</v>
      </c>
      <c r="F80" s="15" t="s">
        <v>102</v>
      </c>
      <c r="G80" s="15" t="s">
        <v>103</v>
      </c>
      <c r="H80" s="15" t="s">
        <v>104</v>
      </c>
      <c r="I80" s="15" t="s">
        <v>105</v>
      </c>
      <c r="J80" s="15" t="s">
        <v>106</v>
      </c>
      <c r="K80" s="15" t="s">
        <v>107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112</v>
      </c>
      <c r="Q80" s="16" t="s">
        <v>113</v>
      </c>
    </row>
    <row r="81" spans="1:17" ht="29.25">
      <c r="A81" s="29" t="s">
        <v>114</v>
      </c>
      <c r="B81" s="21">
        <v>1</v>
      </c>
      <c r="C81" s="47" t="s">
        <v>115</v>
      </c>
      <c r="D81" s="34" t="s">
        <v>116</v>
      </c>
      <c r="E81" s="34" t="s">
        <v>117</v>
      </c>
      <c r="F81" s="34"/>
      <c r="G81" s="34" t="s">
        <v>118</v>
      </c>
      <c r="H81" s="30" t="b">
        <v>0</v>
      </c>
      <c r="I81" s="30" t="b">
        <v>1</v>
      </c>
      <c r="J81" s="30" t="b">
        <v>0</v>
      </c>
      <c r="K81" s="30" t="b">
        <v>0</v>
      </c>
      <c r="L81" s="30" t="b">
        <v>1</v>
      </c>
      <c r="M81" s="30" t="b">
        <v>1</v>
      </c>
      <c r="N81" s="30" t="b">
        <v>1</v>
      </c>
      <c r="O81" s="30" t="b">
        <v>1</v>
      </c>
      <c r="P81" s="30" t="b">
        <v>0</v>
      </c>
      <c r="Q81" s="31" t="b">
        <v>0</v>
      </c>
    </row>
    <row r="82" spans="1:17" ht="29.25">
      <c r="A82" s="29" t="s">
        <v>114</v>
      </c>
      <c r="B82" s="21">
        <f t="shared" ref="B82:B84" si="0">B81+1</f>
        <v>2</v>
      </c>
      <c r="C82" s="47" t="s">
        <v>118</v>
      </c>
      <c r="D82" s="34" t="s">
        <v>119</v>
      </c>
      <c r="E82" s="34" t="s">
        <v>120</v>
      </c>
      <c r="F82" s="34"/>
      <c r="G82" s="34" t="s">
        <v>121</v>
      </c>
      <c r="H82" s="30" t="b">
        <v>0</v>
      </c>
      <c r="I82" s="30" t="b">
        <v>1</v>
      </c>
      <c r="J82" s="30" t="b">
        <v>1</v>
      </c>
      <c r="K82" s="30" t="b">
        <v>0</v>
      </c>
      <c r="L82" s="30" t="b">
        <v>1</v>
      </c>
      <c r="M82" s="30" t="b">
        <v>1</v>
      </c>
      <c r="N82" s="30" t="b">
        <v>1</v>
      </c>
      <c r="O82" s="30" t="b">
        <v>1</v>
      </c>
      <c r="P82" s="30" t="b">
        <v>0</v>
      </c>
      <c r="Q82" s="31" t="b">
        <v>0</v>
      </c>
    </row>
    <row r="83" spans="1:17" ht="72.75">
      <c r="A83" s="29" t="s">
        <v>114</v>
      </c>
      <c r="B83" s="21">
        <f t="shared" si="0"/>
        <v>3</v>
      </c>
      <c r="C83" s="47" t="s">
        <v>120</v>
      </c>
      <c r="D83" s="34" t="s">
        <v>122</v>
      </c>
      <c r="E83" s="45" t="s">
        <v>123</v>
      </c>
      <c r="F83" s="34"/>
      <c r="G83" s="34" t="s">
        <v>118</v>
      </c>
      <c r="H83" s="30" t="b">
        <v>0</v>
      </c>
      <c r="I83" s="30" t="b">
        <v>0</v>
      </c>
      <c r="J83" s="30" t="b">
        <v>0</v>
      </c>
      <c r="K83" s="30" t="b">
        <v>0</v>
      </c>
      <c r="L83" s="30" t="b">
        <v>0</v>
      </c>
      <c r="M83" s="30" t="b">
        <v>1</v>
      </c>
      <c r="N83" s="30" t="b">
        <v>1</v>
      </c>
      <c r="O83" s="30" t="b">
        <v>0</v>
      </c>
      <c r="P83" s="30" t="b">
        <v>0</v>
      </c>
      <c r="Q83" s="31" t="b">
        <v>0</v>
      </c>
    </row>
    <row r="84" spans="1:17" ht="51" customHeight="1">
      <c r="A84" s="37" t="s">
        <v>114</v>
      </c>
      <c r="B84" s="38">
        <f t="shared" si="0"/>
        <v>4</v>
      </c>
      <c r="C84" s="48" t="s">
        <v>117</v>
      </c>
      <c r="D84" s="39" t="s">
        <v>124</v>
      </c>
      <c r="E84" s="34" t="s">
        <v>115</v>
      </c>
      <c r="F84" s="34"/>
      <c r="G84" s="34" t="s">
        <v>125</v>
      </c>
      <c r="H84" s="30" t="b">
        <v>0</v>
      </c>
      <c r="I84" s="30" t="b">
        <v>1</v>
      </c>
      <c r="J84" s="30" t="b">
        <v>1</v>
      </c>
      <c r="K84" s="30" t="b">
        <v>0</v>
      </c>
      <c r="L84" s="30" t="b">
        <v>1</v>
      </c>
      <c r="M84" s="30" t="b">
        <v>1</v>
      </c>
      <c r="N84" s="30" t="b">
        <v>1</v>
      </c>
      <c r="O84" s="30" t="b">
        <v>1</v>
      </c>
      <c r="P84" s="30" t="b">
        <v>1</v>
      </c>
      <c r="Q84" s="31" t="b">
        <v>1</v>
      </c>
    </row>
    <row r="85" spans="1:17" ht="57.75">
      <c r="A85" s="29" t="s">
        <v>126</v>
      </c>
      <c r="B85" s="35">
        <f>B84+1</f>
        <v>5</v>
      </c>
      <c r="C85" s="49" t="s">
        <v>127</v>
      </c>
      <c r="D85" s="36" t="s">
        <v>128</v>
      </c>
      <c r="E85" s="46" t="s">
        <v>129</v>
      </c>
      <c r="F85" s="34"/>
      <c r="G85" s="34" t="s">
        <v>130</v>
      </c>
      <c r="H85" s="30" t="b">
        <v>0</v>
      </c>
      <c r="I85" s="30" t="b">
        <v>1</v>
      </c>
      <c r="J85" s="30" t="b">
        <v>1</v>
      </c>
      <c r="K85" s="30" t="b">
        <v>0</v>
      </c>
      <c r="L85" s="30" t="b">
        <v>1</v>
      </c>
      <c r="M85" s="30" t="b">
        <v>1</v>
      </c>
      <c r="N85" s="30" t="b">
        <v>1</v>
      </c>
      <c r="O85" s="30" t="b">
        <v>1</v>
      </c>
      <c r="P85" s="30" t="b">
        <v>0</v>
      </c>
      <c r="Q85" s="31" t="b">
        <v>0</v>
      </c>
    </row>
    <row r="86" spans="1:17" ht="43.5">
      <c r="A86" s="40" t="s">
        <v>131</v>
      </c>
      <c r="B86" s="41">
        <f>B85+1</f>
        <v>6</v>
      </c>
      <c r="C86" s="50" t="s">
        <v>132</v>
      </c>
      <c r="D86" s="42" t="s">
        <v>133</v>
      </c>
      <c r="E86" s="34" t="s">
        <v>130</v>
      </c>
      <c r="F86" s="34" t="s">
        <v>134</v>
      </c>
      <c r="G86" s="34" t="s">
        <v>130</v>
      </c>
      <c r="H86" s="30" t="b">
        <v>1</v>
      </c>
      <c r="I86" s="30" t="b">
        <v>1</v>
      </c>
      <c r="J86" s="30" t="b">
        <v>1</v>
      </c>
      <c r="K86" s="30" t="b">
        <v>1</v>
      </c>
      <c r="L86" s="30" t="b">
        <v>1</v>
      </c>
      <c r="M86" s="30" t="b">
        <v>1</v>
      </c>
      <c r="N86" s="30" t="b">
        <v>1</v>
      </c>
      <c r="O86" s="30" t="b">
        <v>1</v>
      </c>
      <c r="P86" s="30" t="b">
        <v>0</v>
      </c>
      <c r="Q86" s="31" t="b">
        <v>0</v>
      </c>
    </row>
    <row r="87" spans="1:17" ht="29.25">
      <c r="A87" s="29" t="s">
        <v>114</v>
      </c>
      <c r="B87" s="21">
        <f>B86+1</f>
        <v>7</v>
      </c>
      <c r="C87" s="47" t="s">
        <v>135</v>
      </c>
      <c r="D87" s="34" t="s">
        <v>136</v>
      </c>
      <c r="E87" s="34"/>
      <c r="F87" s="34" t="s">
        <v>137</v>
      </c>
      <c r="G87" s="34"/>
      <c r="H87" s="30" t="b">
        <v>1</v>
      </c>
      <c r="I87" s="30" t="b">
        <v>1</v>
      </c>
      <c r="J87" s="30" t="b">
        <v>1</v>
      </c>
      <c r="K87" s="30" t="b">
        <v>1</v>
      </c>
      <c r="L87" s="30" t="b">
        <v>1</v>
      </c>
      <c r="M87" s="30" t="b">
        <v>1</v>
      </c>
      <c r="N87" s="30" t="b">
        <v>1</v>
      </c>
      <c r="O87" s="30" t="b">
        <v>1</v>
      </c>
      <c r="P87" s="30" t="b">
        <v>0</v>
      </c>
      <c r="Q87" s="31" t="b">
        <v>0</v>
      </c>
    </row>
    <row r="88" spans="1:17" ht="57.75">
      <c r="A88" s="29" t="s">
        <v>114</v>
      </c>
      <c r="B88" s="21">
        <f>B87+1</f>
        <v>8</v>
      </c>
      <c r="C88" s="47" t="s">
        <v>130</v>
      </c>
      <c r="D88" s="34" t="s">
        <v>138</v>
      </c>
      <c r="E88" s="34"/>
      <c r="F88" s="34" t="s">
        <v>139</v>
      </c>
      <c r="G88" s="34"/>
      <c r="H88" s="30" t="b">
        <v>0</v>
      </c>
      <c r="I88" s="30" t="b">
        <v>1</v>
      </c>
      <c r="J88" s="30" t="b">
        <v>1</v>
      </c>
      <c r="K88" s="30" t="b">
        <v>0</v>
      </c>
      <c r="L88" s="30" t="b">
        <v>1</v>
      </c>
      <c r="M88" s="30" t="b">
        <v>1</v>
      </c>
      <c r="N88" s="30" t="b">
        <v>1</v>
      </c>
      <c r="O88" s="30" t="b">
        <v>1</v>
      </c>
      <c r="P88" s="30" t="b">
        <v>0</v>
      </c>
      <c r="Q88" s="31" t="b">
        <v>0</v>
      </c>
    </row>
    <row r="89" spans="1:17" ht="29.25">
      <c r="A89" s="29" t="s">
        <v>114</v>
      </c>
      <c r="B89" s="21">
        <f>B88+1</f>
        <v>9</v>
      </c>
      <c r="C89" s="47" t="s">
        <v>140</v>
      </c>
      <c r="D89" s="34" t="s">
        <v>141</v>
      </c>
      <c r="E89" s="34" t="s">
        <v>130</v>
      </c>
      <c r="F89" s="34"/>
      <c r="G89" s="34" t="s">
        <v>130</v>
      </c>
      <c r="H89" s="30" t="b">
        <v>0</v>
      </c>
      <c r="I89" s="30" t="b">
        <v>1</v>
      </c>
      <c r="J89" s="30" t="b">
        <v>0</v>
      </c>
      <c r="K89" s="30" t="b">
        <v>0</v>
      </c>
      <c r="L89" s="30" t="b">
        <v>1</v>
      </c>
      <c r="M89" s="30" t="b">
        <v>1</v>
      </c>
      <c r="N89" s="30" t="b">
        <v>1</v>
      </c>
      <c r="O89" s="30" t="b">
        <v>1</v>
      </c>
      <c r="P89" s="30" t="b">
        <v>0</v>
      </c>
      <c r="Q89" s="31" t="b">
        <v>0</v>
      </c>
    </row>
    <row r="90" spans="1:17" ht="57.75">
      <c r="A90" s="29" t="s">
        <v>114</v>
      </c>
      <c r="B90" s="21">
        <f>B89+1</f>
        <v>10</v>
      </c>
      <c r="C90" s="47" t="s">
        <v>142</v>
      </c>
      <c r="D90" s="34" t="s">
        <v>143</v>
      </c>
      <c r="E90" s="34"/>
      <c r="F90" s="34" t="s">
        <v>132</v>
      </c>
      <c r="G90" s="34"/>
      <c r="H90" s="30" t="b">
        <v>0</v>
      </c>
      <c r="I90" s="30" t="b">
        <v>1</v>
      </c>
      <c r="J90" s="30" t="b">
        <v>0</v>
      </c>
      <c r="K90" s="30" t="b">
        <v>1</v>
      </c>
      <c r="L90" s="30" t="b">
        <v>1</v>
      </c>
      <c r="M90" s="30" t="b">
        <v>1</v>
      </c>
      <c r="N90" s="30" t="b">
        <v>1</v>
      </c>
      <c r="O90" s="30" t="b">
        <v>1</v>
      </c>
      <c r="P90" s="30" t="b">
        <v>0</v>
      </c>
      <c r="Q90" s="31" t="b">
        <v>0</v>
      </c>
    </row>
    <row r="91" spans="1:17" ht="43.5">
      <c r="A91" s="29" t="s">
        <v>114</v>
      </c>
      <c r="B91" s="21">
        <f>B90+1</f>
        <v>11</v>
      </c>
      <c r="C91" s="47" t="s">
        <v>144</v>
      </c>
      <c r="D91" s="34" t="s">
        <v>145</v>
      </c>
      <c r="E91" s="34" t="s">
        <v>130</v>
      </c>
      <c r="F91" s="34"/>
      <c r="G91" s="34" t="s">
        <v>130</v>
      </c>
      <c r="H91" s="30" t="b">
        <v>1</v>
      </c>
      <c r="I91" s="30" t="b">
        <v>1</v>
      </c>
      <c r="J91" s="30" t="b">
        <v>1</v>
      </c>
      <c r="K91" s="30" t="b">
        <v>0</v>
      </c>
      <c r="L91" s="30" t="b">
        <v>1</v>
      </c>
      <c r="M91" s="30" t="b">
        <v>1</v>
      </c>
      <c r="N91" s="30" t="b">
        <v>1</v>
      </c>
      <c r="O91" s="30" t="b">
        <v>1</v>
      </c>
      <c r="P91" s="30" t="b">
        <v>0</v>
      </c>
      <c r="Q91" s="31" t="b">
        <v>0</v>
      </c>
    </row>
    <row r="92" spans="1:17" ht="29.25">
      <c r="A92" s="29" t="s">
        <v>131</v>
      </c>
      <c r="B92" s="21">
        <f>B91+1</f>
        <v>12</v>
      </c>
      <c r="C92" s="48" t="s">
        <v>146</v>
      </c>
      <c r="D92" s="28" t="s">
        <v>147</v>
      </c>
      <c r="E92" s="39"/>
      <c r="F92" s="39" t="s">
        <v>137</v>
      </c>
      <c r="G92" s="39"/>
      <c r="H92" s="32" t="b">
        <v>0</v>
      </c>
      <c r="I92" s="32" t="b">
        <v>1</v>
      </c>
      <c r="J92" s="32" t="b">
        <v>1</v>
      </c>
      <c r="K92" s="32" t="b">
        <v>1</v>
      </c>
      <c r="L92" s="32" t="b">
        <v>1</v>
      </c>
      <c r="M92" s="32" t="b">
        <v>1</v>
      </c>
      <c r="N92" s="32" t="b">
        <v>1</v>
      </c>
      <c r="O92" s="32" t="b">
        <v>1</v>
      </c>
      <c r="P92" s="32" t="b">
        <v>0</v>
      </c>
      <c r="Q92" s="33" t="b">
        <v>0</v>
      </c>
    </row>
    <row r="93" spans="1:17" ht="57.75">
      <c r="A93" s="29" t="s">
        <v>148</v>
      </c>
      <c r="B93" s="21">
        <f t="shared" ref="B93:B100" si="1">B92+1</f>
        <v>13</v>
      </c>
      <c r="C93" s="44" t="s">
        <v>149</v>
      </c>
      <c r="D93" s="45" t="s">
        <v>150</v>
      </c>
      <c r="E93" s="34" t="s">
        <v>130</v>
      </c>
      <c r="F93" s="34"/>
      <c r="G93" s="34" t="s">
        <v>130</v>
      </c>
      <c r="H93" s="8" t="b">
        <v>0</v>
      </c>
      <c r="I93" s="8" t="b">
        <v>1</v>
      </c>
      <c r="J93" s="8" t="b">
        <v>1</v>
      </c>
      <c r="K93" s="8" t="b">
        <v>0</v>
      </c>
      <c r="L93" s="8" t="b">
        <v>1</v>
      </c>
      <c r="M93" s="8" t="b">
        <v>1</v>
      </c>
      <c r="N93" s="8" t="b">
        <v>1</v>
      </c>
      <c r="O93" s="8" t="b">
        <v>1</v>
      </c>
      <c r="P93" s="8" t="b">
        <v>0</v>
      </c>
      <c r="Q93" s="12" t="b">
        <v>0</v>
      </c>
    </row>
    <row r="94" spans="1:17" ht="43.5">
      <c r="A94" s="22" t="s">
        <v>148</v>
      </c>
      <c r="B94" s="21">
        <f t="shared" si="1"/>
        <v>14</v>
      </c>
      <c r="C94" s="20"/>
      <c r="D94" s="39" t="s">
        <v>151</v>
      </c>
      <c r="E94" s="10"/>
      <c r="F94" s="10"/>
      <c r="G94" s="10"/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7" t="b">
        <v>0</v>
      </c>
    </row>
    <row r="95" spans="1:17">
      <c r="A95" s="22" t="s">
        <v>148</v>
      </c>
      <c r="B95" s="21">
        <f t="shared" si="1"/>
        <v>15</v>
      </c>
      <c r="C95" s="19"/>
      <c r="D95" s="7"/>
      <c r="E95" s="7"/>
      <c r="F95" s="7"/>
      <c r="G95" s="7"/>
      <c r="H95" s="8" t="b">
        <v>0</v>
      </c>
      <c r="I95" s="8" t="b">
        <v>0</v>
      </c>
      <c r="J95" s="8" t="b">
        <v>0</v>
      </c>
      <c r="K95" s="8" t="b">
        <v>0</v>
      </c>
      <c r="L95" s="8" t="b">
        <v>0</v>
      </c>
      <c r="M95" s="8" t="b">
        <v>0</v>
      </c>
      <c r="N95" s="8" t="b">
        <v>0</v>
      </c>
      <c r="O95" s="8" t="b">
        <v>0</v>
      </c>
      <c r="P95" s="8" t="b">
        <v>0</v>
      </c>
      <c r="Q95" s="12" t="b">
        <v>0</v>
      </c>
    </row>
    <row r="96" spans="1:17">
      <c r="A96" s="19"/>
      <c r="B96" s="21">
        <f t="shared" si="1"/>
        <v>16</v>
      </c>
      <c r="C96" s="19"/>
      <c r="D96" s="7"/>
      <c r="E96" s="7"/>
      <c r="F96" s="7"/>
      <c r="G96" s="7"/>
      <c r="H96" s="8" t="b">
        <v>0</v>
      </c>
      <c r="I96" s="8" t="b">
        <v>0</v>
      </c>
      <c r="J96" s="8" t="b">
        <v>0</v>
      </c>
      <c r="K96" s="8" t="b">
        <v>0</v>
      </c>
      <c r="L96" s="8" t="b">
        <v>0</v>
      </c>
      <c r="M96" s="8" t="b">
        <v>0</v>
      </c>
      <c r="N96" s="8" t="b">
        <v>0</v>
      </c>
      <c r="O96" s="8" t="b">
        <v>0</v>
      </c>
      <c r="P96" s="8" t="b">
        <v>0</v>
      </c>
      <c r="Q96" s="12" t="b">
        <v>0</v>
      </c>
    </row>
    <row r="97" spans="1:17">
      <c r="A97" s="19"/>
      <c r="B97" s="21">
        <f t="shared" si="1"/>
        <v>17</v>
      </c>
      <c r="C97" s="20"/>
      <c r="D97" s="10"/>
      <c r="E97" s="10"/>
      <c r="F97" s="10"/>
      <c r="G97" s="10"/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7" t="b">
        <v>0</v>
      </c>
    </row>
    <row r="98" spans="1:17">
      <c r="A98" s="19"/>
      <c r="B98" s="21">
        <f t="shared" si="1"/>
        <v>18</v>
      </c>
      <c r="C98" s="19"/>
      <c r="D98" s="7"/>
      <c r="E98" s="7"/>
      <c r="F98" s="7"/>
      <c r="G98" s="7"/>
      <c r="H98" s="8" t="b">
        <v>0</v>
      </c>
      <c r="I98" s="8" t="b">
        <v>0</v>
      </c>
      <c r="J98" s="8" t="b">
        <v>0</v>
      </c>
      <c r="K98" s="8" t="b">
        <v>0</v>
      </c>
      <c r="L98" s="8" t="b">
        <v>0</v>
      </c>
      <c r="M98" s="8" t="b">
        <v>0</v>
      </c>
      <c r="N98" s="8" t="b">
        <v>0</v>
      </c>
      <c r="O98" s="8" t="b">
        <v>0</v>
      </c>
      <c r="P98" s="8" t="b">
        <v>0</v>
      </c>
      <c r="Q98" s="12" t="b">
        <v>0</v>
      </c>
    </row>
    <row r="99" spans="1:17">
      <c r="A99" s="19"/>
      <c r="B99" s="21">
        <f t="shared" si="1"/>
        <v>19</v>
      </c>
      <c r="C99" s="19"/>
      <c r="D99" s="7"/>
      <c r="E99" s="7"/>
      <c r="F99" s="7"/>
      <c r="G99" s="7"/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  <c r="N99" s="8" t="b">
        <v>0</v>
      </c>
      <c r="O99" s="8" t="b">
        <v>0</v>
      </c>
      <c r="P99" s="8" t="b">
        <v>0</v>
      </c>
      <c r="Q99" s="12" t="b">
        <v>0</v>
      </c>
    </row>
    <row r="100" spans="1:17">
      <c r="A100" s="20"/>
      <c r="B100" s="21">
        <f t="shared" si="1"/>
        <v>20</v>
      </c>
      <c r="C100" s="20"/>
      <c r="D100" s="10"/>
      <c r="E100" s="10"/>
      <c r="F100" s="10"/>
      <c r="G100" s="10"/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7" t="b">
        <v>0</v>
      </c>
    </row>
  </sheetData>
  <mergeCells count="10">
    <mergeCell ref="A42:E42"/>
    <mergeCell ref="A51:E51"/>
    <mergeCell ref="A60:E60"/>
    <mergeCell ref="A69:E69"/>
    <mergeCell ref="A79:Q79"/>
    <mergeCell ref="A1:E1"/>
    <mergeCell ref="A13:E13"/>
    <mergeCell ref="A15:E15"/>
    <mergeCell ref="A24:E24"/>
    <mergeCell ref="A33:E33"/>
  </mergeCells>
  <phoneticPr fontId="4" type="noConversion"/>
  <conditionalFormatting sqref="A81:A95">
    <cfRule type="cellIs" dxfId="40" priority="1" operator="equal">
      <formula>"Compliant"</formula>
    </cfRule>
    <cfRule type="cellIs" dxfId="39" priority="2" operator="equal">
      <formula>"Partial Compliance"</formula>
    </cfRule>
    <cfRule type="cellIs" dxfId="38" priority="3" operator="equal">
      <formula>"Not Compliant "</formula>
    </cfRule>
  </conditionalFormatting>
  <conditionalFormatting sqref="H81:Q100">
    <cfRule type="cellIs" dxfId="37" priority="4" operator="equal">
      <formula>FALSE</formula>
    </cfRule>
    <cfRule type="cellIs" dxfId="36" priority="5" operator="equal">
      <formula>TRUE</formula>
    </cfRule>
  </conditionalFormatting>
  <dataValidations count="1">
    <dataValidation type="list" allowBlank="1" sqref="A81:A95" xr:uid="{F8D24860-0EC2-4856-9B54-A03DBA9E149B}">
      <formula1>"Scheduled, Commanded, Reaction,N/A,"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227A-EF9D-48F6-9DB0-3ABFB25BF6C0}">
  <dimension ref="A1:Q12"/>
  <sheetViews>
    <sheetView zoomScale="77" workbookViewId="0">
      <selection activeCell="A2" sqref="A2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 ht="43.5">
      <c r="A2" s="18" t="str" cm="1">
        <f t="array" ref="A2:Q4">_xlfn._xlws.FILTER(Table6[], Table6[Neutron Detector])</f>
        <v>Commanded</v>
      </c>
      <c r="B2" s="9">
        <v>6</v>
      </c>
      <c r="C2" s="4" t="str">
        <v>Science Operations</v>
      </c>
      <c r="D2" s="7" t="str">
        <v>Collecting counts from Nuetron Detector.</v>
      </c>
      <c r="E2" s="7" t="str">
        <v>Idle</v>
      </c>
      <c r="F2" s="7" t="str">
        <v>Data Processing
Receiving
Transmitting</v>
      </c>
      <c r="G2" s="8" t="str">
        <v>Idle</v>
      </c>
      <c r="H2" s="8" t="b">
        <v>1</v>
      </c>
      <c r="I2" s="8" t="b">
        <v>1</v>
      </c>
      <c r="J2" s="8" t="b">
        <v>1</v>
      </c>
      <c r="K2" s="8" t="b">
        <v>1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7</v>
      </c>
      <c r="C3" s="4" t="str">
        <v>Transmitting</v>
      </c>
      <c r="D3" s="7" t="str">
        <v>Transmitting telemetry, mission data, and operational data to ground station(s).</v>
      </c>
      <c r="E3" s="7">
        <v>0</v>
      </c>
      <c r="F3" s="7" t="str">
        <v>Idle
Science Operations</v>
      </c>
      <c r="G3" s="8">
        <v>0</v>
      </c>
      <c r="H3" s="8" t="b">
        <v>1</v>
      </c>
      <c r="I3" s="8" t="b">
        <v>1</v>
      </c>
      <c r="J3" s="8" t="b">
        <v>1</v>
      </c>
      <c r="K3" s="8" t="b">
        <v>1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0</v>
      </c>
      <c r="Q3" t="b">
        <v>0</v>
      </c>
    </row>
    <row r="4" spans="1:17" ht="29.25">
      <c r="A4" s="18" t="str">
        <v>Scheduled</v>
      </c>
      <c r="B4" s="9">
        <v>11</v>
      </c>
      <c r="C4" s="4" t="str">
        <v>Pointing</v>
      </c>
      <c r="D4" s="7" t="str">
        <v>Pointing Solar Array towards the sun for maximum power generation or Antenna towards ground station for communication.</v>
      </c>
      <c r="E4" s="7" t="str">
        <v>Idle</v>
      </c>
      <c r="F4" s="7">
        <v>0</v>
      </c>
      <c r="G4" s="8" t="str">
        <v>Idle</v>
      </c>
      <c r="H4" s="8" t="b">
        <v>1</v>
      </c>
      <c r="I4" s="8" t="b">
        <v>1</v>
      </c>
      <c r="J4" s="8" t="b">
        <v>1</v>
      </c>
      <c r="K4" s="8" t="b">
        <v>0</v>
      </c>
      <c r="L4" s="8" t="b">
        <v>1</v>
      </c>
      <c r="M4" s="8" t="b">
        <v>1</v>
      </c>
      <c r="N4" s="8" t="b">
        <v>1</v>
      </c>
      <c r="O4" s="8" t="b">
        <v>1</v>
      </c>
      <c r="P4" s="12" t="b">
        <v>0</v>
      </c>
      <c r="Q4" t="b">
        <v>0</v>
      </c>
    </row>
    <row r="5" spans="1:17" ht="29.25">
      <c r="A5" s="18"/>
      <c r="B5" s="9"/>
      <c r="C5" s="4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12"/>
    </row>
    <row r="6" spans="1:17">
      <c r="A6" s="18"/>
      <c r="B6" s="9"/>
      <c r="C6" s="4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12"/>
    </row>
    <row r="7" spans="1:17" ht="15" customHeight="1">
      <c r="A7" s="18"/>
      <c r="B7" s="9"/>
      <c r="C7" s="4"/>
      <c r="D7" s="7"/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12"/>
    </row>
    <row r="8" spans="1:17" ht="15" customHeight="1">
      <c r="A8" s="18"/>
      <c r="B8" s="9"/>
      <c r="C8" s="4"/>
      <c r="D8" s="7"/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12"/>
    </row>
    <row r="9" spans="1:17" ht="15" customHeight="1">
      <c r="A9" s="18"/>
      <c r="B9" s="9"/>
      <c r="C9" s="4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12"/>
    </row>
    <row r="10" spans="1:17" ht="15" customHeight="1">
      <c r="A10" s="18"/>
      <c r="B10" s="9"/>
      <c r="C10" s="4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12"/>
    </row>
    <row r="11" spans="1:17" ht="15" customHeight="1">
      <c r="A11" s="18"/>
      <c r="B11" s="9"/>
      <c r="C11" s="4"/>
      <c r="D11" s="7"/>
      <c r="E11" s="7"/>
      <c r="F11" s="7"/>
      <c r="G11" s="8"/>
      <c r="H11" s="8"/>
      <c r="I11" s="8"/>
      <c r="J11" s="8"/>
      <c r="K11" s="8"/>
      <c r="L11" s="8"/>
      <c r="M11" s="8"/>
      <c r="N11" s="8"/>
      <c r="O11" s="8"/>
      <c r="P11" s="12"/>
    </row>
    <row r="12" spans="1:17" ht="15" customHeight="1">
      <c r="A12" s="18"/>
      <c r="B12" s="9"/>
      <c r="C12" s="4"/>
      <c r="D12" s="7"/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12"/>
    </row>
  </sheetData>
  <conditionalFormatting sqref="G2:P12">
    <cfRule type="cellIs" dxfId="13" priority="1" operator="equal">
      <formula>FALSE</formula>
    </cfRule>
    <cfRule type="cellIs" dxfId="12" priority="2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3E6B-FB69-439E-82BB-C8C392546873}">
  <dimension ref="A1:Q14"/>
  <sheetViews>
    <sheetView topLeftCell="J1" workbookViewId="0">
      <selection activeCell="P1" sqref="A1:XFD1048576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 ht="29.25">
      <c r="A2" s="18" t="str" cm="1">
        <f t="array" ref="A2:Q13">_xlfn._xlws.FILTER(Table6[], Table6[ADCS])</f>
        <v>Scheduled</v>
      </c>
      <c r="B2" s="9">
        <v>1</v>
      </c>
      <c r="C2" s="4" t="str">
        <v>Detumble</v>
      </c>
      <c r="D2" s="7" t="str">
        <v>Bring NuKat back to a stable state decided by ground team.</v>
      </c>
      <c r="E2" s="7" t="str">
        <v>Deployment Monitoring</v>
      </c>
      <c r="F2" s="7">
        <v>0</v>
      </c>
      <c r="G2" s="8" t="str">
        <v>Initial Startup</v>
      </c>
      <c r="H2" s="8" t="b">
        <v>0</v>
      </c>
      <c r="I2" s="8" t="b">
        <v>1</v>
      </c>
      <c r="J2" s="8" t="b">
        <v>0</v>
      </c>
      <c r="K2" s="8" t="b">
        <v>0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2</v>
      </c>
      <c r="C3" s="4" t="str">
        <v>Initial Startup</v>
      </c>
      <c r="D3" s="7" t="str">
        <v>Bring critical systems online for NuKat to begin normal operation.</v>
      </c>
      <c r="E3" s="7" t="str">
        <v>Sleep</v>
      </c>
      <c r="F3" s="7">
        <v>0</v>
      </c>
      <c r="G3" s="8" t="str">
        <v>Detumble
Sleep</v>
      </c>
      <c r="H3" s="8" t="b">
        <v>0</v>
      </c>
      <c r="I3" s="8" t="b">
        <v>1</v>
      </c>
      <c r="J3" s="8" t="b">
        <v>1</v>
      </c>
      <c r="K3" s="8" t="b">
        <v>0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0</v>
      </c>
      <c r="Q3" t="b">
        <v>0</v>
      </c>
    </row>
    <row r="4" spans="1:17">
      <c r="A4" s="18" t="str">
        <v>Scheduled</v>
      </c>
      <c r="B4" s="9">
        <v>4</v>
      </c>
      <c r="C4" s="4" t="str">
        <v>Deployment Monitoring</v>
      </c>
      <c r="D4" s="7" t="str">
        <v>Overseeing the initial deployment of appendiges (solar arrays, antenna, &amp; radiator panels).</v>
      </c>
      <c r="E4" s="7" t="str">
        <v>Detumble</v>
      </c>
      <c r="F4" s="7">
        <v>0</v>
      </c>
      <c r="G4" s="8" t="str">
        <v>Sleep
Idle</v>
      </c>
      <c r="H4" s="8" t="b">
        <v>0</v>
      </c>
      <c r="I4" s="8" t="b">
        <v>1</v>
      </c>
      <c r="J4" s="8" t="b">
        <v>1</v>
      </c>
      <c r="K4" s="8" t="b">
        <v>0</v>
      </c>
      <c r="L4" s="8" t="b">
        <v>1</v>
      </c>
      <c r="M4" s="8" t="b">
        <v>1</v>
      </c>
      <c r="N4" s="8" t="b">
        <v>1</v>
      </c>
      <c r="O4" s="8" t="b">
        <v>1</v>
      </c>
      <c r="P4" s="12" t="b">
        <v>1</v>
      </c>
      <c r="Q4" t="b">
        <v>1</v>
      </c>
    </row>
    <row r="5" spans="1:17" ht="43.5">
      <c r="A5" s="18" t="str">
        <v>Reaction</v>
      </c>
      <c r="B5" s="9">
        <v>5</v>
      </c>
      <c r="C5" s="4" t="str">
        <v>Survival</v>
      </c>
      <c r="D5" s="7" t="str">
        <v>Emergency state if anything disasterous occurs. Thermal regulation and/or maximum power absorption becomes necessary. Transmitting a beacon signal is prefereable</v>
      </c>
      <c r="E5" s="7" t="str">
        <v>Any</v>
      </c>
      <c r="F5" s="7">
        <v>0</v>
      </c>
      <c r="G5" s="8" t="str">
        <v>Idle</v>
      </c>
      <c r="H5" s="8" t="b">
        <v>0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1</v>
      </c>
      <c r="O5" s="8" t="b">
        <v>1</v>
      </c>
      <c r="P5" s="12" t="b">
        <v>0</v>
      </c>
      <c r="Q5" t="b">
        <v>0</v>
      </c>
    </row>
    <row r="6" spans="1:17" ht="43.5">
      <c r="A6" s="18" t="str">
        <v>Commanded</v>
      </c>
      <c r="B6" s="9">
        <v>6</v>
      </c>
      <c r="C6" s="4" t="str">
        <v>Science Operations</v>
      </c>
      <c r="D6" s="7" t="str">
        <v>Collecting counts from Nuetron Detector.</v>
      </c>
      <c r="E6" s="7" t="str">
        <v>Idle</v>
      </c>
      <c r="F6" s="7" t="str">
        <v>Data Processing
Receiving
Transmitting</v>
      </c>
      <c r="G6" s="8" t="str">
        <v>Idle</v>
      </c>
      <c r="H6" s="8" t="b">
        <v>1</v>
      </c>
      <c r="I6" s="8" t="b">
        <v>1</v>
      </c>
      <c r="J6" s="8" t="b">
        <v>1</v>
      </c>
      <c r="K6" s="8" t="b">
        <v>1</v>
      </c>
      <c r="L6" s="8" t="b">
        <v>1</v>
      </c>
      <c r="M6" s="8" t="b">
        <v>1</v>
      </c>
      <c r="N6" s="8" t="b">
        <v>1</v>
      </c>
      <c r="O6" s="8" t="b">
        <v>1</v>
      </c>
      <c r="P6" s="12" t="b">
        <v>0</v>
      </c>
      <c r="Q6" t="b">
        <v>0</v>
      </c>
    </row>
    <row r="7" spans="1:17">
      <c r="A7" s="18" t="str">
        <v>Scheduled</v>
      </c>
      <c r="B7" s="9">
        <v>7</v>
      </c>
      <c r="C7" s="4" t="str">
        <v>Transmitting</v>
      </c>
      <c r="D7" s="7" t="str">
        <v>Transmitting telemetry, mission data, and operational data to ground station(s).</v>
      </c>
      <c r="E7" s="7">
        <v>0</v>
      </c>
      <c r="F7" s="7" t="str">
        <v>Idle
Science Operations</v>
      </c>
      <c r="G7" s="8">
        <v>0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8" t="b">
        <v>1</v>
      </c>
      <c r="O7" s="8" t="b">
        <v>1</v>
      </c>
      <c r="P7" s="12" t="b">
        <v>0</v>
      </c>
      <c r="Q7" t="b">
        <v>0</v>
      </c>
    </row>
    <row r="8" spans="1:17">
      <c r="A8" s="18" t="str">
        <v>Scheduled</v>
      </c>
      <c r="B8" s="9">
        <v>8</v>
      </c>
      <c r="C8" s="4" t="str">
        <v>Idle</v>
      </c>
      <c r="D8" s="7" t="str">
        <v>NuKat continues along planned orbit and awaits scheduled operations or commands from ground station. Includes periodic health monitoring.</v>
      </c>
      <c r="E8" s="7">
        <v>0</v>
      </c>
      <c r="F8" s="7" t="str">
        <v>Receiving
Transmitting</v>
      </c>
      <c r="G8" s="8">
        <v>0</v>
      </c>
      <c r="H8" s="8" t="b">
        <v>0</v>
      </c>
      <c r="I8" s="8" t="b">
        <v>1</v>
      </c>
      <c r="J8" s="8" t="b">
        <v>1</v>
      </c>
      <c r="K8" s="8" t="b">
        <v>0</v>
      </c>
      <c r="L8" s="8" t="b">
        <v>1</v>
      </c>
      <c r="M8" s="8" t="b">
        <v>1</v>
      </c>
      <c r="N8" s="8" t="b">
        <v>1</v>
      </c>
      <c r="O8" s="8" t="b">
        <v>1</v>
      </c>
      <c r="P8" s="12" t="b">
        <v>0</v>
      </c>
      <c r="Q8" t="b">
        <v>0</v>
      </c>
    </row>
    <row r="9" spans="1:17">
      <c r="A9" s="18" t="str">
        <v>Scheduled</v>
      </c>
      <c r="B9" s="9">
        <v>9</v>
      </c>
      <c r="C9" s="4" t="str">
        <v>Calibration - ADCS</v>
      </c>
      <c r="D9" s="7" t="str">
        <v>Verify orientation and position of the NuKat at any point in orbit.</v>
      </c>
      <c r="E9" s="7" t="str">
        <v>Idle</v>
      </c>
      <c r="F9" s="7">
        <v>0</v>
      </c>
      <c r="G9" s="8" t="str">
        <v>Idle</v>
      </c>
      <c r="H9" s="8" t="b">
        <v>0</v>
      </c>
      <c r="I9" s="8" t="b">
        <v>1</v>
      </c>
      <c r="J9" s="8" t="b">
        <v>0</v>
      </c>
      <c r="K9" s="8" t="b">
        <v>0</v>
      </c>
      <c r="L9" s="8" t="b">
        <v>1</v>
      </c>
      <c r="M9" s="8" t="b">
        <v>1</v>
      </c>
      <c r="N9" s="8" t="b">
        <v>1</v>
      </c>
      <c r="O9" s="8" t="b">
        <v>1</v>
      </c>
      <c r="P9" s="12" t="b">
        <v>0</v>
      </c>
      <c r="Q9" t="b">
        <v>0</v>
      </c>
    </row>
    <row r="10" spans="1:17">
      <c r="A10" s="18" t="str">
        <v>Scheduled</v>
      </c>
      <c r="B10" s="9">
        <v>10</v>
      </c>
      <c r="C10" s="4" t="str">
        <v>Data Processing</v>
      </c>
      <c r="D10" s="7" t="str">
        <v>Processors are analyzing collection of measured or received data, performing operations, storing desireable data, and prepparing data for transmission.</v>
      </c>
      <c r="E10" s="7">
        <v>0</v>
      </c>
      <c r="F10" s="7" t="str">
        <v>Science Operations</v>
      </c>
      <c r="G10" s="8">
        <v>0</v>
      </c>
      <c r="H10" s="8" t="b">
        <v>0</v>
      </c>
      <c r="I10" s="8" t="b">
        <v>1</v>
      </c>
      <c r="J10" s="8" t="b">
        <v>0</v>
      </c>
      <c r="K10" s="8" t="b">
        <v>1</v>
      </c>
      <c r="L10" s="8" t="b">
        <v>1</v>
      </c>
      <c r="M10" s="8" t="b">
        <v>1</v>
      </c>
      <c r="N10" s="8" t="b">
        <v>1</v>
      </c>
      <c r="O10" s="8" t="b">
        <v>1</v>
      </c>
      <c r="P10" s="12" t="b">
        <v>0</v>
      </c>
      <c r="Q10" t="b">
        <v>0</v>
      </c>
    </row>
    <row r="11" spans="1:17" ht="29.25">
      <c r="A11" s="18" t="str">
        <v>Scheduled</v>
      </c>
      <c r="B11" s="9">
        <v>11</v>
      </c>
      <c r="C11" s="4" t="str">
        <v>Pointing</v>
      </c>
      <c r="D11" s="7" t="str">
        <v>Pointing Solar Array towards the sun for maximum power generation or Antenna towards ground station for communication.</v>
      </c>
      <c r="E11" s="7" t="str">
        <v>Idle</v>
      </c>
      <c r="F11" s="7">
        <v>0</v>
      </c>
      <c r="G11" s="8" t="str">
        <v>Idle</v>
      </c>
      <c r="H11" s="8" t="b">
        <v>1</v>
      </c>
      <c r="I11" s="8" t="b">
        <v>1</v>
      </c>
      <c r="J11" s="8" t="b">
        <v>1</v>
      </c>
      <c r="K11" s="8" t="b">
        <v>0</v>
      </c>
      <c r="L11" s="8" t="b">
        <v>1</v>
      </c>
      <c r="M11" s="8" t="b">
        <v>1</v>
      </c>
      <c r="N11" s="8" t="b">
        <v>1</v>
      </c>
      <c r="O11" s="8" t="b">
        <v>1</v>
      </c>
      <c r="P11" s="12" t="b">
        <v>0</v>
      </c>
      <c r="Q11" t="b">
        <v>0</v>
      </c>
    </row>
    <row r="12" spans="1:17" ht="29.25">
      <c r="A12" s="18" t="str">
        <v>Commanded</v>
      </c>
      <c r="B12" s="9">
        <v>12</v>
      </c>
      <c r="C12" s="4" t="str">
        <v>Receiving</v>
      </c>
      <c r="D12" s="7" t="str">
        <v>Receive commands and data uplink from ground station.</v>
      </c>
      <c r="E12" s="7">
        <v>0</v>
      </c>
      <c r="F12" s="7" t="str">
        <v>Idle
Science Operations</v>
      </c>
      <c r="G12" s="8">
        <v>0</v>
      </c>
      <c r="H12" s="8" t="b">
        <v>0</v>
      </c>
      <c r="I12" s="8" t="b">
        <v>1</v>
      </c>
      <c r="J12" s="8" t="b">
        <v>1</v>
      </c>
      <c r="K12" s="8" t="b">
        <v>1</v>
      </c>
      <c r="L12" s="8" t="b">
        <v>1</v>
      </c>
      <c r="M12" s="8" t="b">
        <v>1</v>
      </c>
      <c r="N12" s="8" t="b">
        <v>1</v>
      </c>
      <c r="O12" s="8" t="b">
        <v>1</v>
      </c>
      <c r="P12" s="12" t="b">
        <v>0</v>
      </c>
      <c r="Q12" t="b">
        <v>0</v>
      </c>
    </row>
    <row r="13" spans="1:17">
      <c r="A13" s="18" t="str">
        <v>N/A</v>
      </c>
      <c r="B13" s="9">
        <v>13</v>
      </c>
      <c r="C13" s="4" t="str">
        <v>Upset</v>
      </c>
      <c r="D13" s="7" t="str">
        <v>There has been some fault or a condition is found unsatisfactory in the vehicle. The upset trigger is analyzed and a plan is formulated to mitigate the trigger.</v>
      </c>
      <c r="E13" s="7" t="str">
        <v>Idle</v>
      </c>
      <c r="F13" s="7">
        <v>0</v>
      </c>
      <c r="G13" s="8" t="str">
        <v>Idle</v>
      </c>
      <c r="H13" s="8" t="b">
        <v>0</v>
      </c>
      <c r="I13" s="8" t="b">
        <v>1</v>
      </c>
      <c r="J13" s="8" t="b">
        <v>1</v>
      </c>
      <c r="K13" s="8" t="b">
        <v>0</v>
      </c>
      <c r="L13" s="8" t="b">
        <v>1</v>
      </c>
      <c r="M13" s="8" t="b">
        <v>1</v>
      </c>
      <c r="N13" s="8" t="b">
        <v>1</v>
      </c>
      <c r="O13" s="8" t="b">
        <v>1</v>
      </c>
      <c r="P13" s="12" t="b">
        <v>0</v>
      </c>
      <c r="Q13" t="b">
        <v>0</v>
      </c>
    </row>
    <row r="14" spans="1:17">
      <c r="A14" s="18"/>
      <c r="B14" s="9"/>
      <c r="C14" s="4"/>
      <c r="D14" s="7"/>
      <c r="E14" s="7"/>
      <c r="F14" s="7"/>
      <c r="G14" s="8"/>
      <c r="H14" s="8"/>
      <c r="I14" s="8"/>
      <c r="J14" s="8"/>
      <c r="K14" s="8"/>
      <c r="L14" s="8"/>
      <c r="M14" s="8"/>
      <c r="N14" s="8"/>
      <c r="O14" s="8"/>
      <c r="P14" s="12"/>
    </row>
  </sheetData>
  <conditionalFormatting sqref="G2:P14">
    <cfRule type="cellIs" dxfId="11" priority="1" operator="equal">
      <formula>FALSE</formula>
    </cfRule>
    <cfRule type="cellIs" dxfId="10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E686-2601-4BB6-8423-B09B142AA786}">
  <dimension ref="A1:Q11"/>
  <sheetViews>
    <sheetView workbookViewId="0">
      <selection activeCell="C4" sqref="C4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>
      <c r="A2" s="18" t="str" cm="1">
        <f t="array" ref="A2:Q11">_xlfn._xlws.FILTER(Table6[], Table6[Communications] + Table6[Data Handling])</f>
        <v>Scheduled</v>
      </c>
      <c r="B2" s="9">
        <v>2</v>
      </c>
      <c r="C2" s="4" t="str">
        <v>Initial Startup</v>
      </c>
      <c r="D2" s="7" t="str">
        <v>Bring critical systems online for NuKat to begin normal operation.</v>
      </c>
      <c r="E2" s="7" t="str">
        <v>Sleep</v>
      </c>
      <c r="F2" s="7">
        <v>0</v>
      </c>
      <c r="G2" s="8" t="str">
        <v>Detumble
Sleep</v>
      </c>
      <c r="H2" s="8" t="b">
        <v>0</v>
      </c>
      <c r="I2" s="8" t="b">
        <v>1</v>
      </c>
      <c r="J2" s="8" t="b">
        <v>1</v>
      </c>
      <c r="K2" s="8" t="b">
        <v>0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4</v>
      </c>
      <c r="C3" s="4" t="str">
        <v>Deployment Monitoring</v>
      </c>
      <c r="D3" s="7" t="str">
        <v>Overseeing the initial deployment of appendiges (solar arrays, antenna, &amp; radiator panels).</v>
      </c>
      <c r="E3" s="7" t="str">
        <v>Detumble</v>
      </c>
      <c r="F3" s="7">
        <v>0</v>
      </c>
      <c r="G3" s="8" t="str">
        <v>Sleep
Idle</v>
      </c>
      <c r="H3" s="8" t="b">
        <v>0</v>
      </c>
      <c r="I3" s="8" t="b">
        <v>1</v>
      </c>
      <c r="J3" s="8" t="b">
        <v>1</v>
      </c>
      <c r="K3" s="8" t="b">
        <v>0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1</v>
      </c>
      <c r="Q3" t="b">
        <v>1</v>
      </c>
    </row>
    <row r="4" spans="1:17" ht="43.5">
      <c r="A4" s="18" t="str">
        <v>Reaction</v>
      </c>
      <c r="B4" s="9">
        <v>5</v>
      </c>
      <c r="C4" s="4" t="str">
        <v>Survival</v>
      </c>
      <c r="D4" s="7" t="str">
        <v>Emergency state if anything disasterous occurs. Thermal regulation and/or maximum power absorption becomes necessary. Transmitting a beacon signal is prefereable</v>
      </c>
      <c r="E4" s="7" t="str">
        <v>Any</v>
      </c>
      <c r="F4" s="7">
        <v>0</v>
      </c>
      <c r="G4" s="8" t="str">
        <v>Idle</v>
      </c>
      <c r="H4" s="8" t="b">
        <v>0</v>
      </c>
      <c r="I4" s="8" t="b">
        <v>1</v>
      </c>
      <c r="J4" s="8" t="b">
        <v>1</v>
      </c>
      <c r="K4" s="8" t="b">
        <v>0</v>
      </c>
      <c r="L4" s="8" t="b">
        <v>1</v>
      </c>
      <c r="M4" s="8" t="b">
        <v>1</v>
      </c>
      <c r="N4" s="8" t="b">
        <v>1</v>
      </c>
      <c r="O4" s="8" t="b">
        <v>1</v>
      </c>
      <c r="P4" s="12" t="b">
        <v>0</v>
      </c>
      <c r="Q4" t="b">
        <v>0</v>
      </c>
    </row>
    <row r="5" spans="1:17" ht="43.5">
      <c r="A5" s="18" t="str">
        <v>Commanded</v>
      </c>
      <c r="B5" s="9">
        <v>6</v>
      </c>
      <c r="C5" s="4" t="str">
        <v>Science Operations</v>
      </c>
      <c r="D5" s="7" t="str">
        <v>Collecting counts from Nuetron Detector.</v>
      </c>
      <c r="E5" s="7" t="str">
        <v>Idle</v>
      </c>
      <c r="F5" s="7" t="str">
        <v>Data Processing
Receiving
Transmitting</v>
      </c>
      <c r="G5" s="8" t="str">
        <v>Idle</v>
      </c>
      <c r="H5" s="8" t="b">
        <v>1</v>
      </c>
      <c r="I5" s="8" t="b">
        <v>1</v>
      </c>
      <c r="J5" s="8" t="b">
        <v>1</v>
      </c>
      <c r="K5" s="8" t="b">
        <v>1</v>
      </c>
      <c r="L5" s="8" t="b">
        <v>1</v>
      </c>
      <c r="M5" s="8" t="b">
        <v>1</v>
      </c>
      <c r="N5" s="8" t="b">
        <v>1</v>
      </c>
      <c r="O5" s="8" t="b">
        <v>1</v>
      </c>
      <c r="P5" s="12" t="b">
        <v>0</v>
      </c>
      <c r="Q5" t="b">
        <v>0</v>
      </c>
    </row>
    <row r="6" spans="1:17">
      <c r="A6" s="18" t="str">
        <v>Scheduled</v>
      </c>
      <c r="B6" s="9">
        <v>7</v>
      </c>
      <c r="C6" s="4" t="str">
        <v>Transmitting</v>
      </c>
      <c r="D6" s="7" t="str">
        <v>Transmitting telemetry, mission data, and operational data to ground station(s).</v>
      </c>
      <c r="E6" s="7">
        <v>0</v>
      </c>
      <c r="F6" s="7" t="str">
        <v>Idle
Science Operations</v>
      </c>
      <c r="G6" s="8">
        <v>0</v>
      </c>
      <c r="H6" s="8" t="b">
        <v>1</v>
      </c>
      <c r="I6" s="8" t="b">
        <v>1</v>
      </c>
      <c r="J6" s="8" t="b">
        <v>1</v>
      </c>
      <c r="K6" s="8" t="b">
        <v>1</v>
      </c>
      <c r="L6" s="8" t="b">
        <v>1</v>
      </c>
      <c r="M6" s="8" t="b">
        <v>1</v>
      </c>
      <c r="N6" s="8" t="b">
        <v>1</v>
      </c>
      <c r="O6" s="8" t="b">
        <v>1</v>
      </c>
      <c r="P6" s="12" t="b">
        <v>0</v>
      </c>
      <c r="Q6" t="b">
        <v>0</v>
      </c>
    </row>
    <row r="7" spans="1:17">
      <c r="A7" s="18" t="str">
        <v>Scheduled</v>
      </c>
      <c r="B7" s="9">
        <v>8</v>
      </c>
      <c r="C7" s="4" t="str">
        <v>Idle</v>
      </c>
      <c r="D7" s="7" t="str">
        <v>NuKat continues along planned orbit and awaits scheduled operations or commands from ground station. Includes periodic health monitoring.</v>
      </c>
      <c r="E7" s="7">
        <v>0</v>
      </c>
      <c r="F7" s="7" t="str">
        <v>Receiving
Transmitting</v>
      </c>
      <c r="G7" s="8">
        <v>0</v>
      </c>
      <c r="H7" s="8" t="b">
        <v>0</v>
      </c>
      <c r="I7" s="8" t="b">
        <v>1</v>
      </c>
      <c r="J7" s="8" t="b">
        <v>1</v>
      </c>
      <c r="K7" s="8" t="b">
        <v>0</v>
      </c>
      <c r="L7" s="8" t="b">
        <v>1</v>
      </c>
      <c r="M7" s="8" t="b">
        <v>1</v>
      </c>
      <c r="N7" s="8" t="b">
        <v>1</v>
      </c>
      <c r="O7" s="8" t="b">
        <v>1</v>
      </c>
      <c r="P7" s="12" t="b">
        <v>0</v>
      </c>
      <c r="Q7" t="b">
        <v>0</v>
      </c>
    </row>
    <row r="8" spans="1:17">
      <c r="A8" s="18" t="str">
        <v>Scheduled</v>
      </c>
      <c r="B8" s="9">
        <v>10</v>
      </c>
      <c r="C8" s="4" t="str">
        <v>Data Processing</v>
      </c>
      <c r="D8" s="7" t="str">
        <v>Processors are analyzing collection of measured or received data, performing operations, storing desireable data, and prepparing data for transmission.</v>
      </c>
      <c r="E8" s="7">
        <v>0</v>
      </c>
      <c r="F8" s="7" t="str">
        <v>Science Operations</v>
      </c>
      <c r="G8" s="8">
        <v>0</v>
      </c>
      <c r="H8" s="8" t="b">
        <v>0</v>
      </c>
      <c r="I8" s="8" t="b">
        <v>1</v>
      </c>
      <c r="J8" s="8" t="b">
        <v>0</v>
      </c>
      <c r="K8" s="8" t="b">
        <v>1</v>
      </c>
      <c r="L8" s="8" t="b">
        <v>1</v>
      </c>
      <c r="M8" s="8" t="b">
        <v>1</v>
      </c>
      <c r="N8" s="8" t="b">
        <v>1</v>
      </c>
      <c r="O8" s="8" t="b">
        <v>1</v>
      </c>
      <c r="P8" s="12" t="b">
        <v>0</v>
      </c>
      <c r="Q8" t="b">
        <v>0</v>
      </c>
    </row>
    <row r="9" spans="1:17">
      <c r="A9" t="str">
        <v>Scheduled</v>
      </c>
      <c r="B9">
        <v>11</v>
      </c>
      <c r="C9" t="str">
        <v>Pointing</v>
      </c>
      <c r="D9" t="str">
        <v>Pointing Solar Array towards the sun for maximum power generation or Antenna towards ground station for communication.</v>
      </c>
      <c r="E9" t="str">
        <v>Idle</v>
      </c>
      <c r="F9">
        <v>0</v>
      </c>
      <c r="G9" t="str">
        <v>Idle</v>
      </c>
      <c r="H9" t="b">
        <v>1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b">
        <v>0</v>
      </c>
    </row>
    <row r="10" spans="1:17" ht="15" customHeight="1">
      <c r="A10" t="str">
        <v>Commanded</v>
      </c>
      <c r="B10">
        <v>12</v>
      </c>
      <c r="C10" t="str">
        <v>Receiving</v>
      </c>
      <c r="D10" t="str">
        <v>Receive commands and data uplink from ground station.</v>
      </c>
      <c r="E10">
        <v>0</v>
      </c>
      <c r="F10" t="str">
        <v>Idle
Science Operations</v>
      </c>
      <c r="G10">
        <v>0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 t="b">
        <v>0</v>
      </c>
    </row>
    <row r="11" spans="1:17" ht="15" customHeight="1">
      <c r="A11" t="str">
        <v>N/A</v>
      </c>
      <c r="B11">
        <v>13</v>
      </c>
      <c r="C11" t="str">
        <v>Upset</v>
      </c>
      <c r="D11" t="str">
        <v>There has been some fault or a condition is found unsatisfactory in the vehicle. The upset trigger is analyzed and a plan is formulated to mitigate the trigger.</v>
      </c>
      <c r="E11" t="str">
        <v>Idle</v>
      </c>
      <c r="F11">
        <v>0</v>
      </c>
      <c r="G11" t="str">
        <v>Idle</v>
      </c>
      <c r="H11" t="b">
        <v>0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b">
        <v>0</v>
      </c>
    </row>
  </sheetData>
  <conditionalFormatting sqref="G2:P8">
    <cfRule type="cellIs" dxfId="9" priority="1" operator="equal">
      <formula>FALSE</formula>
    </cfRule>
    <cfRule type="cellIs" dxfId="8" priority="2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E200-62C7-42A8-A358-54CDCCEBA964}">
  <dimension ref="A1:Q15"/>
  <sheetViews>
    <sheetView workbookViewId="0">
      <selection activeCell="F4" sqref="F4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 ht="29.25">
      <c r="A2" s="18" t="str" cm="1">
        <f t="array" ref="A2:Q14">_xlfn._xlws.FILTER(Table6[], Table6[Data Handling]+ Table6[EPDS]+Table6[Solar Panels])</f>
        <v>Scheduled</v>
      </c>
      <c r="B2" s="9">
        <v>1</v>
      </c>
      <c r="C2" s="4" t="str">
        <v>Detumble</v>
      </c>
      <c r="D2" s="7" t="str">
        <v>Bring NuKat back to a stable state decided by ground team.</v>
      </c>
      <c r="E2" s="7" t="str">
        <v>Deployment Monitoring</v>
      </c>
      <c r="F2" s="7">
        <v>0</v>
      </c>
      <c r="G2" s="8" t="str">
        <v>Initial Startup</v>
      </c>
      <c r="H2" s="8" t="b">
        <v>0</v>
      </c>
      <c r="I2" s="8" t="b">
        <v>1</v>
      </c>
      <c r="J2" s="8" t="b">
        <v>0</v>
      </c>
      <c r="K2" s="8" t="b">
        <v>0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2</v>
      </c>
      <c r="C3" s="4" t="str">
        <v>Initial Startup</v>
      </c>
      <c r="D3" s="7" t="str">
        <v>Bring critical systems online for NuKat to begin normal operation.</v>
      </c>
      <c r="E3" s="7" t="str">
        <v>Sleep</v>
      </c>
      <c r="F3" s="7">
        <v>0</v>
      </c>
      <c r="G3" s="8" t="str">
        <v>Detumble
Sleep</v>
      </c>
      <c r="H3" s="8" t="b">
        <v>0</v>
      </c>
      <c r="I3" s="8" t="b">
        <v>1</v>
      </c>
      <c r="J3" s="8" t="b">
        <v>1</v>
      </c>
      <c r="K3" s="8" t="b">
        <v>0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0</v>
      </c>
      <c r="Q3" t="b">
        <v>0</v>
      </c>
    </row>
    <row r="4" spans="1:17" ht="57.75">
      <c r="A4" s="18" t="str">
        <v>Scheduled</v>
      </c>
      <c r="B4" s="9">
        <v>3</v>
      </c>
      <c r="C4" s="4" t="str">
        <v>Sleep</v>
      </c>
      <c r="D4" s="7" t="str">
        <v>Prior to deployment from rocket, the safe/sleep mode ensures no systems will turn on prematurely and protects them from transportation, loading, or launching effects on NuKat</v>
      </c>
      <c r="E4" s="7" t="str">
        <v>Initial Mode
Deployment Monitoring
Initial Startup
Detumble</v>
      </c>
      <c r="F4" s="7">
        <v>0</v>
      </c>
      <c r="G4" s="8" t="str">
        <v>Initial Startup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1</v>
      </c>
      <c r="N4" s="8" t="b">
        <v>1</v>
      </c>
      <c r="O4" s="8" t="b">
        <v>0</v>
      </c>
      <c r="P4" s="12" t="b">
        <v>0</v>
      </c>
      <c r="Q4" t="b">
        <v>0</v>
      </c>
    </row>
    <row r="5" spans="1:17">
      <c r="A5" s="18" t="str">
        <v>Scheduled</v>
      </c>
      <c r="B5" s="9">
        <v>4</v>
      </c>
      <c r="C5" s="4" t="str">
        <v>Deployment Monitoring</v>
      </c>
      <c r="D5" s="7" t="str">
        <v>Overseeing the initial deployment of appendiges (solar arrays, antenna, &amp; radiator panels).</v>
      </c>
      <c r="E5" s="7" t="str">
        <v>Detumble</v>
      </c>
      <c r="F5" s="7">
        <v>0</v>
      </c>
      <c r="G5" s="8" t="str">
        <v>Sleep
Idle</v>
      </c>
      <c r="H5" s="8" t="b">
        <v>0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1</v>
      </c>
      <c r="O5" s="8" t="b">
        <v>1</v>
      </c>
      <c r="P5" s="12" t="b">
        <v>1</v>
      </c>
      <c r="Q5" t="b">
        <v>1</v>
      </c>
    </row>
    <row r="6" spans="1:17" ht="43.5">
      <c r="A6" s="18" t="str">
        <v>Reaction</v>
      </c>
      <c r="B6" s="9">
        <v>5</v>
      </c>
      <c r="C6" s="4" t="str">
        <v>Survival</v>
      </c>
      <c r="D6" s="7" t="str">
        <v>Emergency state if anything disasterous occurs. Thermal regulation and/or maximum power absorption becomes necessary. Transmitting a beacon signal is prefereable</v>
      </c>
      <c r="E6" s="7" t="str">
        <v>Any</v>
      </c>
      <c r="F6" s="7">
        <v>0</v>
      </c>
      <c r="G6" s="8" t="str">
        <v>Idle</v>
      </c>
      <c r="H6" s="8" t="b">
        <v>0</v>
      </c>
      <c r="I6" s="8" t="b">
        <v>1</v>
      </c>
      <c r="J6" s="8" t="b">
        <v>1</v>
      </c>
      <c r="K6" s="8" t="b">
        <v>0</v>
      </c>
      <c r="L6" s="8" t="b">
        <v>1</v>
      </c>
      <c r="M6" s="8" t="b">
        <v>1</v>
      </c>
      <c r="N6" s="8" t="b">
        <v>1</v>
      </c>
      <c r="O6" s="8" t="b">
        <v>1</v>
      </c>
      <c r="P6" s="12" t="b">
        <v>0</v>
      </c>
      <c r="Q6" t="b">
        <v>0</v>
      </c>
    </row>
    <row r="7" spans="1:17" ht="43.5">
      <c r="A7" s="18" t="str">
        <v>Commanded</v>
      </c>
      <c r="B7" s="9">
        <v>6</v>
      </c>
      <c r="C7" s="4" t="str">
        <v>Science Operations</v>
      </c>
      <c r="D7" s="7" t="str">
        <v>Collecting counts from Nuetron Detector.</v>
      </c>
      <c r="E7" s="7" t="str">
        <v>Idle</v>
      </c>
      <c r="F7" s="7" t="str">
        <v>Data Processing
Receiving
Transmitting</v>
      </c>
      <c r="G7" s="8" t="str">
        <v>Idle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8" t="b">
        <v>1</v>
      </c>
      <c r="O7" s="8" t="b">
        <v>1</v>
      </c>
      <c r="P7" s="12" t="b">
        <v>0</v>
      </c>
      <c r="Q7" t="b">
        <v>0</v>
      </c>
    </row>
    <row r="8" spans="1:17">
      <c r="A8" s="18" t="str">
        <v>Scheduled</v>
      </c>
      <c r="B8" s="9">
        <v>7</v>
      </c>
      <c r="C8" s="4" t="str">
        <v>Transmitting</v>
      </c>
      <c r="D8" s="7" t="str">
        <v>Transmitting telemetry, mission data, and operational data to ground station(s).</v>
      </c>
      <c r="E8" s="7">
        <v>0</v>
      </c>
      <c r="F8" s="7" t="str">
        <v>Idle
Science Operations</v>
      </c>
      <c r="G8" s="8">
        <v>0</v>
      </c>
      <c r="H8" s="8" t="b">
        <v>1</v>
      </c>
      <c r="I8" s="8" t="b">
        <v>1</v>
      </c>
      <c r="J8" s="8" t="b">
        <v>1</v>
      </c>
      <c r="K8" s="8" t="b">
        <v>1</v>
      </c>
      <c r="L8" s="8" t="b">
        <v>1</v>
      </c>
      <c r="M8" s="8" t="b">
        <v>1</v>
      </c>
      <c r="N8" s="8" t="b">
        <v>1</v>
      </c>
      <c r="O8" s="8" t="b">
        <v>1</v>
      </c>
      <c r="P8" s="12" t="b">
        <v>0</v>
      </c>
      <c r="Q8" t="b">
        <v>0</v>
      </c>
    </row>
    <row r="9" spans="1:17">
      <c r="A9" s="18" t="str">
        <v>Scheduled</v>
      </c>
      <c r="B9" s="9">
        <v>8</v>
      </c>
      <c r="C9" s="4" t="str">
        <v>Idle</v>
      </c>
      <c r="D9" s="7" t="str">
        <v>NuKat continues along planned orbit and awaits scheduled operations or commands from ground station. Includes periodic health monitoring.</v>
      </c>
      <c r="E9" s="7">
        <v>0</v>
      </c>
      <c r="F9" s="7" t="str">
        <v>Receiving
Transmitting</v>
      </c>
      <c r="G9" s="8">
        <v>0</v>
      </c>
      <c r="H9" s="8" t="b">
        <v>0</v>
      </c>
      <c r="I9" s="8" t="b">
        <v>1</v>
      </c>
      <c r="J9" s="8" t="b">
        <v>1</v>
      </c>
      <c r="K9" s="8" t="b">
        <v>0</v>
      </c>
      <c r="L9" s="8" t="b">
        <v>1</v>
      </c>
      <c r="M9" s="8" t="b">
        <v>1</v>
      </c>
      <c r="N9" s="8" t="b">
        <v>1</v>
      </c>
      <c r="O9" s="8" t="b">
        <v>1</v>
      </c>
      <c r="P9" s="12" t="b">
        <v>0</v>
      </c>
      <c r="Q9" t="b">
        <v>0</v>
      </c>
    </row>
    <row r="10" spans="1:17">
      <c r="A10" s="18" t="str">
        <v>Scheduled</v>
      </c>
      <c r="B10" s="9">
        <v>9</v>
      </c>
      <c r="C10" s="4" t="str">
        <v>Calibration - ADCS</v>
      </c>
      <c r="D10" s="7" t="str">
        <v>Verify orientation and position of the NuKat at any point in orbit.</v>
      </c>
      <c r="E10" s="7" t="str">
        <v>Idle</v>
      </c>
      <c r="F10" s="7">
        <v>0</v>
      </c>
      <c r="G10" s="8" t="str">
        <v>Idle</v>
      </c>
      <c r="H10" s="8" t="b">
        <v>0</v>
      </c>
      <c r="I10" s="8" t="b">
        <v>1</v>
      </c>
      <c r="J10" s="8" t="b">
        <v>0</v>
      </c>
      <c r="K10" s="8" t="b">
        <v>0</v>
      </c>
      <c r="L10" s="8" t="b">
        <v>1</v>
      </c>
      <c r="M10" s="8" t="b">
        <v>1</v>
      </c>
      <c r="N10" s="8" t="b">
        <v>1</v>
      </c>
      <c r="O10" s="8" t="b">
        <v>1</v>
      </c>
      <c r="P10" s="12" t="b">
        <v>0</v>
      </c>
      <c r="Q10" t="b">
        <v>0</v>
      </c>
    </row>
    <row r="11" spans="1:17">
      <c r="A11" s="18" t="str">
        <v>Scheduled</v>
      </c>
      <c r="B11" s="9">
        <v>10</v>
      </c>
      <c r="C11" s="4" t="str">
        <v>Data Processing</v>
      </c>
      <c r="D11" s="7" t="str">
        <v>Processors are analyzing collection of measured or received data, performing operations, storing desireable data, and prepparing data for transmission.</v>
      </c>
      <c r="E11" s="7">
        <v>0</v>
      </c>
      <c r="F11" s="7" t="str">
        <v>Science Operations</v>
      </c>
      <c r="G11" s="8">
        <v>0</v>
      </c>
      <c r="H11" s="8" t="b">
        <v>0</v>
      </c>
      <c r="I11" s="8" t="b">
        <v>1</v>
      </c>
      <c r="J11" s="8" t="b">
        <v>0</v>
      </c>
      <c r="K11" s="8" t="b">
        <v>1</v>
      </c>
      <c r="L11" s="8" t="b">
        <v>1</v>
      </c>
      <c r="M11" s="8" t="b">
        <v>1</v>
      </c>
      <c r="N11" s="8" t="b">
        <v>1</v>
      </c>
      <c r="O11" s="8" t="b">
        <v>1</v>
      </c>
      <c r="P11" s="12" t="b">
        <v>0</v>
      </c>
      <c r="Q11" t="b">
        <v>0</v>
      </c>
    </row>
    <row r="12" spans="1:17" ht="29.25">
      <c r="A12" s="18" t="str">
        <v>Scheduled</v>
      </c>
      <c r="B12" s="9">
        <v>11</v>
      </c>
      <c r="C12" s="4" t="str">
        <v>Pointing</v>
      </c>
      <c r="D12" s="7" t="str">
        <v>Pointing Solar Array towards the sun for maximum power generation or Antenna towards ground station for communication.</v>
      </c>
      <c r="E12" s="7" t="str">
        <v>Idle</v>
      </c>
      <c r="F12" s="7">
        <v>0</v>
      </c>
      <c r="G12" s="8" t="str">
        <v>Idle</v>
      </c>
      <c r="H12" s="8" t="b">
        <v>1</v>
      </c>
      <c r="I12" s="8" t="b">
        <v>1</v>
      </c>
      <c r="J12" s="8" t="b">
        <v>1</v>
      </c>
      <c r="K12" s="8" t="b">
        <v>0</v>
      </c>
      <c r="L12" s="8" t="b">
        <v>1</v>
      </c>
      <c r="M12" s="8" t="b">
        <v>1</v>
      </c>
      <c r="N12" s="8" t="b">
        <v>1</v>
      </c>
      <c r="O12" s="8" t="b">
        <v>1</v>
      </c>
      <c r="P12" s="12" t="b">
        <v>0</v>
      </c>
      <c r="Q12" t="b">
        <v>0</v>
      </c>
    </row>
    <row r="13" spans="1:17" ht="29.25">
      <c r="A13" s="18" t="str">
        <v>Commanded</v>
      </c>
      <c r="B13" s="9">
        <v>12</v>
      </c>
      <c r="C13" s="4" t="str">
        <v>Receiving</v>
      </c>
      <c r="D13" s="7" t="str">
        <v>Receive commands and data uplink from ground station.</v>
      </c>
      <c r="E13" s="7">
        <v>0</v>
      </c>
      <c r="F13" s="7" t="str">
        <v>Idle
Science Operations</v>
      </c>
      <c r="G13" s="8">
        <v>0</v>
      </c>
      <c r="H13" s="8" t="b">
        <v>0</v>
      </c>
      <c r="I13" s="8" t="b">
        <v>1</v>
      </c>
      <c r="J13" s="8" t="b">
        <v>1</v>
      </c>
      <c r="K13" s="8" t="b">
        <v>1</v>
      </c>
      <c r="L13" s="8" t="b">
        <v>1</v>
      </c>
      <c r="M13" s="8" t="b">
        <v>1</v>
      </c>
      <c r="N13" s="8" t="b">
        <v>1</v>
      </c>
      <c r="O13" s="8" t="b">
        <v>1</v>
      </c>
      <c r="P13" s="12" t="b">
        <v>0</v>
      </c>
      <c r="Q13" t="b">
        <v>0</v>
      </c>
    </row>
    <row r="14" spans="1:17">
      <c r="A14" s="18" t="str">
        <v>N/A</v>
      </c>
      <c r="B14" s="9">
        <v>13</v>
      </c>
      <c r="C14" s="4" t="str">
        <v>Upset</v>
      </c>
      <c r="D14" s="7" t="str">
        <v>There has been some fault or a condition is found unsatisfactory in the vehicle. The upset trigger is analyzed and a plan is formulated to mitigate the trigger.</v>
      </c>
      <c r="E14" s="7" t="str">
        <v>Idle</v>
      </c>
      <c r="F14" s="7">
        <v>0</v>
      </c>
      <c r="G14" s="8" t="str">
        <v>Idle</v>
      </c>
      <c r="H14" s="8" t="b">
        <v>0</v>
      </c>
      <c r="I14" s="8" t="b">
        <v>1</v>
      </c>
      <c r="J14" s="8" t="b">
        <v>1</v>
      </c>
      <c r="K14" s="8" t="b">
        <v>0</v>
      </c>
      <c r="L14" s="8" t="b">
        <v>1</v>
      </c>
      <c r="M14" s="8" t="b">
        <v>1</v>
      </c>
      <c r="N14" s="8" t="b">
        <v>1</v>
      </c>
      <c r="O14" s="8" t="b">
        <v>1</v>
      </c>
      <c r="P14" s="12" t="b">
        <v>0</v>
      </c>
      <c r="Q14" t="b">
        <v>0</v>
      </c>
    </row>
    <row r="15" spans="1:17" ht="15" customHeight="1">
      <c r="A15" s="18"/>
      <c r="B15" s="9"/>
      <c r="C15" s="4"/>
      <c r="D15" s="7"/>
      <c r="E15" s="7"/>
      <c r="F15" s="7"/>
      <c r="G15" s="8"/>
      <c r="H15" s="8"/>
      <c r="I15" s="8"/>
      <c r="J15" s="8"/>
      <c r="K15" s="8"/>
      <c r="L15" s="8"/>
      <c r="M15" s="8"/>
      <c r="N15" s="8"/>
      <c r="O15" s="8"/>
      <c r="P15" s="12"/>
    </row>
  </sheetData>
  <conditionalFormatting sqref="G2:P12">
    <cfRule type="cellIs" dxfId="7" priority="3" operator="equal">
      <formula>FALSE</formula>
    </cfRule>
    <cfRule type="cellIs" dxfId="6" priority="4" operator="equal">
      <formula>TRUE</formula>
    </cfRule>
  </conditionalFormatting>
  <conditionalFormatting sqref="G13:P15">
    <cfRule type="cellIs" dxfId="5" priority="1" operator="equal">
      <formula>FALSE</formula>
    </cfRule>
    <cfRule type="cellIs" dxfId="4" priority="2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20A6-9619-4CF1-A8A5-D242C6F160F7}">
  <dimension ref="A1:Q15"/>
  <sheetViews>
    <sheetView workbookViewId="0">
      <selection activeCell="C4" sqref="C4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 ht="29.25">
      <c r="A2" s="18" t="str" cm="1">
        <f t="array" ref="A2:Q14">_xlfn._xlws.FILTER(Table6[], Table6[FSW]+Table6[Solar Panels Deployment]+Table6[Antenna Deployment])</f>
        <v>Scheduled</v>
      </c>
      <c r="B2" s="9">
        <v>1</v>
      </c>
      <c r="C2" s="4" t="str">
        <v>Detumble</v>
      </c>
      <c r="D2" s="7" t="str">
        <v>Bring NuKat back to a stable state decided by ground team.</v>
      </c>
      <c r="E2" s="7" t="str">
        <v>Deployment Monitoring</v>
      </c>
      <c r="F2" s="7">
        <v>0</v>
      </c>
      <c r="G2" s="8" t="str">
        <v>Initial Startup</v>
      </c>
      <c r="H2" s="8" t="b">
        <v>0</v>
      </c>
      <c r="I2" s="8" t="b">
        <v>1</v>
      </c>
      <c r="J2" s="8" t="b">
        <v>0</v>
      </c>
      <c r="K2" s="8" t="b">
        <v>0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2</v>
      </c>
      <c r="C3" s="4" t="str">
        <v>Initial Startup</v>
      </c>
      <c r="D3" s="7" t="str">
        <v>Bring critical systems online for NuKat to begin normal operation.</v>
      </c>
      <c r="E3" s="7" t="str">
        <v>Sleep</v>
      </c>
      <c r="F3" s="7">
        <v>0</v>
      </c>
      <c r="G3" s="8" t="str">
        <v>Detumble
Sleep</v>
      </c>
      <c r="H3" s="8" t="b">
        <v>0</v>
      </c>
      <c r="I3" s="8" t="b">
        <v>1</v>
      </c>
      <c r="J3" s="8" t="b">
        <v>1</v>
      </c>
      <c r="K3" s="8" t="b">
        <v>0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0</v>
      </c>
      <c r="Q3" t="b">
        <v>0</v>
      </c>
    </row>
    <row r="4" spans="1:17" ht="57.75">
      <c r="A4" s="18" t="str">
        <v>Scheduled</v>
      </c>
      <c r="B4" s="9">
        <v>3</v>
      </c>
      <c r="C4" s="4" t="str">
        <v>Sleep</v>
      </c>
      <c r="D4" s="7" t="str">
        <v>Prior to deployment from rocket, the safe/sleep mode ensures no systems will turn on prematurely and protects them from transportation, loading, or launching effects on NuKat</v>
      </c>
      <c r="E4" s="7" t="str">
        <v>Initial Mode
Deployment Monitoring
Initial Startup
Detumble</v>
      </c>
      <c r="F4" s="7">
        <v>0</v>
      </c>
      <c r="G4" s="8" t="str">
        <v>Initial Startup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1</v>
      </c>
      <c r="N4" s="8" t="b">
        <v>1</v>
      </c>
      <c r="O4" s="8" t="b">
        <v>0</v>
      </c>
      <c r="P4" s="12" t="b">
        <v>0</v>
      </c>
      <c r="Q4" t="b">
        <v>0</v>
      </c>
    </row>
    <row r="5" spans="1:17">
      <c r="A5" s="18" t="str">
        <v>Scheduled</v>
      </c>
      <c r="B5" s="9">
        <v>4</v>
      </c>
      <c r="C5" s="4" t="str">
        <v>Deployment Monitoring</v>
      </c>
      <c r="D5" s="7" t="str">
        <v>Overseeing the initial deployment of appendiges (solar arrays, antenna, &amp; radiator panels).</v>
      </c>
      <c r="E5" s="7" t="str">
        <v>Detumble</v>
      </c>
      <c r="F5" s="7">
        <v>0</v>
      </c>
      <c r="G5" s="8" t="str">
        <v>Sleep
Idle</v>
      </c>
      <c r="H5" s="8" t="b">
        <v>0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1</v>
      </c>
      <c r="O5" s="8" t="b">
        <v>1</v>
      </c>
      <c r="P5" s="12" t="b">
        <v>1</v>
      </c>
      <c r="Q5" t="b">
        <v>1</v>
      </c>
    </row>
    <row r="6" spans="1:17" ht="43.5">
      <c r="A6" s="18" t="str">
        <v>Reaction</v>
      </c>
      <c r="B6" s="9">
        <v>5</v>
      </c>
      <c r="C6" s="4" t="str">
        <v>Survival</v>
      </c>
      <c r="D6" s="7" t="str">
        <v>Emergency state if anything disasterous occurs. Thermal regulation and/or maximum power absorption becomes necessary. Transmitting a beacon signal is prefereable</v>
      </c>
      <c r="E6" s="7" t="str">
        <v>Any</v>
      </c>
      <c r="F6" s="7">
        <v>0</v>
      </c>
      <c r="G6" s="8" t="str">
        <v>Idle</v>
      </c>
      <c r="H6" s="8" t="b">
        <v>0</v>
      </c>
      <c r="I6" s="8" t="b">
        <v>1</v>
      </c>
      <c r="J6" s="8" t="b">
        <v>1</v>
      </c>
      <c r="K6" s="8" t="b">
        <v>0</v>
      </c>
      <c r="L6" s="8" t="b">
        <v>1</v>
      </c>
      <c r="M6" s="8" t="b">
        <v>1</v>
      </c>
      <c r="N6" s="8" t="b">
        <v>1</v>
      </c>
      <c r="O6" s="8" t="b">
        <v>1</v>
      </c>
      <c r="P6" s="12" t="b">
        <v>0</v>
      </c>
      <c r="Q6" t="b">
        <v>0</v>
      </c>
    </row>
    <row r="7" spans="1:17" ht="43.5">
      <c r="A7" s="18" t="str">
        <v>Commanded</v>
      </c>
      <c r="B7" s="9">
        <v>6</v>
      </c>
      <c r="C7" s="4" t="str">
        <v>Science Operations</v>
      </c>
      <c r="D7" s="7" t="str">
        <v>Collecting counts from Nuetron Detector.</v>
      </c>
      <c r="E7" s="7" t="str">
        <v>Idle</v>
      </c>
      <c r="F7" s="7" t="str">
        <v>Data Processing
Receiving
Transmitting</v>
      </c>
      <c r="G7" s="8" t="str">
        <v>Idle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8" t="b">
        <v>1</v>
      </c>
      <c r="O7" s="8" t="b">
        <v>1</v>
      </c>
      <c r="P7" s="12" t="b">
        <v>0</v>
      </c>
      <c r="Q7" t="b">
        <v>0</v>
      </c>
    </row>
    <row r="8" spans="1:17">
      <c r="A8" s="18" t="str">
        <v>Scheduled</v>
      </c>
      <c r="B8" s="9">
        <v>7</v>
      </c>
      <c r="C8" s="4" t="str">
        <v>Transmitting</v>
      </c>
      <c r="D8" s="7" t="str">
        <v>Transmitting telemetry, mission data, and operational data to ground station(s).</v>
      </c>
      <c r="E8" s="7">
        <v>0</v>
      </c>
      <c r="F8" s="7" t="str">
        <v>Idle
Science Operations</v>
      </c>
      <c r="G8" s="8">
        <v>0</v>
      </c>
      <c r="H8" s="8" t="b">
        <v>1</v>
      </c>
      <c r="I8" s="8" t="b">
        <v>1</v>
      </c>
      <c r="J8" s="8" t="b">
        <v>1</v>
      </c>
      <c r="K8" s="8" t="b">
        <v>1</v>
      </c>
      <c r="L8" s="8" t="b">
        <v>1</v>
      </c>
      <c r="M8" s="8" t="b">
        <v>1</v>
      </c>
      <c r="N8" s="8" t="b">
        <v>1</v>
      </c>
      <c r="O8" s="8" t="b">
        <v>1</v>
      </c>
      <c r="P8" s="12" t="b">
        <v>0</v>
      </c>
      <c r="Q8" t="b">
        <v>0</v>
      </c>
    </row>
    <row r="9" spans="1:17">
      <c r="A9" s="18" t="str">
        <v>Scheduled</v>
      </c>
      <c r="B9" s="9">
        <v>8</v>
      </c>
      <c r="C9" s="4" t="str">
        <v>Idle</v>
      </c>
      <c r="D9" s="7" t="str">
        <v>NuKat continues along planned orbit and awaits scheduled operations or commands from ground station. Includes periodic health monitoring.</v>
      </c>
      <c r="E9" s="7">
        <v>0</v>
      </c>
      <c r="F9" s="7" t="str">
        <v>Receiving
Transmitting</v>
      </c>
      <c r="G9" s="8">
        <v>0</v>
      </c>
      <c r="H9" s="8" t="b">
        <v>0</v>
      </c>
      <c r="I9" s="8" t="b">
        <v>1</v>
      </c>
      <c r="J9" s="8" t="b">
        <v>1</v>
      </c>
      <c r="K9" s="8" t="b">
        <v>0</v>
      </c>
      <c r="L9" s="8" t="b">
        <v>1</v>
      </c>
      <c r="M9" s="8" t="b">
        <v>1</v>
      </c>
      <c r="N9" s="8" t="b">
        <v>1</v>
      </c>
      <c r="O9" s="8" t="b">
        <v>1</v>
      </c>
      <c r="P9" s="12" t="b">
        <v>0</v>
      </c>
      <c r="Q9" t="b">
        <v>0</v>
      </c>
    </row>
    <row r="10" spans="1:17">
      <c r="A10" s="18" t="str">
        <v>Scheduled</v>
      </c>
      <c r="B10" s="9">
        <v>9</v>
      </c>
      <c r="C10" s="4" t="str">
        <v>Calibration - ADCS</v>
      </c>
      <c r="D10" s="7" t="str">
        <v>Verify orientation and position of the NuKat at any point in orbit.</v>
      </c>
      <c r="E10" s="7" t="str">
        <v>Idle</v>
      </c>
      <c r="F10" s="7">
        <v>0</v>
      </c>
      <c r="G10" s="8" t="str">
        <v>Idle</v>
      </c>
      <c r="H10" s="8" t="b">
        <v>0</v>
      </c>
      <c r="I10" s="8" t="b">
        <v>1</v>
      </c>
      <c r="J10" s="8" t="b">
        <v>0</v>
      </c>
      <c r="K10" s="8" t="b">
        <v>0</v>
      </c>
      <c r="L10" s="8" t="b">
        <v>1</v>
      </c>
      <c r="M10" s="8" t="b">
        <v>1</v>
      </c>
      <c r="N10" s="8" t="b">
        <v>1</v>
      </c>
      <c r="O10" s="8" t="b">
        <v>1</v>
      </c>
      <c r="P10" s="12" t="b">
        <v>0</v>
      </c>
      <c r="Q10" t="b">
        <v>0</v>
      </c>
    </row>
    <row r="11" spans="1:17">
      <c r="A11" s="18" t="str">
        <v>Scheduled</v>
      </c>
      <c r="B11" s="9">
        <v>10</v>
      </c>
      <c r="C11" s="4" t="str">
        <v>Data Processing</v>
      </c>
      <c r="D11" s="7" t="str">
        <v>Processors are analyzing collection of measured or received data, performing operations, storing desireable data, and prepparing data for transmission.</v>
      </c>
      <c r="E11" s="7">
        <v>0</v>
      </c>
      <c r="F11" s="7" t="str">
        <v>Science Operations</v>
      </c>
      <c r="G11" s="8">
        <v>0</v>
      </c>
      <c r="H11" s="8" t="b">
        <v>0</v>
      </c>
      <c r="I11" s="8" t="b">
        <v>1</v>
      </c>
      <c r="J11" s="8" t="b">
        <v>0</v>
      </c>
      <c r="K11" s="8" t="b">
        <v>1</v>
      </c>
      <c r="L11" s="8" t="b">
        <v>1</v>
      </c>
      <c r="M11" s="8" t="b">
        <v>1</v>
      </c>
      <c r="N11" s="8" t="b">
        <v>1</v>
      </c>
      <c r="O11" s="8" t="b">
        <v>1</v>
      </c>
      <c r="P11" s="12" t="b">
        <v>0</v>
      </c>
      <c r="Q11" t="b">
        <v>0</v>
      </c>
    </row>
    <row r="12" spans="1:17" ht="29.25">
      <c r="A12" s="18" t="str">
        <v>Scheduled</v>
      </c>
      <c r="B12" s="9">
        <v>11</v>
      </c>
      <c r="C12" s="4" t="str">
        <v>Pointing</v>
      </c>
      <c r="D12" s="7" t="str">
        <v>Pointing Solar Array towards the sun for maximum power generation or Antenna towards ground station for communication.</v>
      </c>
      <c r="E12" s="7" t="str">
        <v>Idle</v>
      </c>
      <c r="F12" s="7">
        <v>0</v>
      </c>
      <c r="G12" s="8" t="str">
        <v>Idle</v>
      </c>
      <c r="H12" s="8" t="b">
        <v>1</v>
      </c>
      <c r="I12" s="8" t="b">
        <v>1</v>
      </c>
      <c r="J12" s="8" t="b">
        <v>1</v>
      </c>
      <c r="K12" s="8" t="b">
        <v>0</v>
      </c>
      <c r="L12" s="8" t="b">
        <v>1</v>
      </c>
      <c r="M12" s="8" t="b">
        <v>1</v>
      </c>
      <c r="N12" s="8" t="b">
        <v>1</v>
      </c>
      <c r="O12" s="8" t="b">
        <v>1</v>
      </c>
      <c r="P12" s="12" t="b">
        <v>0</v>
      </c>
      <c r="Q12" t="b">
        <v>0</v>
      </c>
    </row>
    <row r="13" spans="1:17" ht="29.25">
      <c r="A13" s="18" t="str">
        <v>Commanded</v>
      </c>
      <c r="B13" s="9">
        <v>12</v>
      </c>
      <c r="C13" s="4" t="str">
        <v>Receiving</v>
      </c>
      <c r="D13" s="7" t="str">
        <v>Receive commands and data uplink from ground station.</v>
      </c>
      <c r="E13" s="7">
        <v>0</v>
      </c>
      <c r="F13" s="7" t="str">
        <v>Idle
Science Operations</v>
      </c>
      <c r="G13" s="8">
        <v>0</v>
      </c>
      <c r="H13" s="8" t="b">
        <v>0</v>
      </c>
      <c r="I13" s="8" t="b">
        <v>1</v>
      </c>
      <c r="J13" s="8" t="b">
        <v>1</v>
      </c>
      <c r="K13" s="8" t="b">
        <v>1</v>
      </c>
      <c r="L13" s="8" t="b">
        <v>1</v>
      </c>
      <c r="M13" s="8" t="b">
        <v>1</v>
      </c>
      <c r="N13" s="8" t="b">
        <v>1</v>
      </c>
      <c r="O13" s="8" t="b">
        <v>1</v>
      </c>
      <c r="P13" s="12" t="b">
        <v>0</v>
      </c>
      <c r="Q13" t="b">
        <v>0</v>
      </c>
    </row>
    <row r="14" spans="1:17">
      <c r="A14" s="18" t="str">
        <v>N/A</v>
      </c>
      <c r="B14" s="9">
        <v>13</v>
      </c>
      <c r="C14" s="4" t="str">
        <v>Upset</v>
      </c>
      <c r="D14" s="7" t="str">
        <v>There has been some fault or a condition is found unsatisfactory in the vehicle. The upset trigger is analyzed and a plan is formulated to mitigate the trigger.</v>
      </c>
      <c r="E14" s="7" t="str">
        <v>Idle</v>
      </c>
      <c r="F14" s="7">
        <v>0</v>
      </c>
      <c r="G14" s="8" t="str">
        <v>Idle</v>
      </c>
      <c r="H14" s="8" t="b">
        <v>0</v>
      </c>
      <c r="I14" s="8" t="b">
        <v>1</v>
      </c>
      <c r="J14" s="8" t="b">
        <v>1</v>
      </c>
      <c r="K14" s="8" t="b">
        <v>0</v>
      </c>
      <c r="L14" s="8" t="b">
        <v>1</v>
      </c>
      <c r="M14" s="8" t="b">
        <v>1</v>
      </c>
      <c r="N14" s="8" t="b">
        <v>1</v>
      </c>
      <c r="O14" s="8" t="b">
        <v>1</v>
      </c>
      <c r="P14" s="12" t="b">
        <v>0</v>
      </c>
      <c r="Q14" t="b">
        <v>0</v>
      </c>
    </row>
    <row r="15" spans="1:17">
      <c r="A15" s="18"/>
      <c r="B15" s="9"/>
      <c r="C15" s="4"/>
      <c r="D15" s="7"/>
      <c r="E15" s="7"/>
      <c r="F15" s="7"/>
      <c r="G15" s="8"/>
      <c r="H15" s="8"/>
      <c r="I15" s="8"/>
      <c r="J15" s="8"/>
      <c r="K15" s="8"/>
      <c r="L15" s="8"/>
      <c r="M15" s="8"/>
      <c r="N15" s="8"/>
      <c r="O15" s="8"/>
      <c r="P15" s="12"/>
    </row>
  </sheetData>
  <conditionalFormatting sqref="G2:P15">
    <cfRule type="cellIs" dxfId="3" priority="1" operator="equal">
      <formula>FALSE</formula>
    </cfRule>
    <cfRule type="cellIs" dxfId="2" priority="2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DE02-40A1-4FFF-A21E-B56ACAEDD08A}">
  <dimension ref="A1:Q14"/>
  <sheetViews>
    <sheetView topLeftCell="F1" workbookViewId="0">
      <selection activeCell="D8" sqref="D8"/>
    </sheetView>
  </sheetViews>
  <sheetFormatPr defaultRowHeight="15" customHeight="1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6" width="12.7109375" customWidth="1"/>
  </cols>
  <sheetData>
    <row r="1" spans="1:17" ht="61.5">
      <c r="A1" s="15" t="s">
        <v>98</v>
      </c>
      <c r="B1" s="13" t="s">
        <v>99</v>
      </c>
      <c r="C1" s="14" t="s">
        <v>26</v>
      </c>
      <c r="D1" s="14" t="s">
        <v>100</v>
      </c>
      <c r="E1" s="14" t="s">
        <v>101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152</v>
      </c>
      <c r="O1" s="15" t="s">
        <v>112</v>
      </c>
      <c r="P1" s="16" t="s">
        <v>113</v>
      </c>
    </row>
    <row r="2" spans="1:17" ht="29.25">
      <c r="A2" s="18" t="str" cm="1">
        <f t="array" ref="A2:Q13">_xlfn._xlws.FILTER(Table6[], Table6[Thermal])</f>
        <v>Scheduled</v>
      </c>
      <c r="B2" s="9">
        <v>1</v>
      </c>
      <c r="C2" s="4" t="str">
        <v>Detumble</v>
      </c>
      <c r="D2" s="7" t="str">
        <v>Bring NuKat back to a stable state decided by ground team.</v>
      </c>
      <c r="E2" s="7" t="str">
        <v>Deployment Monitoring</v>
      </c>
      <c r="F2" s="7">
        <v>0</v>
      </c>
      <c r="G2" s="8" t="str">
        <v>Initial Startup</v>
      </c>
      <c r="H2" s="8" t="b">
        <v>0</v>
      </c>
      <c r="I2" s="8" t="b">
        <v>1</v>
      </c>
      <c r="J2" s="8" t="b">
        <v>0</v>
      </c>
      <c r="K2" s="8" t="b">
        <v>0</v>
      </c>
      <c r="L2" s="8" t="b">
        <v>1</v>
      </c>
      <c r="M2" s="8" t="b">
        <v>1</v>
      </c>
      <c r="N2" s="8" t="b">
        <v>1</v>
      </c>
      <c r="O2" s="8" t="b">
        <v>1</v>
      </c>
      <c r="P2" s="12" t="b">
        <v>0</v>
      </c>
      <c r="Q2" t="b">
        <v>0</v>
      </c>
    </row>
    <row r="3" spans="1:17">
      <c r="A3" s="18" t="str">
        <v>Scheduled</v>
      </c>
      <c r="B3" s="9">
        <v>2</v>
      </c>
      <c r="C3" s="4" t="str">
        <v>Initial Startup</v>
      </c>
      <c r="D3" s="7" t="str">
        <v>Bring critical systems online for NuKat to begin normal operation.</v>
      </c>
      <c r="E3" s="7" t="str">
        <v>Sleep</v>
      </c>
      <c r="F3" s="7">
        <v>0</v>
      </c>
      <c r="G3" s="8" t="str">
        <v>Detumble
Sleep</v>
      </c>
      <c r="H3" s="8" t="b">
        <v>0</v>
      </c>
      <c r="I3" s="8" t="b">
        <v>1</v>
      </c>
      <c r="J3" s="8" t="b">
        <v>1</v>
      </c>
      <c r="K3" s="8" t="b">
        <v>0</v>
      </c>
      <c r="L3" s="8" t="b">
        <v>1</v>
      </c>
      <c r="M3" s="8" t="b">
        <v>1</v>
      </c>
      <c r="N3" s="8" t="b">
        <v>1</v>
      </c>
      <c r="O3" s="8" t="b">
        <v>1</v>
      </c>
      <c r="P3" s="12" t="b">
        <v>0</v>
      </c>
      <c r="Q3" t="b">
        <v>0</v>
      </c>
    </row>
    <row r="4" spans="1:17">
      <c r="A4" s="18" t="str">
        <v>Scheduled</v>
      </c>
      <c r="B4" s="9">
        <v>4</v>
      </c>
      <c r="C4" s="4" t="str">
        <v>Deployment Monitoring</v>
      </c>
      <c r="D4" s="7" t="str">
        <v>Overseeing the initial deployment of appendiges (solar arrays, antenna, &amp; radiator panels).</v>
      </c>
      <c r="E4" s="7" t="str">
        <v>Detumble</v>
      </c>
      <c r="F4" s="7">
        <v>0</v>
      </c>
      <c r="G4" s="8" t="str">
        <v>Sleep
Idle</v>
      </c>
      <c r="H4" s="8" t="b">
        <v>0</v>
      </c>
      <c r="I4" s="8" t="b">
        <v>1</v>
      </c>
      <c r="J4" s="8" t="b">
        <v>1</v>
      </c>
      <c r="K4" s="8" t="b">
        <v>0</v>
      </c>
      <c r="L4" s="8" t="b">
        <v>1</v>
      </c>
      <c r="M4" s="8" t="b">
        <v>1</v>
      </c>
      <c r="N4" s="8" t="b">
        <v>1</v>
      </c>
      <c r="O4" s="8" t="b">
        <v>1</v>
      </c>
      <c r="P4" s="12" t="b">
        <v>1</v>
      </c>
      <c r="Q4" t="b">
        <v>1</v>
      </c>
    </row>
    <row r="5" spans="1:17" ht="43.5">
      <c r="A5" s="18" t="str">
        <v>Reaction</v>
      </c>
      <c r="B5" s="9">
        <v>5</v>
      </c>
      <c r="C5" s="4" t="str">
        <v>Survival</v>
      </c>
      <c r="D5" s="7" t="str">
        <v>Emergency state if anything disasterous occurs. Thermal regulation and/or maximum power absorption becomes necessary. Transmitting a beacon signal is prefereable</v>
      </c>
      <c r="E5" s="7" t="str">
        <v>Any</v>
      </c>
      <c r="F5" s="7">
        <v>0</v>
      </c>
      <c r="G5" s="8" t="str">
        <v>Idle</v>
      </c>
      <c r="H5" s="8" t="b">
        <v>0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1</v>
      </c>
      <c r="O5" s="8" t="b">
        <v>1</v>
      </c>
      <c r="P5" s="12" t="b">
        <v>0</v>
      </c>
      <c r="Q5" t="b">
        <v>0</v>
      </c>
    </row>
    <row r="6" spans="1:17" ht="43.5">
      <c r="A6" s="18" t="str">
        <v>Commanded</v>
      </c>
      <c r="B6" s="9">
        <v>6</v>
      </c>
      <c r="C6" s="4" t="str">
        <v>Science Operations</v>
      </c>
      <c r="D6" s="7" t="str">
        <v>Collecting counts from Nuetron Detector.</v>
      </c>
      <c r="E6" s="7" t="str">
        <v>Idle</v>
      </c>
      <c r="F6" s="7" t="str">
        <v>Data Processing
Receiving
Transmitting</v>
      </c>
      <c r="G6" s="8" t="str">
        <v>Idle</v>
      </c>
      <c r="H6" s="8" t="b">
        <v>1</v>
      </c>
      <c r="I6" s="8" t="b">
        <v>1</v>
      </c>
      <c r="J6" s="8" t="b">
        <v>1</v>
      </c>
      <c r="K6" s="8" t="b">
        <v>1</v>
      </c>
      <c r="L6" s="8" t="b">
        <v>1</v>
      </c>
      <c r="M6" s="8" t="b">
        <v>1</v>
      </c>
      <c r="N6" s="8" t="b">
        <v>1</v>
      </c>
      <c r="O6" s="8" t="b">
        <v>1</v>
      </c>
      <c r="P6" s="12" t="b">
        <v>0</v>
      </c>
      <c r="Q6" t="b">
        <v>0</v>
      </c>
    </row>
    <row r="7" spans="1:17">
      <c r="A7" s="18" t="str">
        <v>Scheduled</v>
      </c>
      <c r="B7" s="9">
        <v>7</v>
      </c>
      <c r="C7" s="4" t="str">
        <v>Transmitting</v>
      </c>
      <c r="D7" s="7" t="str">
        <v>Transmitting telemetry, mission data, and operational data to ground station(s).</v>
      </c>
      <c r="E7" s="7">
        <v>0</v>
      </c>
      <c r="F7" s="7" t="str">
        <v>Idle
Science Operations</v>
      </c>
      <c r="G7" s="8">
        <v>0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8" t="b">
        <v>1</v>
      </c>
      <c r="O7" s="8" t="b">
        <v>1</v>
      </c>
      <c r="P7" s="12" t="b">
        <v>0</v>
      </c>
      <c r="Q7" t="b">
        <v>0</v>
      </c>
    </row>
    <row r="8" spans="1:17">
      <c r="A8" s="18" t="str">
        <v>Scheduled</v>
      </c>
      <c r="B8" s="9">
        <v>8</v>
      </c>
      <c r="C8" s="4" t="str">
        <v>Idle</v>
      </c>
      <c r="D8" s="7" t="str">
        <v>NuKat continues along planned orbit and awaits scheduled operations or commands from ground station. Includes periodic health monitoring.</v>
      </c>
      <c r="E8" s="7">
        <v>0</v>
      </c>
      <c r="F8" s="7" t="str">
        <v>Receiving
Transmitting</v>
      </c>
      <c r="G8" s="8">
        <v>0</v>
      </c>
      <c r="H8" s="8" t="b">
        <v>0</v>
      </c>
      <c r="I8" s="8" t="b">
        <v>1</v>
      </c>
      <c r="J8" s="8" t="b">
        <v>1</v>
      </c>
      <c r="K8" s="8" t="b">
        <v>0</v>
      </c>
      <c r="L8" s="8" t="b">
        <v>1</v>
      </c>
      <c r="M8" s="8" t="b">
        <v>1</v>
      </c>
      <c r="N8" s="8" t="b">
        <v>1</v>
      </c>
      <c r="O8" s="8" t="b">
        <v>1</v>
      </c>
      <c r="P8" s="12" t="b">
        <v>0</v>
      </c>
      <c r="Q8" t="b">
        <v>0</v>
      </c>
    </row>
    <row r="9" spans="1:17">
      <c r="A9" s="18" t="str">
        <v>Scheduled</v>
      </c>
      <c r="B9" s="9">
        <v>9</v>
      </c>
      <c r="C9" s="4" t="str">
        <v>Calibration - ADCS</v>
      </c>
      <c r="D9" s="7" t="str">
        <v>Verify orientation and position of the NuKat at any point in orbit.</v>
      </c>
      <c r="E9" s="7" t="str">
        <v>Idle</v>
      </c>
      <c r="F9" s="7">
        <v>0</v>
      </c>
      <c r="G9" s="8" t="str">
        <v>Idle</v>
      </c>
      <c r="H9" s="8" t="b">
        <v>0</v>
      </c>
      <c r="I9" s="8" t="b">
        <v>1</v>
      </c>
      <c r="J9" s="8" t="b">
        <v>0</v>
      </c>
      <c r="K9" s="8" t="b">
        <v>0</v>
      </c>
      <c r="L9" s="8" t="b">
        <v>1</v>
      </c>
      <c r="M9" s="8" t="b">
        <v>1</v>
      </c>
      <c r="N9" s="8" t="b">
        <v>1</v>
      </c>
      <c r="O9" s="8" t="b">
        <v>1</v>
      </c>
      <c r="P9" s="12" t="b">
        <v>0</v>
      </c>
      <c r="Q9" t="b">
        <v>0</v>
      </c>
    </row>
    <row r="10" spans="1:17">
      <c r="A10" s="18" t="str">
        <v>Scheduled</v>
      </c>
      <c r="B10" s="9">
        <v>10</v>
      </c>
      <c r="C10" s="4" t="str">
        <v>Data Processing</v>
      </c>
      <c r="D10" s="7" t="str">
        <v>Processors are analyzing collection of measured or received data, performing operations, storing desireable data, and prepparing data for transmission.</v>
      </c>
      <c r="E10" s="7">
        <v>0</v>
      </c>
      <c r="F10" s="7" t="str">
        <v>Science Operations</v>
      </c>
      <c r="G10" s="8">
        <v>0</v>
      </c>
      <c r="H10" s="8" t="b">
        <v>0</v>
      </c>
      <c r="I10" s="8" t="b">
        <v>1</v>
      </c>
      <c r="J10" s="8" t="b">
        <v>0</v>
      </c>
      <c r="K10" s="8" t="b">
        <v>1</v>
      </c>
      <c r="L10" s="8" t="b">
        <v>1</v>
      </c>
      <c r="M10" s="8" t="b">
        <v>1</v>
      </c>
      <c r="N10" s="8" t="b">
        <v>1</v>
      </c>
      <c r="O10" s="8" t="b">
        <v>1</v>
      </c>
      <c r="P10" s="12" t="b">
        <v>0</v>
      </c>
      <c r="Q10" t="b">
        <v>0</v>
      </c>
    </row>
    <row r="11" spans="1:17" ht="29.25">
      <c r="A11" s="18" t="str">
        <v>Scheduled</v>
      </c>
      <c r="B11" s="9">
        <v>11</v>
      </c>
      <c r="C11" s="4" t="str">
        <v>Pointing</v>
      </c>
      <c r="D11" s="7" t="str">
        <v>Pointing Solar Array towards the sun for maximum power generation or Antenna towards ground station for communication.</v>
      </c>
      <c r="E11" s="7" t="str">
        <v>Idle</v>
      </c>
      <c r="F11" s="7">
        <v>0</v>
      </c>
      <c r="G11" s="8" t="str">
        <v>Idle</v>
      </c>
      <c r="H11" s="8" t="b">
        <v>1</v>
      </c>
      <c r="I11" s="8" t="b">
        <v>1</v>
      </c>
      <c r="J11" s="8" t="b">
        <v>1</v>
      </c>
      <c r="K11" s="8" t="b">
        <v>0</v>
      </c>
      <c r="L11" s="8" t="b">
        <v>1</v>
      </c>
      <c r="M11" s="8" t="b">
        <v>1</v>
      </c>
      <c r="N11" s="8" t="b">
        <v>1</v>
      </c>
      <c r="O11" s="8" t="b">
        <v>1</v>
      </c>
      <c r="P11" s="12" t="b">
        <v>0</v>
      </c>
      <c r="Q11" t="b">
        <v>0</v>
      </c>
    </row>
    <row r="12" spans="1:17" ht="29.25">
      <c r="A12" s="18" t="str">
        <v>Commanded</v>
      </c>
      <c r="B12" s="9">
        <v>12</v>
      </c>
      <c r="C12" s="4" t="str">
        <v>Receiving</v>
      </c>
      <c r="D12" s="7" t="str">
        <v>Receive commands and data uplink from ground station.</v>
      </c>
      <c r="E12" s="7">
        <v>0</v>
      </c>
      <c r="F12" s="7" t="str">
        <v>Idle
Science Operations</v>
      </c>
      <c r="G12" s="8">
        <v>0</v>
      </c>
      <c r="H12" s="8" t="b">
        <v>0</v>
      </c>
      <c r="I12" s="8" t="b">
        <v>1</v>
      </c>
      <c r="J12" s="8" t="b">
        <v>1</v>
      </c>
      <c r="K12" s="8" t="b">
        <v>1</v>
      </c>
      <c r="L12" s="8" t="b">
        <v>1</v>
      </c>
      <c r="M12" s="8" t="b">
        <v>1</v>
      </c>
      <c r="N12" s="8" t="b">
        <v>1</v>
      </c>
      <c r="O12" s="8" t="b">
        <v>1</v>
      </c>
      <c r="P12" s="12" t="b">
        <v>0</v>
      </c>
      <c r="Q12" t="b">
        <v>0</v>
      </c>
    </row>
    <row r="13" spans="1:17">
      <c r="A13" s="18" t="str">
        <v>N/A</v>
      </c>
      <c r="B13" s="9">
        <v>13</v>
      </c>
      <c r="C13" s="4" t="str">
        <v>Upset</v>
      </c>
      <c r="D13" s="7" t="str">
        <v>There has been some fault or a condition is found unsatisfactory in the vehicle. The upset trigger is analyzed and a plan is formulated to mitigate the trigger.</v>
      </c>
      <c r="E13" s="7" t="str">
        <v>Idle</v>
      </c>
      <c r="F13" s="7">
        <v>0</v>
      </c>
      <c r="G13" s="8" t="str">
        <v>Idle</v>
      </c>
      <c r="H13" s="8" t="b">
        <v>0</v>
      </c>
      <c r="I13" s="8" t="b">
        <v>1</v>
      </c>
      <c r="J13" s="8" t="b">
        <v>1</v>
      </c>
      <c r="K13" s="8" t="b">
        <v>0</v>
      </c>
      <c r="L13" s="8" t="b">
        <v>1</v>
      </c>
      <c r="M13" s="8" t="b">
        <v>1</v>
      </c>
      <c r="N13" s="8" t="b">
        <v>1</v>
      </c>
      <c r="O13" s="8" t="b">
        <v>1</v>
      </c>
      <c r="P13" s="12" t="b">
        <v>0</v>
      </c>
      <c r="Q13" t="b">
        <v>0</v>
      </c>
    </row>
    <row r="14" spans="1:17">
      <c r="A14" s="18"/>
      <c r="B14" s="9"/>
      <c r="C14" s="4"/>
      <c r="D14" s="7"/>
      <c r="E14" s="7"/>
      <c r="F14" s="7"/>
      <c r="G14" s="8"/>
      <c r="H14" s="8"/>
      <c r="I14" s="8"/>
      <c r="J14" s="8"/>
      <c r="K14" s="8"/>
      <c r="L14" s="8"/>
      <c r="M14" s="8"/>
      <c r="N14" s="8"/>
      <c r="O14" s="8"/>
      <c r="P14" s="12"/>
    </row>
  </sheetData>
  <conditionalFormatting sqref="G2:P14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ddea37-9a81-40be-be52-43bc8c450325" xsi:nil="true"/>
    <lcf76f155ced4ddcb4097134ff3c332f xmlns="712454dd-5204-4a53-9b93-2190bcc5a4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367FFA6CE6AF44BB5A0A799E41418A" ma:contentTypeVersion="11" ma:contentTypeDescription="Create a new document." ma:contentTypeScope="" ma:versionID="f59536566074521001550b52c87f00ed">
  <xsd:schema xmlns:xsd="http://www.w3.org/2001/XMLSchema" xmlns:xs="http://www.w3.org/2001/XMLSchema" xmlns:p="http://schemas.microsoft.com/office/2006/metadata/properties" xmlns:ns2="712454dd-5204-4a53-9b93-2190bcc5a4da" xmlns:ns3="9fddea37-9a81-40be-be52-43bc8c450325" targetNamespace="http://schemas.microsoft.com/office/2006/metadata/properties" ma:root="true" ma:fieldsID="ec2e0682c75946a6a7dfa053251170bc" ns2:_="" ns3:_="">
    <xsd:import namespace="712454dd-5204-4a53-9b93-2190bcc5a4da"/>
    <xsd:import namespace="9fddea37-9a81-40be-be52-43bc8c450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54dd-5204-4a53-9b93-2190bcc5a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8ed7cba-b263-44e1-aaea-116db9091a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dea37-9a81-40be-be52-43bc8c4503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3b27e4-fcd5-41c3-bf5d-5ad76d556dcf}" ma:internalName="TaxCatchAll" ma:showField="CatchAllData" ma:web="9fddea37-9a81-40be-be52-43bc8c450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52F88DB-CC13-470F-9D92-CD3324974CCD}"/>
</file>

<file path=customXml/itemProps2.xml><?xml version="1.0" encoding="utf-8"?>
<ds:datastoreItem xmlns:ds="http://schemas.openxmlformats.org/officeDocument/2006/customXml" ds:itemID="{4ADB614B-3A00-46D2-A508-96E08108A940}"/>
</file>

<file path=customXml/itemProps3.xml><?xml version="1.0" encoding="utf-8"?>
<ds:datastoreItem xmlns:ds="http://schemas.openxmlformats.org/officeDocument/2006/customXml" ds:itemID="{1CDA1FB8-FF01-4A12-A2B1-DB1503163B75}"/>
</file>

<file path=customXml/itemProps4.xml><?xml version="1.0" encoding="utf-8"?>
<ds:datastoreItem xmlns:ds="http://schemas.openxmlformats.org/officeDocument/2006/customXml" ds:itemID="{F993EF0B-D2FF-49B6-8E77-B6453986B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2025-04-16T12:59:59Z</dcterms:created>
  <dcterms:modified xsi:type="dcterms:W3CDTF">2026-01-25T06:31:33Z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0x0101004F367FFA6CE6AF44BB5A0A799E41418A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
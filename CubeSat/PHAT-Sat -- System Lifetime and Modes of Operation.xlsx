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ksuemailprod.sharepoint.com/sites/CubeSatTechnicalDesign/Shared Documents/General/"/>
    </mc:Choice>
  </mc:AlternateContent>
  <xr:revisionPtr revIDLastSave="0" documentId="8_{F0767283-9704-40C6-9AF8-21DD1653DD83}" xr6:coauthVersionLast="47" xr6:coauthVersionMax="47" xr10:uidLastSave="{00000000-0000-0000-0000-000000000000}"/>
  <bookViews>
    <workbookView xWindow="-98" yWindow="-98" windowWidth="24196" windowHeight="14836" xr2:uid="{00000000-000D-0000-FFFF-FFFF00000000}"/>
  </bookViews>
  <sheets>
    <sheet name="Overall Modes" sheetId="1" r:id="rId1"/>
    <sheet name="Hyper Spectral" sheetId="2" r:id="rId2"/>
    <sheet name="Neutron Detector" sheetId="3" r:id="rId3"/>
    <sheet name="TEG" sheetId="4" r:id="rId4"/>
    <sheet name="ADCS" sheetId="5" r:id="rId5"/>
    <sheet name="C&amp;DH" sheetId="6" r:id="rId6"/>
    <sheet name="EPD" sheetId="7" r:id="rId7"/>
    <sheet name="FSW" sheetId="8" r:id="rId8"/>
    <sheet name="Thermal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 s="1"/>
  <c r="B82" i="1"/>
  <c r="B83" i="1" s="1"/>
  <c r="B84" i="1" s="1"/>
  <c r="B85" i="1" s="1"/>
  <c r="B86" i="1" l="1"/>
  <c r="B87" i="1" s="1"/>
  <c r="B88" i="1" l="1"/>
  <c r="B89" i="1" l="1"/>
  <c r="B90" i="1" l="1"/>
  <c r="A2" i="3" a="1"/>
  <c r="A2" i="3" s="1"/>
  <c r="A2" i="2" a="1"/>
  <c r="A2" i="2" s="1"/>
  <c r="B91" i="1" l="1"/>
  <c r="B92" i="1" l="1"/>
  <c r="B93" i="1" l="1"/>
  <c r="B94" i="1" s="1"/>
  <c r="A2" i="9" a="1"/>
  <c r="A2" i="9" s="1"/>
  <c r="B95" i="1" l="1"/>
  <c r="B96" i="1" s="1"/>
  <c r="B97" i="1" s="1"/>
  <c r="B98" i="1" s="1"/>
  <c r="B99" i="1" s="1"/>
  <c r="B100" i="1" s="1"/>
  <c r="B101" i="1" s="1"/>
  <c r="B102" i="1" s="1"/>
  <c r="B103" i="1" s="1"/>
  <c r="A2" i="6" a="1"/>
  <c r="A2" i="6" s="1"/>
  <c r="A2" i="5" a="1"/>
  <c r="A2" i="5" s="1"/>
  <c r="A2" i="8" l="1" a="1"/>
  <c r="A2" i="8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<sst xmlns="http://schemas.openxmlformats.org/spreadsheetml/2006/main" count="330" uniqueCount="150">
  <si>
    <t>PHAT-SAT LIFETIME OPERATIONS AND MODES OF OPERATION</t>
  </si>
  <si>
    <t>Process #</t>
  </si>
  <si>
    <t>Process Tags</t>
  </si>
  <si>
    <t>Scope Description</t>
  </si>
  <si>
    <t>General Description</t>
  </si>
  <si>
    <t>MOVE</t>
  </si>
  <si>
    <t>Transporting from K-State facilities to launch facilities.</t>
  </si>
  <si>
    <t>PHAT-Sat will be off and placed in a mode that reduces the impact of all transport-related effects (i.e., jostling, heat, etc.)</t>
  </si>
  <si>
    <t>LOAD</t>
  </si>
  <si>
    <t>Loading PHAT-Sat on the launch vehicle</t>
  </si>
  <si>
    <t>PHAT-Sat will be off and placed in a mode that reduces the impact of all loading-related effects (i.e., jostling, heat, electronic intereferences, magnetic fields, etc.). It must also not turn on prematurely.</t>
  </si>
  <si>
    <t>PRIOR</t>
  </si>
  <si>
    <t>All time waiting for launch to occur after being loaded</t>
  </si>
  <si>
    <t>PHAT-Sat will be standing by for launch and deployment. It must not turn on any systems prematurely</t>
  </si>
  <si>
    <t>LAUNCH</t>
  </si>
  <si>
    <t>From first firing the engines until deployment from the vehicle</t>
  </si>
  <si>
    <t>PHAT-Sat will be in a state that will not interefere with launch systems and will likewise reduce the impact of lauch-related effects</t>
  </si>
  <si>
    <t>DEPLOY</t>
  </si>
  <si>
    <t>Ejection from the launch vehicle and preparation before beginning mission operations</t>
  </si>
  <si>
    <t>OPS</t>
  </si>
  <si>
    <t>All actions taken during "typical" mission operations as well as those needed to maintain mission performance</t>
  </si>
  <si>
    <t>DECAY</t>
  </si>
  <si>
    <t>Following mission performance, the steps needed to conclude the mission</t>
  </si>
  <si>
    <t>General Lifetime Expectations For Operation</t>
  </si>
  <si>
    <t>Stage ID</t>
  </si>
  <si>
    <t>Title</t>
  </si>
  <si>
    <t>Modes that Flow Up to this Point</t>
  </si>
  <si>
    <t>Notes</t>
  </si>
  <si>
    <t>1.1 Moving Considerations</t>
  </si>
  <si>
    <t>MOVE-1.01</t>
  </si>
  <si>
    <t>Packaging in-house</t>
  </si>
  <si>
    <t>MOVE-1.02</t>
  </si>
  <si>
    <t>Shipping</t>
  </si>
  <si>
    <t>MOVE-1.03</t>
  </si>
  <si>
    <t>Unpacking at launch facility</t>
  </si>
  <si>
    <t>MOVE-1.04</t>
  </si>
  <si>
    <t>Final Assembly at launch facility?</t>
  </si>
  <si>
    <t>Only if we need to ship in parts</t>
  </si>
  <si>
    <t>MOVE-1.05</t>
  </si>
  <si>
    <t>MOVE-1.06</t>
  </si>
  <si>
    <t>MOVE-1.07</t>
  </si>
  <si>
    <t>MOVE-1.08</t>
  </si>
  <si>
    <t>1.2 Loading Considerations</t>
  </si>
  <si>
    <t>LOAD-1.01</t>
  </si>
  <si>
    <t>LOAD-1.02</t>
  </si>
  <si>
    <t>LOAD-1.03</t>
  </si>
  <si>
    <t>LOAD-1.04</t>
  </si>
  <si>
    <t>LOAD-1.05</t>
  </si>
  <si>
    <t>LOAD-1.06</t>
  </si>
  <si>
    <t>LOAD-1.07</t>
  </si>
  <si>
    <t>LOAD-1.08</t>
  </si>
  <si>
    <t>1.3 Pre-Launch Considerations</t>
  </si>
  <si>
    <t>PRIOR-1.01</t>
  </si>
  <si>
    <t>PRIOR-1.02</t>
  </si>
  <si>
    <t>PRIOR-1.03</t>
  </si>
  <si>
    <t>PRIOR-1.04</t>
  </si>
  <si>
    <t>PRIOR-1.05</t>
  </si>
  <si>
    <t>PRIOR-1.06</t>
  </si>
  <si>
    <t>PRIOR-1.07</t>
  </si>
  <si>
    <t>PRIOR-1.08</t>
  </si>
  <si>
    <t>1.4 Launch Considerations</t>
  </si>
  <si>
    <t>LAUNCH-1.01</t>
  </si>
  <si>
    <t>LAUNCH-1.02</t>
  </si>
  <si>
    <t>LAUNCH-1.03</t>
  </si>
  <si>
    <t>LAUNCH-1.04</t>
  </si>
  <si>
    <t>LAUNCH-1.05</t>
  </si>
  <si>
    <t>LAUNCH-1.06</t>
  </si>
  <si>
    <t>LAUNCH-1.07</t>
  </si>
  <si>
    <t>LAUNCH-1.08</t>
  </si>
  <si>
    <t>1.5 Deploy Considerations</t>
  </si>
  <si>
    <t>DEPLOY-1.01</t>
  </si>
  <si>
    <t>DEPLOY-1.02</t>
  </si>
  <si>
    <t>DEPLOY-1.03</t>
  </si>
  <si>
    <t>DEPLOY-1.04</t>
  </si>
  <si>
    <t>DEPLOY-1.05</t>
  </si>
  <si>
    <t>DEPLOY-1.06</t>
  </si>
  <si>
    <t>DEPLOY-1.07</t>
  </si>
  <si>
    <t>DEPLOY-1.08</t>
  </si>
  <si>
    <t>1.6 Mission Operational Considerations</t>
  </si>
  <si>
    <t>OPS-1.01</t>
  </si>
  <si>
    <t>OPS-1.02</t>
  </si>
  <si>
    <t>OPS-1.03</t>
  </si>
  <si>
    <t>OPS-1.04</t>
  </si>
  <si>
    <t>OPS-1.05</t>
  </si>
  <si>
    <t>OPS-1.06</t>
  </si>
  <si>
    <t>OPS-1.07</t>
  </si>
  <si>
    <t>OPS-1.08</t>
  </si>
  <si>
    <t>1.7 End of Mission Considerations</t>
  </si>
  <si>
    <t>DECAY-1.01</t>
  </si>
  <si>
    <t>DECAY-1.02</t>
  </si>
  <si>
    <t>DECAY-1.03</t>
  </si>
  <si>
    <t>DECAY-1.04</t>
  </si>
  <si>
    <t>DECAY-1.05</t>
  </si>
  <si>
    <t>DECAY-1.06</t>
  </si>
  <si>
    <t>DECAY-1.07</t>
  </si>
  <si>
    <t>DECAY-1.08</t>
  </si>
  <si>
    <t>Modes of Operation (checked boxes indicate the associated system will be "on" for this mode)</t>
  </si>
  <si>
    <t>Normal Mode of Operation</t>
  </si>
  <si>
    <t>MODE ID</t>
  </si>
  <si>
    <t>Description</t>
  </si>
  <si>
    <t>Follows (what modes can directly preceed this)</t>
  </si>
  <si>
    <t>Leads to (what modes can directly follow this)</t>
  </si>
  <si>
    <t>Hyper Spectral Camera</t>
  </si>
  <si>
    <t>Neutron Detector</t>
  </si>
  <si>
    <t>TEG</t>
  </si>
  <si>
    <t>ADCS</t>
  </si>
  <si>
    <t>Communications</t>
  </si>
  <si>
    <t>Data Handling</t>
  </si>
  <si>
    <t>Solar Panels</t>
  </si>
  <si>
    <t>EPDS</t>
  </si>
  <si>
    <t>FSW</t>
  </si>
  <si>
    <t>Thermal</t>
  </si>
  <si>
    <t>Solar Panels Deployment</t>
  </si>
  <si>
    <t>Antenna Deployment</t>
  </si>
  <si>
    <t>N/A</t>
  </si>
  <si>
    <t>Detumble</t>
  </si>
  <si>
    <t>Bring PHAT-Sat to a stable state with camera payload facing Earth</t>
  </si>
  <si>
    <t>Deployment Monitoring, Survival, Initial Startup</t>
  </si>
  <si>
    <t>Deployment Monitoring</t>
  </si>
  <si>
    <t>Initial Startup</t>
  </si>
  <si>
    <t>Bring critical systems online</t>
  </si>
  <si>
    <t>Sleep</t>
  </si>
  <si>
    <t>Prior to deployment from rocket--safe mode that ensures no systems will turn on prematurely and protects from transportation, loading, or launching effects on PHAT-Sat</t>
  </si>
  <si>
    <t>Finding PHAT-Sat?</t>
  </si>
  <si>
    <t>Idle</t>
  </si>
  <si>
    <t>Scheduled</t>
  </si>
  <si>
    <t>Charging state, transmitting satellite heartbeat (UHF), thermal keeping components within desired temperature range, rest of system off</t>
  </si>
  <si>
    <t>Any</t>
  </si>
  <si>
    <t>Most</t>
  </si>
  <si>
    <t>Reaction</t>
  </si>
  <si>
    <t>Survival</t>
  </si>
  <si>
    <t>Emergency state if something disasterous happens. Thermal, solar panels, TEGs ON. Transmitting beacon</t>
  </si>
  <si>
    <t>Imaging</t>
  </si>
  <si>
    <t>Pointing</t>
  </si>
  <si>
    <t>Data Processing</t>
  </si>
  <si>
    <t>Transmitting</t>
  </si>
  <si>
    <t>Downlinking imager data</t>
  </si>
  <si>
    <t>Calibration - Camera</t>
  </si>
  <si>
    <t>Calibrating the validity of the camera system to ensure accurate measurements</t>
  </si>
  <si>
    <t>Calibration - ADCS</t>
  </si>
  <si>
    <t>Verify orientation and position</t>
  </si>
  <si>
    <t>Initial Startup, Idle</t>
  </si>
  <si>
    <t>Desaturation - ADCS</t>
  </si>
  <si>
    <t>Use magnetorquer to reset/slow down reaction wheels</t>
  </si>
  <si>
    <t>Point camera or solar panels to desired field of view</t>
  </si>
  <si>
    <t>Commanded</t>
  </si>
  <si>
    <t>Receiving</t>
  </si>
  <si>
    <t>Receive commands from gr</t>
  </si>
  <si>
    <t xml:space="preserve">Thermal </t>
  </si>
  <si>
    <t>CHANGE ALL THIS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</si>
</sst>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600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2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 indent="2"/>
    </xf>
    <xf numFmtId="0" fontId="6" fillId="6" borderId="12" xfId="0" applyFont="1" applyFill="1" applyBorder="1" applyAlignment="1">
      <alignment horizontal="left" vertical="center" wrapText="1" indent="1"/>
    </xf>
    <xf numFmtId="0" fontId="6" fillId="6" borderId="0" xfId="0" applyFont="1" applyFill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 wrapText="1" indent="1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44"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59996337778862885"/>
        </patternFill>
      </fill>
    </dxf>
    <dxf>
      <fill>
        <patternFill>
          <bgColor rgb="FFFF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1" defaultTableStyle="TableStyleMedium2" defaultPivotStyle="PivotStyleMedium9">
    <tableStyle name="Table Style 1" pivot="0" count="0" xr9:uid="{8210B783-6157-4637-9BD0-3470024DA9DD}"/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AA4947-D6D7-4B28-BB2B-5F814D33E70B}" name="Table6" displayName="Table6" ref="A80:R103" totalsRowShown="0" headerRowDxfId="38" dataDxfId="37" headerRowBorderDxfId="35" tableBorderDxfId="36" totalsRowBorderDxfId="34">
  <autoFilter ref="A80:R103" xr:uid="{FFAA4947-D6D7-4B28-BB2B-5F814D33E70B}"/>
  <tableColumns count="18">
    <tableColumn id="18" xr3:uid="{C5089F4A-29DB-4C09-9528-CB6367B6FFC1}" name="Normal Mode of Operation" dataDxfId="33"/>
    <tableColumn id="1" xr3:uid="{336E6947-E962-47C2-AA9E-B09582EBC920}" name="MODE ID" dataDxfId="32"/>
    <tableColumn id="2" xr3:uid="{E303C2EF-45AD-4848-AF7C-7D7668A34AA5}" name="Title" dataDxfId="31"/>
    <tableColumn id="3" xr3:uid="{518D5EBD-8AB2-4CD0-9F69-FC110FF949DA}" name="Description" dataDxfId="30"/>
    <tableColumn id="4" xr3:uid="{2C5C0A61-2B91-4075-A6C6-A833329EC4AF}" name="Follows (what modes can directly preceed this)" dataDxfId="29"/>
    <tableColumn id="5" xr3:uid="{75C8FC09-4585-456F-81D8-4928FA8FBD95}" name="Leads to (what modes can directly follow this)" dataDxfId="28"/>
    <tableColumn id="6" xr3:uid="{4B07E040-F9E7-4A50-A814-E8EC3EF5351B}" name="Hyper Spectral Camera" dataDxfId="27"/>
    <tableColumn id="7" xr3:uid="{3B3FCD14-A767-4C18-A6BC-25A52B8C98EA}" name="Neutron Detector" dataDxfId="26"/>
    <tableColumn id="8" xr3:uid="{E19509D7-9FE5-47CC-BCA6-C48ADE634E57}" name="TEG" dataDxfId="25"/>
    <tableColumn id="9" xr3:uid="{A95562E8-05C6-46C1-812A-E6A5FA66292C}" name="ADCS" dataDxfId="24"/>
    <tableColumn id="10" xr3:uid="{6B8F3779-7F75-4068-8C8F-0530493A294B}" name="Communications" dataDxfId="23"/>
    <tableColumn id="11" xr3:uid="{9D5F7156-B115-4C43-85F2-1859323B9AE8}" name="Data Handling" dataDxfId="22"/>
    <tableColumn id="12" xr3:uid="{D631350A-35A5-4571-A8F5-C870150C9373}" name="Solar Panels" dataDxfId="21"/>
    <tableColumn id="13" xr3:uid="{571095D9-164B-44F7-AC2D-B66605403A66}" name="EPDS" dataDxfId="20"/>
    <tableColumn id="14" xr3:uid="{811AD723-7E20-43C4-A124-BCA2BE0DA82E}" name="FSW" dataDxfId="19"/>
    <tableColumn id="15" xr3:uid="{516D0E16-2F9D-41A7-924C-CE8F1773C49F}" name="Thermal" dataDxfId="18"/>
    <tableColumn id="16" xr3:uid="{29EF4428-8604-4223-8497-1D4321B3EE57}" name="Solar Panels Deployment" dataDxfId="17"/>
    <tableColumn id="17" xr3:uid="{E818F1F8-A9F2-467C-A4BA-5A4F04F92B45}" name="Antenna Deployment" dataDxfId="16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topLeftCell="A83" zoomScale="87" workbookViewId="0">
      <selection activeCell="B80" sqref="B80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5" s="2" customFormat="1" ht="30" customHeight="1">
      <c r="A1" s="32" t="s">
        <v>0</v>
      </c>
      <c r="B1" s="33"/>
      <c r="C1" s="33"/>
      <c r="D1" s="33"/>
      <c r="E1" s="33"/>
    </row>
    <row r="2" spans="1:5" ht="24" customHeight="1">
      <c r="A2" s="5" t="s">
        <v>1</v>
      </c>
      <c r="B2" s="5" t="s">
        <v>2</v>
      </c>
      <c r="C2" s="5" t="s">
        <v>3</v>
      </c>
      <c r="D2" s="5" t="s">
        <v>4</v>
      </c>
      <c r="E2" s="1"/>
    </row>
    <row r="3" spans="1:5" ht="42.75">
      <c r="A3" s="8">
        <v>1</v>
      </c>
      <c r="B3" s="9" t="s">
        <v>5</v>
      </c>
      <c r="C3" s="20" t="s">
        <v>6</v>
      </c>
      <c r="D3" s="20" t="s">
        <v>7</v>
      </c>
      <c r="E3" s="20"/>
    </row>
    <row r="4" spans="1:5" ht="57">
      <c r="A4" s="8">
        <v>2</v>
      </c>
      <c r="B4" s="9" t="s">
        <v>8</v>
      </c>
      <c r="C4" s="20" t="s">
        <v>9</v>
      </c>
      <c r="D4" s="20" t="s">
        <v>10</v>
      </c>
      <c r="E4" s="20"/>
    </row>
    <row r="5" spans="1:5" ht="42.75">
      <c r="A5" s="8">
        <v>3</v>
      </c>
      <c r="B5" s="9" t="s">
        <v>11</v>
      </c>
      <c r="C5" s="20" t="s">
        <v>12</v>
      </c>
      <c r="D5" s="20" t="s">
        <v>13</v>
      </c>
      <c r="E5" s="20"/>
    </row>
    <row r="6" spans="1:5" ht="42.75">
      <c r="A6" s="8">
        <v>4</v>
      </c>
      <c r="B6" s="9" t="s">
        <v>14</v>
      </c>
      <c r="C6" s="20" t="s">
        <v>15</v>
      </c>
      <c r="D6" s="20" t="s">
        <v>16</v>
      </c>
      <c r="E6" s="20"/>
    </row>
    <row r="7" spans="1:5" ht="42.75">
      <c r="A7" s="8">
        <v>5</v>
      </c>
      <c r="B7" s="9" t="s">
        <v>17</v>
      </c>
      <c r="C7" s="20" t="s">
        <v>18</v>
      </c>
      <c r="D7" s="20"/>
      <c r="E7" s="20"/>
    </row>
    <row r="8" spans="1:5" ht="57">
      <c r="A8" s="8">
        <v>6</v>
      </c>
      <c r="B8" s="9" t="s">
        <v>19</v>
      </c>
      <c r="C8" s="20" t="s">
        <v>20</v>
      </c>
      <c r="D8" s="20"/>
      <c r="E8" s="20"/>
    </row>
    <row r="9" spans="1:5" ht="42.75">
      <c r="A9" s="8">
        <v>7</v>
      </c>
      <c r="B9" s="9" t="s">
        <v>21</v>
      </c>
      <c r="C9" s="20" t="s">
        <v>22</v>
      </c>
      <c r="D9" s="20"/>
      <c r="E9" s="20"/>
    </row>
    <row r="13" spans="1:5" s="2" customFormat="1" ht="30" customHeight="1">
      <c r="A13" s="34" t="s">
        <v>23</v>
      </c>
      <c r="B13" s="34"/>
      <c r="C13" s="34"/>
      <c r="D13" s="34"/>
      <c r="E13" s="34"/>
    </row>
    <row r="14" spans="1:5" ht="24" customHeight="1">
      <c r="A14" s="6" t="s">
        <v>24</v>
      </c>
      <c r="B14" s="6" t="s">
        <v>25</v>
      </c>
      <c r="C14" s="6" t="s">
        <v>26</v>
      </c>
      <c r="D14" s="6" t="s">
        <v>27</v>
      </c>
      <c r="E14" s="3"/>
    </row>
    <row r="15" spans="1:5" ht="15.75" customHeight="1">
      <c r="A15" s="27" t="s">
        <v>28</v>
      </c>
      <c r="B15" s="29"/>
      <c r="C15" s="29"/>
      <c r="D15" s="29"/>
      <c r="E15" s="29"/>
    </row>
    <row r="16" spans="1:5">
      <c r="A16" s="4" t="s">
        <v>29</v>
      </c>
      <c r="B16" s="7" t="s">
        <v>30</v>
      </c>
      <c r="C16" s="7"/>
      <c r="D16" s="7"/>
      <c r="E16" s="4"/>
    </row>
    <row r="17" spans="1:5">
      <c r="A17" s="4" t="s">
        <v>31</v>
      </c>
      <c r="B17" s="7" t="s">
        <v>32</v>
      </c>
      <c r="C17" s="7"/>
      <c r="D17" s="7"/>
      <c r="E17" s="4"/>
    </row>
    <row r="18" spans="1:5" ht="28.5">
      <c r="A18" s="4" t="s">
        <v>33</v>
      </c>
      <c r="B18" s="7" t="s">
        <v>34</v>
      </c>
      <c r="C18" s="7"/>
      <c r="D18" s="7"/>
      <c r="E18" s="4"/>
    </row>
    <row r="19" spans="1:5" ht="28.5">
      <c r="A19" s="4" t="s">
        <v>35</v>
      </c>
      <c r="B19" s="7" t="s">
        <v>36</v>
      </c>
      <c r="C19" s="7"/>
      <c r="D19" s="7" t="s">
        <v>37</v>
      </c>
      <c r="E19" s="4"/>
    </row>
    <row r="20" spans="1:5">
      <c r="A20" s="4" t="s">
        <v>38</v>
      </c>
      <c r="B20" s="7"/>
      <c r="C20" s="7"/>
      <c r="D20" s="7"/>
      <c r="E20" s="4"/>
    </row>
    <row r="21" spans="1:5">
      <c r="A21" s="4" t="s">
        <v>39</v>
      </c>
      <c r="B21" s="7"/>
      <c r="C21" s="7"/>
      <c r="D21" s="7"/>
      <c r="E21" s="4"/>
    </row>
    <row r="22" spans="1:5">
      <c r="A22" s="4" t="s">
        <v>40</v>
      </c>
      <c r="B22" s="7"/>
      <c r="C22" s="7"/>
      <c r="D22" s="7"/>
      <c r="E22" s="4"/>
    </row>
    <row r="23" spans="1:5">
      <c r="A23" s="4" t="s">
        <v>41</v>
      </c>
      <c r="B23" s="7"/>
      <c r="C23" s="7"/>
      <c r="D23" s="7"/>
      <c r="E23" s="4"/>
    </row>
    <row r="24" spans="1:5" ht="15.75" customHeight="1">
      <c r="A24" s="27" t="s">
        <v>42</v>
      </c>
      <c r="B24" s="28"/>
      <c r="C24" s="29"/>
      <c r="D24" s="29"/>
      <c r="E24" s="29"/>
    </row>
    <row r="25" spans="1:5">
      <c r="A25" s="4" t="s">
        <v>43</v>
      </c>
      <c r="B25" s="7"/>
      <c r="C25" s="7"/>
      <c r="D25" s="7"/>
      <c r="E25" s="4"/>
    </row>
    <row r="26" spans="1:5">
      <c r="A26" s="4" t="s">
        <v>44</v>
      </c>
      <c r="B26" s="7"/>
      <c r="C26" s="7"/>
      <c r="D26" s="7"/>
      <c r="E26" s="4"/>
    </row>
    <row r="27" spans="1:5">
      <c r="A27" s="4" t="s">
        <v>45</v>
      </c>
      <c r="B27" s="7"/>
      <c r="C27" s="7"/>
      <c r="D27" s="7"/>
      <c r="E27" s="4"/>
    </row>
    <row r="28" spans="1:5">
      <c r="A28" s="4" t="s">
        <v>46</v>
      </c>
      <c r="B28" s="7"/>
      <c r="C28" s="7"/>
      <c r="D28" s="7"/>
      <c r="E28" s="4"/>
    </row>
    <row r="29" spans="1:5">
      <c r="A29" s="4" t="s">
        <v>47</v>
      </c>
      <c r="B29" s="7"/>
      <c r="C29" s="7"/>
      <c r="D29" s="7"/>
      <c r="E29" s="4"/>
    </row>
    <row r="30" spans="1:5">
      <c r="A30" s="4" t="s">
        <v>48</v>
      </c>
      <c r="B30" s="7"/>
      <c r="C30" s="7"/>
      <c r="D30" s="7"/>
      <c r="E30" s="4"/>
    </row>
    <row r="31" spans="1:5">
      <c r="A31" s="4" t="s">
        <v>49</v>
      </c>
      <c r="B31" s="7"/>
      <c r="C31" s="7"/>
      <c r="D31" s="7"/>
      <c r="E31" s="4"/>
    </row>
    <row r="32" spans="1:5">
      <c r="A32" s="4" t="s">
        <v>50</v>
      </c>
      <c r="B32" s="7"/>
      <c r="C32" s="7"/>
      <c r="D32" s="7"/>
      <c r="E32" s="4"/>
    </row>
    <row r="33" spans="1:5" ht="15.75" customHeight="1">
      <c r="A33" s="27" t="s">
        <v>51</v>
      </c>
      <c r="B33" s="28"/>
      <c r="C33" s="29"/>
      <c r="D33" s="29"/>
      <c r="E33" s="29"/>
    </row>
    <row r="34" spans="1:5">
      <c r="A34" s="4" t="s">
        <v>52</v>
      </c>
      <c r="B34" s="7"/>
      <c r="C34" s="7"/>
      <c r="D34" s="7"/>
      <c r="E34" s="4"/>
    </row>
    <row r="35" spans="1:5">
      <c r="A35" s="4" t="s">
        <v>53</v>
      </c>
      <c r="B35" s="7"/>
      <c r="C35" s="7"/>
      <c r="D35" s="7"/>
      <c r="E35" s="4"/>
    </row>
    <row r="36" spans="1:5">
      <c r="A36" s="4" t="s">
        <v>54</v>
      </c>
      <c r="B36" s="7"/>
      <c r="C36" s="7"/>
      <c r="D36" s="7"/>
      <c r="E36" s="4"/>
    </row>
    <row r="37" spans="1:5">
      <c r="A37" s="4" t="s">
        <v>55</v>
      </c>
      <c r="B37" s="7"/>
      <c r="C37" s="7"/>
      <c r="D37" s="7"/>
      <c r="E37" s="4"/>
    </row>
    <row r="38" spans="1:5">
      <c r="A38" s="4" t="s">
        <v>56</v>
      </c>
      <c r="B38" s="7"/>
      <c r="C38" s="7"/>
      <c r="D38" s="7"/>
      <c r="E38" s="4"/>
    </row>
    <row r="39" spans="1:5">
      <c r="A39" s="4" t="s">
        <v>57</v>
      </c>
      <c r="B39" s="7"/>
      <c r="C39" s="7"/>
      <c r="D39" s="7"/>
      <c r="E39" s="4"/>
    </row>
    <row r="40" spans="1:5">
      <c r="A40" s="4" t="s">
        <v>58</v>
      </c>
      <c r="B40" s="7"/>
      <c r="C40" s="7"/>
      <c r="D40" s="7"/>
      <c r="E40" s="4"/>
    </row>
    <row r="41" spans="1:5">
      <c r="A41" s="4" t="s">
        <v>59</v>
      </c>
      <c r="B41" s="7"/>
      <c r="C41" s="7"/>
      <c r="D41" s="7"/>
      <c r="E41" s="4"/>
    </row>
    <row r="42" spans="1:5" ht="15.75">
      <c r="A42" s="27" t="s">
        <v>60</v>
      </c>
      <c r="B42" s="28"/>
      <c r="C42" s="29"/>
      <c r="D42" s="29"/>
      <c r="E42" s="29"/>
    </row>
    <row r="43" spans="1:5">
      <c r="A43" s="4" t="s">
        <v>61</v>
      </c>
      <c r="B43" s="7"/>
      <c r="C43" s="7"/>
      <c r="D43" s="7"/>
      <c r="E43" s="4"/>
    </row>
    <row r="44" spans="1:5">
      <c r="A44" s="4" t="s">
        <v>62</v>
      </c>
      <c r="B44" s="7"/>
      <c r="C44" s="7"/>
      <c r="D44" s="7"/>
      <c r="E44" s="4"/>
    </row>
    <row r="45" spans="1:5">
      <c r="A45" s="4" t="s">
        <v>63</v>
      </c>
      <c r="B45" s="7"/>
      <c r="C45" s="7"/>
      <c r="D45" s="7"/>
      <c r="E45" s="4"/>
    </row>
    <row r="46" spans="1:5">
      <c r="A46" s="4" t="s">
        <v>64</v>
      </c>
      <c r="B46" s="7"/>
      <c r="C46" s="7"/>
      <c r="D46" s="7"/>
      <c r="E46" s="4"/>
    </row>
    <row r="47" spans="1:5">
      <c r="A47" s="4" t="s">
        <v>65</v>
      </c>
      <c r="B47" s="7"/>
      <c r="C47" s="7"/>
      <c r="D47" s="7"/>
      <c r="E47" s="4"/>
    </row>
    <row r="48" spans="1:5">
      <c r="A48" s="4" t="s">
        <v>66</v>
      </c>
      <c r="B48" s="7"/>
      <c r="C48" s="7"/>
      <c r="D48" s="7"/>
      <c r="E48" s="4"/>
    </row>
    <row r="49" spans="1:5">
      <c r="A49" s="4" t="s">
        <v>67</v>
      </c>
      <c r="B49" s="7"/>
      <c r="C49" s="7"/>
      <c r="D49" s="7"/>
      <c r="E49" s="4"/>
    </row>
    <row r="50" spans="1:5">
      <c r="A50" s="4" t="s">
        <v>68</v>
      </c>
      <c r="B50" s="7"/>
      <c r="C50" s="7"/>
      <c r="D50" s="7"/>
      <c r="E50" s="4"/>
    </row>
    <row r="51" spans="1:5" ht="15.75">
      <c r="A51" s="27" t="s">
        <v>69</v>
      </c>
      <c r="B51" s="28"/>
      <c r="C51" s="29"/>
      <c r="D51" s="29"/>
      <c r="E51" s="29"/>
    </row>
    <row r="52" spans="1:5">
      <c r="A52" s="4" t="s">
        <v>70</v>
      </c>
      <c r="B52" s="7"/>
      <c r="C52" s="7"/>
      <c r="D52" s="7"/>
      <c r="E52" s="4"/>
    </row>
    <row r="53" spans="1:5">
      <c r="A53" s="4" t="s">
        <v>71</v>
      </c>
      <c r="B53" s="7"/>
      <c r="C53" s="7"/>
      <c r="D53" s="7"/>
      <c r="E53" s="4"/>
    </row>
    <row r="54" spans="1:5">
      <c r="A54" s="4" t="s">
        <v>72</v>
      </c>
      <c r="B54" s="7"/>
      <c r="C54" s="7"/>
      <c r="D54" s="7"/>
      <c r="E54" s="4"/>
    </row>
    <row r="55" spans="1:5">
      <c r="A55" s="4" t="s">
        <v>73</v>
      </c>
      <c r="B55" s="7"/>
      <c r="C55" s="7"/>
      <c r="D55" s="7"/>
      <c r="E55" s="4"/>
    </row>
    <row r="56" spans="1:5">
      <c r="A56" s="4" t="s">
        <v>74</v>
      </c>
      <c r="B56" s="7"/>
      <c r="C56" s="7"/>
      <c r="D56" s="7"/>
      <c r="E56" s="4"/>
    </row>
    <row r="57" spans="1:5">
      <c r="A57" s="4" t="s">
        <v>75</v>
      </c>
      <c r="B57" s="7"/>
      <c r="C57" s="7"/>
      <c r="D57" s="7"/>
      <c r="E57" s="4"/>
    </row>
    <row r="58" spans="1:5">
      <c r="A58" s="4" t="s">
        <v>76</v>
      </c>
      <c r="B58" s="7"/>
      <c r="C58" s="7"/>
      <c r="D58" s="7"/>
      <c r="E58" s="4"/>
    </row>
    <row r="59" spans="1:5">
      <c r="A59" s="4" t="s">
        <v>77</v>
      </c>
      <c r="B59" s="7"/>
      <c r="C59" s="7"/>
      <c r="D59" s="7"/>
      <c r="E59" s="4"/>
    </row>
    <row r="60" spans="1:5" ht="15.75">
      <c r="A60" s="27" t="s">
        <v>78</v>
      </c>
      <c r="B60" s="28"/>
      <c r="C60" s="29"/>
      <c r="D60" s="29"/>
      <c r="E60" s="29"/>
    </row>
    <row r="61" spans="1:5">
      <c r="A61" s="4" t="s">
        <v>79</v>
      </c>
      <c r="B61" s="7"/>
      <c r="C61" s="7"/>
      <c r="D61" s="7"/>
      <c r="E61" s="4"/>
    </row>
    <row r="62" spans="1:5">
      <c r="A62" s="4" t="s">
        <v>80</v>
      </c>
      <c r="B62" s="7"/>
      <c r="C62" s="7"/>
      <c r="D62" s="7"/>
      <c r="E62" s="4"/>
    </row>
    <row r="63" spans="1:5">
      <c r="A63" s="4" t="s">
        <v>81</v>
      </c>
      <c r="B63" s="7"/>
      <c r="C63" s="7"/>
      <c r="D63" s="7"/>
      <c r="E63" s="4"/>
    </row>
    <row r="64" spans="1:5">
      <c r="A64" s="4" t="s">
        <v>82</v>
      </c>
      <c r="B64" s="7"/>
      <c r="C64" s="7"/>
      <c r="D64" s="7"/>
      <c r="E64" s="4"/>
    </row>
    <row r="65" spans="1:18">
      <c r="A65" s="4" t="s">
        <v>83</v>
      </c>
      <c r="B65" s="7"/>
      <c r="C65" s="7"/>
      <c r="D65" s="7"/>
      <c r="E65" s="4"/>
    </row>
    <row r="66" spans="1:18">
      <c r="A66" s="4" t="s">
        <v>84</v>
      </c>
      <c r="B66" s="7"/>
      <c r="C66" s="7"/>
      <c r="D66" s="7"/>
      <c r="E66" s="4"/>
    </row>
    <row r="67" spans="1:18">
      <c r="A67" s="4" t="s">
        <v>85</v>
      </c>
      <c r="B67" s="7"/>
      <c r="C67" s="7"/>
      <c r="D67" s="7"/>
      <c r="E67" s="4"/>
    </row>
    <row r="68" spans="1:18">
      <c r="A68" s="4" t="s">
        <v>86</v>
      </c>
      <c r="B68" s="7"/>
      <c r="C68" s="7"/>
      <c r="D68" s="7"/>
      <c r="E68" s="4"/>
    </row>
    <row r="69" spans="1:18" ht="15.75">
      <c r="A69" s="27" t="s">
        <v>87</v>
      </c>
      <c r="B69" s="28"/>
      <c r="C69" s="29"/>
      <c r="D69" s="29"/>
      <c r="E69" s="29"/>
    </row>
    <row r="70" spans="1:18">
      <c r="A70" s="4" t="s">
        <v>88</v>
      </c>
      <c r="B70" s="7"/>
      <c r="C70" s="7"/>
      <c r="D70" s="7"/>
      <c r="E70" s="4"/>
    </row>
    <row r="71" spans="1:18">
      <c r="A71" s="4" t="s">
        <v>89</v>
      </c>
      <c r="B71" s="7"/>
      <c r="C71" s="7"/>
      <c r="D71" s="7"/>
      <c r="E71" s="4"/>
    </row>
    <row r="72" spans="1:18">
      <c r="A72" s="4" t="s">
        <v>90</v>
      </c>
      <c r="B72" s="7"/>
      <c r="C72" s="7"/>
      <c r="D72" s="7"/>
      <c r="E72" s="4"/>
    </row>
    <row r="73" spans="1:18">
      <c r="A73" s="4" t="s">
        <v>91</v>
      </c>
      <c r="B73" s="7"/>
      <c r="C73" s="7"/>
      <c r="D73" s="7"/>
      <c r="E73" s="4"/>
    </row>
    <row r="74" spans="1:18">
      <c r="A74" s="4" t="s">
        <v>92</v>
      </c>
      <c r="B74" s="7"/>
      <c r="C74" s="7"/>
      <c r="D74" s="7"/>
      <c r="E74" s="4"/>
    </row>
    <row r="75" spans="1:18">
      <c r="A75" s="4" t="s">
        <v>93</v>
      </c>
      <c r="B75" s="7"/>
      <c r="C75" s="7"/>
      <c r="D75" s="7"/>
      <c r="E75" s="4"/>
    </row>
    <row r="76" spans="1:18">
      <c r="A76" s="4" t="s">
        <v>94</v>
      </c>
      <c r="B76" s="7"/>
      <c r="C76" s="7"/>
      <c r="D76" s="7"/>
      <c r="E76" s="4"/>
    </row>
    <row r="77" spans="1:18">
      <c r="A77" s="4" t="s">
        <v>95</v>
      </c>
      <c r="B77" s="7"/>
      <c r="C77" s="7"/>
      <c r="D77" s="7"/>
      <c r="E77" s="4"/>
    </row>
    <row r="79" spans="1:18" ht="30" customHeight="1">
      <c r="A79" s="30" t="s">
        <v>96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 spans="1:18" ht="47.25">
      <c r="A80" s="17" t="s">
        <v>97</v>
      </c>
      <c r="B80" s="15" t="s">
        <v>98</v>
      </c>
      <c r="C80" s="16" t="s">
        <v>25</v>
      </c>
      <c r="D80" s="16" t="s">
        <v>99</v>
      </c>
      <c r="E80" s="16" t="s">
        <v>100</v>
      </c>
      <c r="F80" s="17" t="s">
        <v>101</v>
      </c>
      <c r="G80" s="17" t="s">
        <v>102</v>
      </c>
      <c r="H80" s="17" t="s">
        <v>103</v>
      </c>
      <c r="I80" s="17" t="s">
        <v>104</v>
      </c>
      <c r="J80" s="17" t="s">
        <v>105</v>
      </c>
      <c r="K80" s="17" t="s">
        <v>106</v>
      </c>
      <c r="L80" s="17" t="s">
        <v>107</v>
      </c>
      <c r="M80" s="17" t="s">
        <v>108</v>
      </c>
      <c r="N80" s="17" t="s">
        <v>109</v>
      </c>
      <c r="O80" s="17" t="s">
        <v>110</v>
      </c>
      <c r="P80" s="17" t="s">
        <v>111</v>
      </c>
      <c r="Q80" s="17" t="s">
        <v>112</v>
      </c>
      <c r="R80" s="18" t="s">
        <v>113</v>
      </c>
    </row>
    <row r="81" spans="1:18" ht="28.5">
      <c r="A81" s="26" t="s">
        <v>114</v>
      </c>
      <c r="B81" s="25">
        <v>1</v>
      </c>
      <c r="C81" s="23" t="s">
        <v>115</v>
      </c>
      <c r="D81" s="7" t="s">
        <v>116</v>
      </c>
      <c r="E81" s="7" t="s">
        <v>117</v>
      </c>
      <c r="F81" s="7" t="s">
        <v>118</v>
      </c>
      <c r="G81" s="10" t="b">
        <v>0</v>
      </c>
      <c r="H81" s="10" t="b">
        <v>0</v>
      </c>
      <c r="I81" s="10" t="b">
        <v>1</v>
      </c>
      <c r="J81" s="10" t="b">
        <v>1</v>
      </c>
      <c r="K81" s="10" t="b">
        <v>0</v>
      </c>
      <c r="L81" s="10" t="b">
        <v>0</v>
      </c>
      <c r="M81" s="10" t="b">
        <v>1</v>
      </c>
      <c r="N81" s="10" t="b">
        <v>1</v>
      </c>
      <c r="O81" s="10" t="b">
        <v>1</v>
      </c>
      <c r="P81" s="10" t="b">
        <v>1</v>
      </c>
      <c r="Q81" s="10" t="b">
        <v>0</v>
      </c>
      <c r="R81" s="14" t="b">
        <v>0</v>
      </c>
    </row>
    <row r="82" spans="1:18">
      <c r="A82" s="26" t="s">
        <v>114</v>
      </c>
      <c r="B82" s="25">
        <f>B81+1</f>
        <v>2</v>
      </c>
      <c r="C82" s="23" t="s">
        <v>119</v>
      </c>
      <c r="D82" s="7" t="s">
        <v>120</v>
      </c>
      <c r="E82" s="7" t="s">
        <v>119</v>
      </c>
      <c r="F82" s="7" t="s">
        <v>115</v>
      </c>
      <c r="G82" s="10" t="b">
        <v>0</v>
      </c>
      <c r="H82" s="10" t="b">
        <v>0</v>
      </c>
      <c r="I82" s="10" t="b">
        <v>1</v>
      </c>
      <c r="J82" s="10" t="b">
        <v>1</v>
      </c>
      <c r="K82" s="10" t="b">
        <v>1</v>
      </c>
      <c r="L82" s="10" t="b">
        <v>0</v>
      </c>
      <c r="M82" s="10" t="b">
        <v>1</v>
      </c>
      <c r="N82" s="10" t="b">
        <v>1</v>
      </c>
      <c r="O82" s="10" t="b">
        <v>1</v>
      </c>
      <c r="P82" s="10" t="b">
        <v>1</v>
      </c>
      <c r="Q82" s="10" t="b">
        <v>1</v>
      </c>
      <c r="R82" s="14" t="b">
        <v>1</v>
      </c>
    </row>
    <row r="83" spans="1:18" ht="57">
      <c r="A83" s="26" t="s">
        <v>114</v>
      </c>
      <c r="B83" s="25">
        <f>B82+1</f>
        <v>3</v>
      </c>
      <c r="C83" s="23" t="s">
        <v>121</v>
      </c>
      <c r="D83" s="7" t="s">
        <v>122</v>
      </c>
      <c r="E83" s="7"/>
      <c r="F83" s="7" t="s">
        <v>119</v>
      </c>
      <c r="G83" s="10" t="b">
        <v>0</v>
      </c>
      <c r="H83" s="10" t="b">
        <v>0</v>
      </c>
      <c r="I83" s="10" t="b">
        <v>0</v>
      </c>
      <c r="J83" s="10" t="b">
        <v>0</v>
      </c>
      <c r="K83" s="10" t="b">
        <v>0</v>
      </c>
      <c r="L83" s="10" t="b">
        <v>0</v>
      </c>
      <c r="M83" s="10" t="b">
        <v>0</v>
      </c>
      <c r="N83" s="10" t="b">
        <v>1</v>
      </c>
      <c r="O83" s="10" t="b">
        <v>1</v>
      </c>
      <c r="P83" s="10" t="b">
        <v>0</v>
      </c>
      <c r="Q83" s="10" t="b">
        <v>0</v>
      </c>
      <c r="R83" s="14" t="b">
        <v>1</v>
      </c>
    </row>
    <row r="84" spans="1:18">
      <c r="A84" s="26" t="s">
        <v>114</v>
      </c>
      <c r="B84" s="25">
        <f>B83+1</f>
        <v>4</v>
      </c>
      <c r="C84" s="23" t="s">
        <v>118</v>
      </c>
      <c r="D84" s="7" t="s">
        <v>123</v>
      </c>
      <c r="E84" s="7" t="s">
        <v>115</v>
      </c>
      <c r="F84" s="7" t="s">
        <v>124</v>
      </c>
      <c r="G84" s="10" t="b">
        <v>0</v>
      </c>
      <c r="H84" s="10" t="b">
        <v>0</v>
      </c>
      <c r="I84" s="10" t="b">
        <v>1</v>
      </c>
      <c r="J84" s="10" t="b">
        <v>1</v>
      </c>
      <c r="K84" s="10" t="b">
        <v>1</v>
      </c>
      <c r="L84" s="10" t="b">
        <v>0</v>
      </c>
      <c r="M84" s="10" t="b">
        <v>1</v>
      </c>
      <c r="N84" s="10" t="b">
        <v>1</v>
      </c>
      <c r="O84" s="10" t="b">
        <v>1</v>
      </c>
      <c r="P84" s="10" t="b">
        <v>1</v>
      </c>
      <c r="Q84" s="10" t="b">
        <v>0</v>
      </c>
      <c r="R84" s="14" t="b">
        <v>0</v>
      </c>
    </row>
    <row r="85" spans="1:18" ht="42.75">
      <c r="A85" s="26" t="s">
        <v>125</v>
      </c>
      <c r="B85" s="25">
        <f>B84+1</f>
        <v>5</v>
      </c>
      <c r="C85" s="23" t="s">
        <v>124</v>
      </c>
      <c r="D85" s="7" t="s">
        <v>126</v>
      </c>
      <c r="E85" s="7" t="s">
        <v>127</v>
      </c>
      <c r="F85" s="7" t="s">
        <v>128</v>
      </c>
      <c r="G85" s="10" t="b">
        <v>0</v>
      </c>
      <c r="H85" s="10" t="b">
        <v>1</v>
      </c>
      <c r="I85" s="10" t="b">
        <v>1</v>
      </c>
      <c r="J85" s="10" t="b">
        <v>1</v>
      </c>
      <c r="K85" s="10" t="b">
        <v>1</v>
      </c>
      <c r="L85" s="10" t="b">
        <v>1</v>
      </c>
      <c r="M85" s="10" t="b">
        <v>1</v>
      </c>
      <c r="N85" s="10" t="b">
        <v>1</v>
      </c>
      <c r="O85" s="10" t="b">
        <v>1</v>
      </c>
      <c r="P85" s="10" t="b">
        <v>1</v>
      </c>
      <c r="Q85" s="10" t="b">
        <v>0</v>
      </c>
      <c r="R85" s="14" t="b">
        <v>0</v>
      </c>
    </row>
    <row r="86" spans="1:18" ht="28.5">
      <c r="A86" s="26" t="s">
        <v>129</v>
      </c>
      <c r="B86" s="25">
        <f>B85+1</f>
        <v>6</v>
      </c>
      <c r="C86" s="23" t="s">
        <v>130</v>
      </c>
      <c r="D86" s="7" t="s">
        <v>131</v>
      </c>
      <c r="E86" s="7" t="s">
        <v>127</v>
      </c>
      <c r="F86" s="7" t="s">
        <v>124</v>
      </c>
      <c r="G86" s="10" t="b">
        <v>0</v>
      </c>
      <c r="H86" s="10" t="b">
        <v>0</v>
      </c>
      <c r="I86" s="10" t="b">
        <v>1</v>
      </c>
      <c r="J86" s="10" t="b">
        <v>1</v>
      </c>
      <c r="K86" s="10" t="b">
        <v>1</v>
      </c>
      <c r="L86" s="10" t="b">
        <v>0</v>
      </c>
      <c r="M86" s="10" t="b">
        <v>1</v>
      </c>
      <c r="N86" s="10" t="b">
        <v>1</v>
      </c>
      <c r="O86" s="10" t="b">
        <v>1</v>
      </c>
      <c r="P86" s="10" t="b">
        <v>1</v>
      </c>
      <c r="Q86" s="10" t="b">
        <v>0</v>
      </c>
      <c r="R86" s="14" t="b">
        <v>0</v>
      </c>
    </row>
    <row r="87" spans="1:18">
      <c r="A87" s="26" t="s">
        <v>125</v>
      </c>
      <c r="B87" s="25">
        <f>B86+1</f>
        <v>7</v>
      </c>
      <c r="C87" s="23" t="s">
        <v>132</v>
      </c>
      <c r="D87" s="7"/>
      <c r="E87" s="7" t="s">
        <v>133</v>
      </c>
      <c r="F87" s="7" t="s">
        <v>134</v>
      </c>
      <c r="G87" s="10" t="b">
        <v>1</v>
      </c>
      <c r="H87" s="10" t="b">
        <v>0</v>
      </c>
      <c r="I87" s="10" t="b">
        <v>0</v>
      </c>
      <c r="J87" s="10" t="b">
        <v>1</v>
      </c>
      <c r="K87" s="10" t="b">
        <v>0</v>
      </c>
      <c r="L87" s="10" t="b">
        <v>0</v>
      </c>
      <c r="M87" s="10" t="b">
        <v>0</v>
      </c>
      <c r="N87" s="10" t="b">
        <v>1</v>
      </c>
      <c r="O87" s="10" t="b">
        <v>1</v>
      </c>
      <c r="P87" s="10" t="b">
        <v>1</v>
      </c>
      <c r="Q87" s="10" t="b">
        <v>0</v>
      </c>
      <c r="R87" s="14" t="b">
        <v>0</v>
      </c>
    </row>
    <row r="88" spans="1:18">
      <c r="A88" s="26" t="s">
        <v>125</v>
      </c>
      <c r="B88" s="25">
        <f>B87+1</f>
        <v>8</v>
      </c>
      <c r="C88" s="23" t="s">
        <v>135</v>
      </c>
      <c r="D88" s="7" t="s">
        <v>136</v>
      </c>
      <c r="E88" s="7" t="s">
        <v>124</v>
      </c>
      <c r="F88" s="7" t="s">
        <v>124</v>
      </c>
      <c r="G88" s="10" t="b">
        <v>0</v>
      </c>
      <c r="H88" s="10" t="b">
        <v>0</v>
      </c>
      <c r="I88" s="10" t="b">
        <v>0</v>
      </c>
      <c r="J88" s="10" t="b">
        <v>1</v>
      </c>
      <c r="K88" s="10" t="b">
        <v>1</v>
      </c>
      <c r="L88" s="10" t="b">
        <v>0</v>
      </c>
      <c r="M88" s="10" t="b">
        <v>0</v>
      </c>
      <c r="N88" s="10" t="b">
        <v>1</v>
      </c>
      <c r="O88" s="10" t="b">
        <v>1</v>
      </c>
      <c r="P88" s="10" t="b">
        <v>1</v>
      </c>
      <c r="Q88" s="10" t="b">
        <v>0</v>
      </c>
      <c r="R88" s="14" t="b">
        <v>0</v>
      </c>
    </row>
    <row r="89" spans="1:18" ht="28.5">
      <c r="A89" s="26" t="s">
        <v>125</v>
      </c>
      <c r="B89" s="25">
        <f>B88+1</f>
        <v>9</v>
      </c>
      <c r="C89" s="23" t="s">
        <v>137</v>
      </c>
      <c r="D89" s="7" t="s">
        <v>138</v>
      </c>
      <c r="E89" s="7" t="s">
        <v>124</v>
      </c>
      <c r="F89" s="7"/>
      <c r="G89" s="10" t="b">
        <v>1</v>
      </c>
      <c r="H89" s="10" t="b">
        <v>1</v>
      </c>
      <c r="I89" s="10" t="b">
        <v>1</v>
      </c>
      <c r="J89" s="10" t="b">
        <v>1</v>
      </c>
      <c r="K89" s="10" t="b">
        <v>0</v>
      </c>
      <c r="L89" s="10" t="b">
        <v>0</v>
      </c>
      <c r="M89" s="10" t="b">
        <v>1</v>
      </c>
      <c r="N89" s="10" t="b">
        <v>1</v>
      </c>
      <c r="O89" s="10" t="b">
        <v>1</v>
      </c>
      <c r="P89" s="10" t="b">
        <v>1</v>
      </c>
      <c r="Q89" s="10" t="b">
        <v>0</v>
      </c>
      <c r="R89" s="14" t="b">
        <v>0</v>
      </c>
    </row>
    <row r="90" spans="1:18">
      <c r="A90" s="26" t="s">
        <v>125</v>
      </c>
      <c r="B90" s="25">
        <f>B89+1</f>
        <v>10</v>
      </c>
      <c r="C90" s="23" t="s">
        <v>139</v>
      </c>
      <c r="D90" s="7" t="s">
        <v>140</v>
      </c>
      <c r="E90" s="7" t="s">
        <v>141</v>
      </c>
      <c r="F90" s="7" t="s">
        <v>124</v>
      </c>
      <c r="G90" s="10" t="b">
        <v>0</v>
      </c>
      <c r="H90" s="10" t="b">
        <v>1</v>
      </c>
      <c r="I90" s="10" t="b">
        <v>1</v>
      </c>
      <c r="J90" s="10" t="b">
        <v>1</v>
      </c>
      <c r="K90" s="10" t="b">
        <v>0</v>
      </c>
      <c r="L90" s="10" t="b">
        <v>0</v>
      </c>
      <c r="M90" s="10" t="b">
        <v>1</v>
      </c>
      <c r="N90" s="10" t="b">
        <v>1</v>
      </c>
      <c r="O90" s="10" t="b">
        <v>1</v>
      </c>
      <c r="P90" s="10" t="b">
        <v>1</v>
      </c>
      <c r="Q90" s="10" t="b">
        <v>0</v>
      </c>
      <c r="R90" s="14" t="b">
        <v>0</v>
      </c>
    </row>
    <row r="91" spans="1:18">
      <c r="A91" s="26" t="s">
        <v>125</v>
      </c>
      <c r="B91" s="25">
        <f>B90+1</f>
        <v>11</v>
      </c>
      <c r="C91" s="23" t="s">
        <v>134</v>
      </c>
      <c r="D91" s="7"/>
      <c r="E91" s="7" t="s">
        <v>132</v>
      </c>
      <c r="F91" s="7" t="s">
        <v>124</v>
      </c>
      <c r="G91" s="10" t="b">
        <v>0</v>
      </c>
      <c r="H91" s="10" t="b">
        <v>0</v>
      </c>
      <c r="I91" s="10" t="b">
        <v>0</v>
      </c>
      <c r="J91" s="10" t="b">
        <v>1</v>
      </c>
      <c r="K91" s="10" t="b">
        <v>0</v>
      </c>
      <c r="L91" s="10" t="b">
        <v>1</v>
      </c>
      <c r="M91" s="10" t="b">
        <v>0</v>
      </c>
      <c r="N91" s="10" t="b">
        <v>1</v>
      </c>
      <c r="O91" s="10" t="b">
        <v>1</v>
      </c>
      <c r="P91" s="10" t="b">
        <v>1</v>
      </c>
      <c r="Q91" s="10" t="b">
        <v>0</v>
      </c>
      <c r="R91" s="14" t="b">
        <v>0</v>
      </c>
    </row>
    <row r="92" spans="1:18" ht="28.5">
      <c r="A92" s="26" t="s">
        <v>125</v>
      </c>
      <c r="B92" s="25">
        <f>B91+1</f>
        <v>12</v>
      </c>
      <c r="C92" s="23" t="s">
        <v>142</v>
      </c>
      <c r="D92" s="7" t="s">
        <v>143</v>
      </c>
      <c r="E92" s="7" t="s">
        <v>124</v>
      </c>
      <c r="F92" s="7" t="s">
        <v>124</v>
      </c>
      <c r="G92" s="10" t="b">
        <v>0</v>
      </c>
      <c r="H92" s="10" t="b">
        <v>1</v>
      </c>
      <c r="I92" s="10" t="b">
        <v>1</v>
      </c>
      <c r="J92" s="10" t="b">
        <v>1</v>
      </c>
      <c r="K92" s="10" t="b">
        <v>0</v>
      </c>
      <c r="L92" s="10" t="b">
        <v>0</v>
      </c>
      <c r="M92" s="10" t="b">
        <v>1</v>
      </c>
      <c r="N92" s="10" t="b">
        <v>1</v>
      </c>
      <c r="O92" s="10" t="b">
        <v>1</v>
      </c>
      <c r="P92" s="10" t="b">
        <v>1</v>
      </c>
      <c r="Q92" s="10" t="b">
        <v>0</v>
      </c>
      <c r="R92" s="14" t="b">
        <v>0</v>
      </c>
    </row>
    <row r="93" spans="1:18">
      <c r="A93" s="26" t="s">
        <v>125</v>
      </c>
      <c r="B93" s="25">
        <f>B92+1</f>
        <v>13</v>
      </c>
      <c r="C93" s="23" t="s">
        <v>133</v>
      </c>
      <c r="D93" s="7" t="s">
        <v>144</v>
      </c>
      <c r="E93" s="7" t="s">
        <v>124</v>
      </c>
      <c r="F93" s="7" t="s">
        <v>132</v>
      </c>
      <c r="G93" s="10" t="b">
        <v>0</v>
      </c>
      <c r="H93" s="10" t="b">
        <v>1</v>
      </c>
      <c r="I93" s="10" t="b">
        <v>1</v>
      </c>
      <c r="J93" s="10" t="b">
        <v>1</v>
      </c>
      <c r="K93" s="10" t="b">
        <v>0</v>
      </c>
      <c r="L93" s="10" t="b">
        <v>0</v>
      </c>
      <c r="M93" s="10" t="b">
        <v>1</v>
      </c>
      <c r="N93" s="10" t="b">
        <v>1</v>
      </c>
      <c r="O93" s="10" t="b">
        <v>1</v>
      </c>
      <c r="P93" s="10" t="b">
        <v>1</v>
      </c>
      <c r="Q93" s="10" t="b">
        <v>0</v>
      </c>
      <c r="R93" s="14" t="b">
        <v>0</v>
      </c>
    </row>
    <row r="94" spans="1:18">
      <c r="A94" s="26" t="s">
        <v>145</v>
      </c>
      <c r="B94" s="25">
        <f>B93+1</f>
        <v>14</v>
      </c>
      <c r="C94" s="24" t="s">
        <v>146</v>
      </c>
      <c r="D94" s="12" t="s">
        <v>147</v>
      </c>
      <c r="E94" s="12" t="s">
        <v>124</v>
      </c>
      <c r="F94" s="12" t="s">
        <v>124</v>
      </c>
      <c r="G94" s="13" t="b">
        <v>0</v>
      </c>
      <c r="H94" s="13" t="b">
        <v>1</v>
      </c>
      <c r="I94" s="13" t="b">
        <v>1</v>
      </c>
      <c r="J94" s="13" t="b">
        <v>1</v>
      </c>
      <c r="K94" s="13" t="b">
        <v>1</v>
      </c>
      <c r="L94" s="13" t="b">
        <v>0</v>
      </c>
      <c r="M94" s="13" t="b">
        <v>1</v>
      </c>
      <c r="N94" s="13" t="b">
        <v>1</v>
      </c>
      <c r="O94" s="13" t="b">
        <v>1</v>
      </c>
      <c r="P94" s="13" t="b">
        <v>1</v>
      </c>
      <c r="Q94" s="13" t="b">
        <v>0</v>
      </c>
      <c r="R94" s="19" t="b">
        <v>0</v>
      </c>
    </row>
    <row r="95" spans="1:18">
      <c r="A95" s="26" t="s">
        <v>114</v>
      </c>
      <c r="B95" s="25">
        <f>B94+1</f>
        <v>15</v>
      </c>
      <c r="C95" s="23"/>
      <c r="D95" s="7"/>
      <c r="E95" s="7"/>
      <c r="F95" s="7"/>
      <c r="G95" s="10" t="b">
        <v>0</v>
      </c>
      <c r="H95" s="10" t="b">
        <v>0</v>
      </c>
      <c r="I95" s="10" t="b">
        <v>0</v>
      </c>
      <c r="J95" s="10" t="b">
        <v>0</v>
      </c>
      <c r="K95" s="10" t="b">
        <v>0</v>
      </c>
      <c r="L95" s="10" t="b">
        <v>0</v>
      </c>
      <c r="M95" s="10" t="b">
        <v>0</v>
      </c>
      <c r="N95" s="10" t="b">
        <v>0</v>
      </c>
      <c r="O95" s="10" t="b">
        <v>0</v>
      </c>
      <c r="P95" s="10" t="b">
        <v>0</v>
      </c>
      <c r="Q95" s="10" t="b">
        <v>0</v>
      </c>
      <c r="R95" s="14" t="b">
        <v>0</v>
      </c>
    </row>
    <row r="96" spans="1:18">
      <c r="A96" s="26" t="s">
        <v>114</v>
      </c>
      <c r="B96" s="25">
        <f>B95+1</f>
        <v>16</v>
      </c>
      <c r="C96" s="23"/>
      <c r="D96" s="7"/>
      <c r="E96" s="7"/>
      <c r="F96" s="7"/>
      <c r="G96" s="10" t="b">
        <v>0</v>
      </c>
      <c r="H96" s="10" t="b">
        <v>0</v>
      </c>
      <c r="I96" s="10" t="b">
        <v>0</v>
      </c>
      <c r="J96" s="10" t="b">
        <v>0</v>
      </c>
      <c r="K96" s="10" t="b">
        <v>0</v>
      </c>
      <c r="L96" s="10" t="b">
        <v>0</v>
      </c>
      <c r="M96" s="10" t="b">
        <v>0</v>
      </c>
      <c r="N96" s="10" t="b">
        <v>0</v>
      </c>
      <c r="O96" s="10" t="b">
        <v>0</v>
      </c>
      <c r="P96" s="10" t="b">
        <v>0</v>
      </c>
      <c r="Q96" s="10" t="b">
        <v>0</v>
      </c>
      <c r="R96" s="14" t="b">
        <v>0</v>
      </c>
    </row>
    <row r="97" spans="1:18">
      <c r="A97" s="26" t="s">
        <v>114</v>
      </c>
      <c r="B97" s="25">
        <f>B96+1</f>
        <v>17</v>
      </c>
      <c r="C97" s="24"/>
      <c r="D97" s="12"/>
      <c r="E97" s="12"/>
      <c r="F97" s="12"/>
      <c r="G97" s="13" t="b">
        <v>0</v>
      </c>
      <c r="H97" s="13" t="b">
        <v>0</v>
      </c>
      <c r="I97" s="13" t="b">
        <v>0</v>
      </c>
      <c r="J97" s="13" t="b">
        <v>0</v>
      </c>
      <c r="K97" s="13" t="b">
        <v>0</v>
      </c>
      <c r="L97" s="13" t="b">
        <v>0</v>
      </c>
      <c r="M97" s="13" t="b">
        <v>0</v>
      </c>
      <c r="N97" s="13" t="b">
        <v>0</v>
      </c>
      <c r="O97" s="13" t="b">
        <v>0</v>
      </c>
      <c r="P97" s="13" t="b">
        <v>0</v>
      </c>
      <c r="Q97" s="13" t="b">
        <v>0</v>
      </c>
      <c r="R97" s="19" t="b">
        <v>0</v>
      </c>
    </row>
    <row r="98" spans="1:18">
      <c r="A98" s="26" t="s">
        <v>114</v>
      </c>
      <c r="B98" s="25">
        <f>B97+1</f>
        <v>18</v>
      </c>
      <c r="C98" s="23"/>
      <c r="D98" s="7"/>
      <c r="E98" s="7"/>
      <c r="F98" s="7"/>
      <c r="G98" s="10" t="b">
        <v>0</v>
      </c>
      <c r="H98" s="10" t="b">
        <v>0</v>
      </c>
      <c r="I98" s="10" t="b">
        <v>0</v>
      </c>
      <c r="J98" s="10" t="b">
        <v>0</v>
      </c>
      <c r="K98" s="10" t="b">
        <v>0</v>
      </c>
      <c r="L98" s="10" t="b">
        <v>0</v>
      </c>
      <c r="M98" s="10" t="b">
        <v>0</v>
      </c>
      <c r="N98" s="10" t="b">
        <v>0</v>
      </c>
      <c r="O98" s="10" t="b">
        <v>0</v>
      </c>
      <c r="P98" s="10" t="b">
        <v>0</v>
      </c>
      <c r="Q98" s="10" t="b">
        <v>0</v>
      </c>
      <c r="R98" s="14" t="b">
        <v>0</v>
      </c>
    </row>
    <row r="99" spans="1:18">
      <c r="A99" s="23"/>
      <c r="B99" s="25">
        <f>B98+1</f>
        <v>19</v>
      </c>
      <c r="C99" s="23"/>
      <c r="D99" s="7"/>
      <c r="E99" s="7"/>
      <c r="F99" s="7"/>
      <c r="G99" s="10" t="b">
        <v>0</v>
      </c>
      <c r="H99" s="10" t="b">
        <v>0</v>
      </c>
      <c r="I99" s="10" t="b">
        <v>0</v>
      </c>
      <c r="J99" s="10" t="b">
        <v>0</v>
      </c>
      <c r="K99" s="10" t="b">
        <v>0</v>
      </c>
      <c r="L99" s="10" t="b">
        <v>0</v>
      </c>
      <c r="M99" s="10" t="b">
        <v>0</v>
      </c>
      <c r="N99" s="10" t="b">
        <v>0</v>
      </c>
      <c r="O99" s="10" t="b">
        <v>0</v>
      </c>
      <c r="P99" s="10" t="b">
        <v>0</v>
      </c>
      <c r="Q99" s="10" t="b">
        <v>0</v>
      </c>
      <c r="R99" s="14" t="b">
        <v>0</v>
      </c>
    </row>
    <row r="100" spans="1:18">
      <c r="A100" s="23"/>
      <c r="B100" s="25">
        <f>B99+1</f>
        <v>20</v>
      </c>
      <c r="C100" s="24"/>
      <c r="D100" s="12"/>
      <c r="E100" s="12"/>
      <c r="F100" s="12"/>
      <c r="G100" s="13" t="b">
        <v>0</v>
      </c>
      <c r="H100" s="13" t="b">
        <v>0</v>
      </c>
      <c r="I100" s="13" t="b">
        <v>0</v>
      </c>
      <c r="J100" s="13" t="b">
        <v>0</v>
      </c>
      <c r="K100" s="13" t="b">
        <v>0</v>
      </c>
      <c r="L100" s="13" t="b">
        <v>0</v>
      </c>
      <c r="M100" s="13" t="b">
        <v>0</v>
      </c>
      <c r="N100" s="13" t="b">
        <v>0</v>
      </c>
      <c r="O100" s="13" t="b">
        <v>0</v>
      </c>
      <c r="P100" s="13" t="b">
        <v>0</v>
      </c>
      <c r="Q100" s="13" t="b">
        <v>0</v>
      </c>
      <c r="R100" s="19" t="b">
        <v>0</v>
      </c>
    </row>
    <row r="101" spans="1:18">
      <c r="A101" s="23"/>
      <c r="B101" s="25">
        <f>B100+1</f>
        <v>21</v>
      </c>
      <c r="C101" s="23"/>
      <c r="D101" s="7"/>
      <c r="E101" s="7"/>
      <c r="F101" s="7"/>
      <c r="G101" s="10" t="b">
        <v>0</v>
      </c>
      <c r="H101" s="10" t="b">
        <v>0</v>
      </c>
      <c r="I101" s="10" t="b">
        <v>0</v>
      </c>
      <c r="J101" s="10" t="b">
        <v>0</v>
      </c>
      <c r="K101" s="10" t="b">
        <v>0</v>
      </c>
      <c r="L101" s="10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0" t="b">
        <v>0</v>
      </c>
      <c r="R101" s="14" t="b">
        <v>0</v>
      </c>
    </row>
    <row r="102" spans="1:18">
      <c r="A102" s="23"/>
      <c r="B102" s="25">
        <f>B101+1</f>
        <v>22</v>
      </c>
      <c r="C102" s="23"/>
      <c r="D102" s="7"/>
      <c r="E102" s="7"/>
      <c r="F102" s="7"/>
      <c r="G102" s="10" t="b">
        <v>0</v>
      </c>
      <c r="H102" s="10" t="b">
        <v>0</v>
      </c>
      <c r="I102" s="10" t="b">
        <v>0</v>
      </c>
      <c r="J102" s="10" t="b">
        <v>0</v>
      </c>
      <c r="K102" s="10" t="b">
        <v>0</v>
      </c>
      <c r="L102" s="10" t="b">
        <v>0</v>
      </c>
      <c r="M102" s="10" t="b">
        <v>0</v>
      </c>
      <c r="N102" s="10" t="b">
        <v>0</v>
      </c>
      <c r="O102" s="10" t="b">
        <v>0</v>
      </c>
      <c r="P102" s="10" t="b">
        <v>0</v>
      </c>
      <c r="Q102" s="10" t="b">
        <v>0</v>
      </c>
      <c r="R102" s="14" t="b">
        <v>0</v>
      </c>
    </row>
    <row r="103" spans="1:18">
      <c r="A103" s="24"/>
      <c r="B103" s="25">
        <f>B102+1</f>
        <v>23</v>
      </c>
      <c r="C103" s="24"/>
      <c r="D103" s="12"/>
      <c r="E103" s="12"/>
      <c r="F103" s="12"/>
      <c r="G103" s="13" t="b">
        <v>0</v>
      </c>
      <c r="H103" s="13" t="b">
        <v>0</v>
      </c>
      <c r="I103" s="13" t="b">
        <v>0</v>
      </c>
      <c r="J103" s="13" t="b">
        <v>0</v>
      </c>
      <c r="K103" s="13" t="b">
        <v>0</v>
      </c>
      <c r="L103" s="13" t="b">
        <v>0</v>
      </c>
      <c r="M103" s="13" t="b">
        <v>0</v>
      </c>
      <c r="N103" s="13" t="b">
        <v>0</v>
      </c>
      <c r="O103" s="13" t="b">
        <v>0</v>
      </c>
      <c r="P103" s="13" t="b">
        <v>0</v>
      </c>
      <c r="Q103" s="13" t="b">
        <v>0</v>
      </c>
      <c r="R103" s="19" t="b">
        <v>0</v>
      </c>
    </row>
  </sheetData>
  <mergeCells count="10">
    <mergeCell ref="A1:E1"/>
    <mergeCell ref="A13:E13"/>
    <mergeCell ref="A15:E15"/>
    <mergeCell ref="A24:E24"/>
    <mergeCell ref="A33:E33"/>
    <mergeCell ref="A42:E42"/>
    <mergeCell ref="A51:E51"/>
    <mergeCell ref="A60:E60"/>
    <mergeCell ref="A69:E69"/>
    <mergeCell ref="A79:R79"/>
  </mergeCells>
  <phoneticPr fontId="4" type="noConversion"/>
  <conditionalFormatting sqref="A81:A98">
    <cfRule type="cellIs" dxfId="43" priority="1" operator="equal">
      <formula>"Compliant"</formula>
    </cfRule>
    <cfRule type="cellIs" dxfId="42" priority="2" operator="equal">
      <formula>"Partial Compliance"</formula>
    </cfRule>
    <cfRule type="cellIs" dxfId="41" priority="3" operator="equal">
      <formula>"Not Compliant "</formula>
    </cfRule>
  </conditionalFormatting>
  <conditionalFormatting sqref="G81:R103">
    <cfRule type="cellIs" dxfId="40" priority="4" operator="equal">
      <formula>FALSE</formula>
    </cfRule>
    <cfRule type="cellIs" dxfId="39" priority="5" operator="equal">
      <formula>TRUE</formula>
    </cfRule>
  </conditionalFormatting>
  <dataValidations count="1">
    <dataValidation type="list" allowBlank="1" sqref="A81:A98" xr:uid="{F8D24860-0EC2-4856-9B54-A03DBA9E149B}">
      <formula1>"Scheduled, Commanded, Reaction,N/A,"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92BF-C6D8-43D6-960A-441D12A1D803}">
  <dimension ref="A1:R26"/>
  <sheetViews>
    <sheetView zoomScale="83" workbookViewId="0">
      <selection activeCell="E18" sqref="E18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s="22" customFormat="1">
      <c r="A2" s="21" t="str" cm="1">
        <f t="array" ref="A2:R3">_xlfn._xlws.FILTER(Table6[], Table6[Hyper Spectral Camera])</f>
        <v>Scheduled</v>
      </c>
      <c r="B2" s="11">
        <v>7</v>
      </c>
      <c r="C2" s="4" t="str">
        <v>Imaging</v>
      </c>
      <c r="D2" s="7">
        <v>0</v>
      </c>
      <c r="E2" s="7" t="str">
        <v>Pointing</v>
      </c>
      <c r="F2" s="7" t="str">
        <v>Data Processing</v>
      </c>
      <c r="G2" s="10" t="b">
        <v>1</v>
      </c>
      <c r="H2" s="10" t="b">
        <v>0</v>
      </c>
      <c r="I2" s="10" t="b">
        <v>0</v>
      </c>
      <c r="J2" s="10" t="b">
        <v>1</v>
      </c>
      <c r="K2" s="10" t="b">
        <v>0</v>
      </c>
      <c r="L2" s="10" t="b">
        <v>0</v>
      </c>
      <c r="M2" s="10" t="b">
        <v>0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 s="22" customFormat="1" ht="28.5">
      <c r="A3" s="21" t="str">
        <v>Scheduled</v>
      </c>
      <c r="B3" s="11">
        <v>9</v>
      </c>
      <c r="C3" s="4" t="str">
        <v>Calibration - Camera</v>
      </c>
      <c r="D3" s="7" t="str">
        <v>Calibrating the validity of the camera system to ensure accurate measurements</v>
      </c>
      <c r="E3" s="7" t="str">
        <v>Idle</v>
      </c>
      <c r="F3" s="7">
        <v>0</v>
      </c>
      <c r="G3" s="10" t="b">
        <v>1</v>
      </c>
      <c r="H3" s="10" t="b">
        <v>1</v>
      </c>
      <c r="I3" s="10" t="b">
        <v>1</v>
      </c>
      <c r="J3" s="10" t="b">
        <v>1</v>
      </c>
      <c r="K3" s="10" t="b">
        <v>0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0</v>
      </c>
      <c r="R3" s="14" t="b">
        <v>0</v>
      </c>
    </row>
    <row r="4" spans="1:18" s="22" customFormat="1"/>
    <row r="5" spans="1:18" s="22" customFormat="1"/>
    <row r="6" spans="1:18" s="22" customFormat="1"/>
    <row r="7" spans="1:18" s="22" customFormat="1"/>
    <row r="8" spans="1:18" s="22" customFormat="1"/>
    <row r="9" spans="1:18" s="22" customFormat="1"/>
    <row r="10" spans="1:18" s="22" customFormat="1"/>
    <row r="11" spans="1:18" s="22" customFormat="1"/>
    <row r="12" spans="1:18" s="22" customFormat="1"/>
    <row r="13" spans="1:18" s="22" customFormat="1"/>
    <row r="14" spans="1:18" s="22" customFormat="1"/>
    <row r="15" spans="1:18" s="22" customFormat="1"/>
    <row r="16" spans="1:18" s="22" customFormat="1"/>
    <row r="17" s="22" customFormat="1"/>
    <row r="18" s="22" customFormat="1"/>
    <row r="19" s="22" customFormat="1"/>
    <row r="20" s="22" customFormat="1"/>
    <row r="21" s="22" customFormat="1"/>
    <row r="22" s="22" customFormat="1"/>
    <row r="23" s="22" customFormat="1"/>
    <row r="24" s="22" customFormat="1"/>
    <row r="25" s="22" customFormat="1"/>
    <row r="26" s="22" customFormat="1"/>
  </sheetData>
  <conditionalFormatting sqref="G2:R3">
    <cfRule type="cellIs" dxfId="15" priority="1" operator="equal">
      <formula>FALSE</formula>
    </cfRule>
    <cfRule type="cellIs" dxfId="14" priority="2" operator="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227A-EF9D-48F6-9DB0-3ABFB25BF6C0}">
  <dimension ref="A1:R3"/>
  <sheetViews>
    <sheetView zoomScale="77" workbookViewId="0">
      <selection activeCell="A2" sqref="A2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>
      <c r="A2" s="21" t="str" cm="1">
        <f t="array" ref="A2:R3">_xlfn._xlws.FILTER(Table6[], Table6[Hyper Spectral Camera])</f>
        <v>Scheduled</v>
      </c>
      <c r="B2" s="11">
        <v>7</v>
      </c>
      <c r="C2" s="4" t="str">
        <v>Imaging</v>
      </c>
      <c r="D2" s="7">
        <v>0</v>
      </c>
      <c r="E2" s="7" t="str">
        <v>Pointing</v>
      </c>
      <c r="F2" s="7" t="str">
        <v>Data Processing</v>
      </c>
      <c r="G2" s="10" t="b">
        <v>1</v>
      </c>
      <c r="H2" s="10" t="b">
        <v>0</v>
      </c>
      <c r="I2" s="10" t="b">
        <v>0</v>
      </c>
      <c r="J2" s="10" t="b">
        <v>1</v>
      </c>
      <c r="K2" s="10" t="b">
        <v>0</v>
      </c>
      <c r="L2" s="10" t="b">
        <v>0</v>
      </c>
      <c r="M2" s="10" t="b">
        <v>0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 ht="28.5">
      <c r="A3" s="21" t="str">
        <v>Scheduled</v>
      </c>
      <c r="B3" s="11">
        <v>9</v>
      </c>
      <c r="C3" s="4" t="str">
        <v>Calibration - Camera</v>
      </c>
      <c r="D3" s="7" t="str">
        <v>Calibrating the validity of the camera system to ensure accurate measurements</v>
      </c>
      <c r="E3" s="7" t="str">
        <v>Idle</v>
      </c>
      <c r="F3" s="7">
        <v>0</v>
      </c>
      <c r="G3" s="10" t="b">
        <v>1</v>
      </c>
      <c r="H3" s="10" t="b">
        <v>1</v>
      </c>
      <c r="I3" s="10" t="b">
        <v>1</v>
      </c>
      <c r="J3" s="10" t="b">
        <v>1</v>
      </c>
      <c r="K3" s="10" t="b">
        <v>0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0</v>
      </c>
      <c r="R3" s="14" t="b">
        <v>0</v>
      </c>
    </row>
  </sheetData>
  <conditionalFormatting sqref="G2:R3">
    <cfRule type="cellIs" dxfId="13" priority="1" operator="equal">
      <formula>FALSE</formula>
    </cfRule>
    <cfRule type="cellIs" dxfId="12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92A3-8634-48D0-ABD7-AB46C4F1CF4C}">
  <dimension ref="A1:R40"/>
  <sheetViews>
    <sheetView zoomScale="77" workbookViewId="0">
      <selection activeCell="F16" sqref="F16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7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ht="28.5">
      <c r="A2" s="21" t="str" cm="1">
        <f t="array" ref="A2:R11">_xlfn._xlws.FILTER(Table6[], Table6[TEG])</f>
        <v>N/A</v>
      </c>
      <c r="B2" s="11">
        <v>1</v>
      </c>
      <c r="C2" s="4" t="str">
        <v>Detumble</v>
      </c>
      <c r="D2" s="7" t="str">
        <v>Bring PHAT-Sat to a stable state with camera payload facing Earth</v>
      </c>
      <c r="E2" s="7" t="str">
        <v>Deployment Monitoring, Survival, Initial Startup</v>
      </c>
      <c r="F2" s="7" t="str">
        <v>Deployment Monitoring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0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>
      <c r="A3" s="21" t="str">
        <v>N/A</v>
      </c>
      <c r="B3" s="11">
        <v>2</v>
      </c>
      <c r="C3" s="4" t="str">
        <v>Initial Startup</v>
      </c>
      <c r="D3" s="7" t="str">
        <v>Bring critical systems online</v>
      </c>
      <c r="E3" s="7" t="str">
        <v>Initial Startup</v>
      </c>
      <c r="F3" s="7" t="str">
        <v>Detumble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1</v>
      </c>
      <c r="R3" s="14" t="b">
        <v>1</v>
      </c>
    </row>
    <row r="4" spans="1:18">
      <c r="A4" s="21" t="str">
        <v>N/A</v>
      </c>
      <c r="B4" s="11">
        <v>4</v>
      </c>
      <c r="C4" s="4" t="str">
        <v>Deployment Monitoring</v>
      </c>
      <c r="D4" s="7" t="str">
        <v>Finding PHAT-Sat?</v>
      </c>
      <c r="E4" s="7" t="str">
        <v>Detumble</v>
      </c>
      <c r="F4" s="7" t="str">
        <v>Idle</v>
      </c>
      <c r="G4" s="10" t="b">
        <v>0</v>
      </c>
      <c r="H4" s="10" t="b">
        <v>0</v>
      </c>
      <c r="I4" s="10" t="b">
        <v>1</v>
      </c>
      <c r="J4" s="10" t="b">
        <v>1</v>
      </c>
      <c r="K4" s="10" t="b">
        <v>1</v>
      </c>
      <c r="L4" s="10" t="b">
        <v>0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0</v>
      </c>
      <c r="R4" s="14" t="b">
        <v>0</v>
      </c>
    </row>
    <row r="5" spans="1:18" ht="42.75">
      <c r="A5" s="21" t="str">
        <v>Scheduled</v>
      </c>
      <c r="B5" s="11">
        <v>5</v>
      </c>
      <c r="C5" s="4" t="str">
        <v>Idle</v>
      </c>
      <c r="D5" s="7" t="str">
        <v>Charging state, transmitting satellite heartbeat (UHF), thermal keeping components within desired temperature range, rest of system off</v>
      </c>
      <c r="E5" s="7" t="str">
        <v>Any</v>
      </c>
      <c r="F5" s="7" t="str">
        <v>Most</v>
      </c>
      <c r="G5" s="10" t="b">
        <v>0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 ht="28.5">
      <c r="A6" s="21" t="str">
        <v>Reaction</v>
      </c>
      <c r="B6" s="11">
        <v>6</v>
      </c>
      <c r="C6" s="4" t="str">
        <v>Survival</v>
      </c>
      <c r="D6" s="7" t="str">
        <v>Emergency state if something disasterous happens. Thermal, solar panels, TEGs ON. Transmitting beacon</v>
      </c>
      <c r="E6" s="7" t="str">
        <v>Any</v>
      </c>
      <c r="F6" s="7" t="str">
        <v>Idle</v>
      </c>
      <c r="G6" s="10" t="b">
        <v>0</v>
      </c>
      <c r="H6" s="10" t="b">
        <v>0</v>
      </c>
      <c r="I6" s="10" t="b">
        <v>1</v>
      </c>
      <c r="J6" s="10" t="b">
        <v>1</v>
      </c>
      <c r="K6" s="10" t="b">
        <v>1</v>
      </c>
      <c r="L6" s="10" t="b">
        <v>0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 ht="28.5">
      <c r="A7" s="21" t="str">
        <v>Scheduled</v>
      </c>
      <c r="B7" s="11">
        <v>9</v>
      </c>
      <c r="C7" s="4" t="str">
        <v>Calibration - Camera</v>
      </c>
      <c r="D7" s="7" t="str">
        <v>Calibrating the validity of the camera system to ensure accurate measurements</v>
      </c>
      <c r="E7" s="7" t="str">
        <v>Idle</v>
      </c>
      <c r="F7" s="7">
        <v>0</v>
      </c>
      <c r="G7" s="10" t="b">
        <v>1</v>
      </c>
      <c r="H7" s="10" t="b">
        <v>1</v>
      </c>
      <c r="I7" s="10" t="b">
        <v>1</v>
      </c>
      <c r="J7" s="10" t="b">
        <v>1</v>
      </c>
      <c r="K7" s="10" t="b">
        <v>0</v>
      </c>
      <c r="L7" s="10" t="b">
        <v>0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Scheduled</v>
      </c>
      <c r="B8" s="11">
        <v>10</v>
      </c>
      <c r="C8" s="4" t="str">
        <v>Calibration - ADCS</v>
      </c>
      <c r="D8" s="7" t="str">
        <v>Verify orientation and position</v>
      </c>
      <c r="E8" s="7" t="str">
        <v>Initial Startup, Idle</v>
      </c>
      <c r="F8" s="7" t="str">
        <v>Idle</v>
      </c>
      <c r="G8" s="10" t="b">
        <v>0</v>
      </c>
      <c r="H8" s="10" t="b">
        <v>1</v>
      </c>
      <c r="I8" s="10" t="b">
        <v>1</v>
      </c>
      <c r="J8" s="10" t="b">
        <v>1</v>
      </c>
      <c r="K8" s="10" t="b">
        <v>0</v>
      </c>
      <c r="L8" s="10" t="b">
        <v>0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  <row r="9" spans="1:18" ht="28.5">
      <c r="A9" s="21" t="str">
        <v>Scheduled</v>
      </c>
      <c r="B9" s="11">
        <v>12</v>
      </c>
      <c r="C9" s="4" t="str">
        <v>Desaturation - ADCS</v>
      </c>
      <c r="D9" s="7" t="str">
        <v>Use magnetorquer to reset/slow down reaction wheels</v>
      </c>
      <c r="E9" s="7" t="str">
        <v>Idle</v>
      </c>
      <c r="F9" s="7" t="str">
        <v>Idle</v>
      </c>
      <c r="G9" s="10" t="b">
        <v>0</v>
      </c>
      <c r="H9" s="10" t="b">
        <v>1</v>
      </c>
      <c r="I9" s="10" t="b">
        <v>1</v>
      </c>
      <c r="J9" s="10" t="b">
        <v>1</v>
      </c>
      <c r="K9" s="10" t="b">
        <v>0</v>
      </c>
      <c r="L9" s="10" t="b">
        <v>0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0</v>
      </c>
      <c r="R9" s="14" t="b">
        <v>0</v>
      </c>
    </row>
    <row r="10" spans="1:18">
      <c r="A10" s="21" t="str">
        <v>Scheduled</v>
      </c>
      <c r="B10" s="11">
        <v>13</v>
      </c>
      <c r="C10" s="4" t="str">
        <v>Pointing</v>
      </c>
      <c r="D10" s="7" t="str">
        <v>Point camera or solar panels to desired field of view</v>
      </c>
      <c r="E10" s="7" t="str">
        <v>Idle</v>
      </c>
      <c r="F10" s="7" t="str">
        <v>Imaging</v>
      </c>
      <c r="G10" s="10" t="b">
        <v>0</v>
      </c>
      <c r="H10" s="10" t="b">
        <v>1</v>
      </c>
      <c r="I10" s="10" t="b">
        <v>1</v>
      </c>
      <c r="J10" s="10" t="b">
        <v>1</v>
      </c>
      <c r="K10" s="10" t="b">
        <v>0</v>
      </c>
      <c r="L10" s="10" t="b">
        <v>0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0</v>
      </c>
      <c r="R10" s="14" t="b">
        <v>0</v>
      </c>
    </row>
    <row r="11" spans="1:18">
      <c r="A11" s="21" t="str">
        <v>Commanded</v>
      </c>
      <c r="B11" s="11">
        <v>14</v>
      </c>
      <c r="C11" s="4" t="str">
        <v>Receiving</v>
      </c>
      <c r="D11" s="7" t="str">
        <v>Receive commands from gr</v>
      </c>
      <c r="E11" s="7" t="str">
        <v>Idle</v>
      </c>
      <c r="F11" s="7" t="str">
        <v>Idle</v>
      </c>
      <c r="G11" s="10" t="b">
        <v>0</v>
      </c>
      <c r="H11" s="10" t="b">
        <v>1</v>
      </c>
      <c r="I11" s="10" t="b">
        <v>1</v>
      </c>
      <c r="J11" s="10" t="b">
        <v>1</v>
      </c>
      <c r="K11" s="10" t="b">
        <v>1</v>
      </c>
      <c r="L11" s="10" t="b">
        <v>0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0</v>
      </c>
      <c r="R11" s="14" t="b">
        <v>0</v>
      </c>
    </row>
    <row r="40" spans="7:18">
      <c r="G40" s="35" t="s">
        <v>149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</sheetData>
  <mergeCells count="1">
    <mergeCell ref="G40:R40"/>
  </mergeCells>
  <conditionalFormatting sqref="G2:R11">
    <cfRule type="cellIs" dxfId="11" priority="1" operator="equal">
      <formula>FALSE</formula>
    </cfRule>
    <cfRule type="cellIs" dxfId="10" priority="2" operator="equal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3E6B-FB69-439E-82BB-C8C392546873}">
  <dimension ref="A1:R14"/>
  <sheetViews>
    <sheetView topLeftCell="J1" workbookViewId="0">
      <selection activeCell="R1" sqref="A1:XFD1048576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ht="28.5">
      <c r="A2" s="21" t="str" cm="1">
        <f t="array" ref="A2:R14">_xlfn._xlws.FILTER(Table6[], Table6[ADCS])</f>
        <v>N/A</v>
      </c>
      <c r="B2" s="11">
        <v>1</v>
      </c>
      <c r="C2" s="4" t="str">
        <v>Detumble</v>
      </c>
      <c r="D2" s="7" t="str">
        <v>Bring PHAT-Sat to a stable state with camera payload facing Earth</v>
      </c>
      <c r="E2" s="7" t="str">
        <v>Deployment Monitoring, Survival, Initial Startup</v>
      </c>
      <c r="F2" s="7" t="str">
        <v>Deployment Monitoring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0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>
      <c r="A3" s="21" t="str">
        <v>N/A</v>
      </c>
      <c r="B3" s="11">
        <v>2</v>
      </c>
      <c r="C3" s="4" t="str">
        <v>Initial Startup</v>
      </c>
      <c r="D3" s="7" t="str">
        <v>Bring critical systems online</v>
      </c>
      <c r="E3" s="7" t="str">
        <v>Initial Startup</v>
      </c>
      <c r="F3" s="7" t="str">
        <v>Detumble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1</v>
      </c>
      <c r="R3" s="14" t="b">
        <v>1</v>
      </c>
    </row>
    <row r="4" spans="1:18">
      <c r="A4" s="21" t="str">
        <v>N/A</v>
      </c>
      <c r="B4" s="11">
        <v>4</v>
      </c>
      <c r="C4" s="4" t="str">
        <v>Deployment Monitoring</v>
      </c>
      <c r="D4" s="7" t="str">
        <v>Finding PHAT-Sat?</v>
      </c>
      <c r="E4" s="7" t="str">
        <v>Detumble</v>
      </c>
      <c r="F4" s="7" t="str">
        <v>Idle</v>
      </c>
      <c r="G4" s="10" t="b">
        <v>0</v>
      </c>
      <c r="H4" s="10" t="b">
        <v>0</v>
      </c>
      <c r="I4" s="10" t="b">
        <v>1</v>
      </c>
      <c r="J4" s="10" t="b">
        <v>1</v>
      </c>
      <c r="K4" s="10" t="b">
        <v>1</v>
      </c>
      <c r="L4" s="10" t="b">
        <v>0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0</v>
      </c>
      <c r="R4" s="14" t="b">
        <v>0</v>
      </c>
    </row>
    <row r="5" spans="1:18" ht="42.75">
      <c r="A5" s="21" t="str">
        <v>Scheduled</v>
      </c>
      <c r="B5" s="11">
        <v>5</v>
      </c>
      <c r="C5" s="4" t="str">
        <v>Idle</v>
      </c>
      <c r="D5" s="7" t="str">
        <v>Charging state, transmitting satellite heartbeat (UHF), thermal keeping components within desired temperature range, rest of system off</v>
      </c>
      <c r="E5" s="7" t="str">
        <v>Any</v>
      </c>
      <c r="F5" s="7" t="str">
        <v>Most</v>
      </c>
      <c r="G5" s="10" t="b">
        <v>0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 ht="28.5">
      <c r="A6" s="21" t="str">
        <v>Reaction</v>
      </c>
      <c r="B6" s="11">
        <v>6</v>
      </c>
      <c r="C6" s="4" t="str">
        <v>Survival</v>
      </c>
      <c r="D6" s="7" t="str">
        <v>Emergency state if something disasterous happens. Thermal, solar panels, TEGs ON. Transmitting beacon</v>
      </c>
      <c r="E6" s="7" t="str">
        <v>Any</v>
      </c>
      <c r="F6" s="7" t="str">
        <v>Idle</v>
      </c>
      <c r="G6" s="10" t="b">
        <v>0</v>
      </c>
      <c r="H6" s="10" t="b">
        <v>0</v>
      </c>
      <c r="I6" s="10" t="b">
        <v>1</v>
      </c>
      <c r="J6" s="10" t="b">
        <v>1</v>
      </c>
      <c r="K6" s="10" t="b">
        <v>1</v>
      </c>
      <c r="L6" s="10" t="b">
        <v>0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>
      <c r="A7" s="21" t="str">
        <v>Scheduled</v>
      </c>
      <c r="B7" s="11">
        <v>7</v>
      </c>
      <c r="C7" s="4" t="str">
        <v>Imaging</v>
      </c>
      <c r="D7" s="7">
        <v>0</v>
      </c>
      <c r="E7" s="7" t="str">
        <v>Pointing</v>
      </c>
      <c r="F7" s="7" t="str">
        <v>Data Processing</v>
      </c>
      <c r="G7" s="10" t="b">
        <v>1</v>
      </c>
      <c r="H7" s="10" t="b">
        <v>0</v>
      </c>
      <c r="I7" s="10" t="b">
        <v>0</v>
      </c>
      <c r="J7" s="10" t="b">
        <v>1</v>
      </c>
      <c r="K7" s="10" t="b">
        <v>0</v>
      </c>
      <c r="L7" s="10" t="b">
        <v>0</v>
      </c>
      <c r="M7" s="10" t="b">
        <v>0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Scheduled</v>
      </c>
      <c r="B8" s="11">
        <v>8</v>
      </c>
      <c r="C8" s="4" t="str">
        <v>Transmitting</v>
      </c>
      <c r="D8" s="7" t="str">
        <v>Downlinking imager data</v>
      </c>
      <c r="E8" s="7" t="str">
        <v>Idle</v>
      </c>
      <c r="F8" s="7" t="str">
        <v>Idle</v>
      </c>
      <c r="G8" s="10" t="b">
        <v>0</v>
      </c>
      <c r="H8" s="10" t="b">
        <v>0</v>
      </c>
      <c r="I8" s="10" t="b">
        <v>0</v>
      </c>
      <c r="J8" s="10" t="b">
        <v>1</v>
      </c>
      <c r="K8" s="10" t="b">
        <v>1</v>
      </c>
      <c r="L8" s="10" t="b">
        <v>0</v>
      </c>
      <c r="M8" s="10" t="b">
        <v>0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  <row r="9" spans="1:18" ht="28.5">
      <c r="A9" s="21" t="str">
        <v>Scheduled</v>
      </c>
      <c r="B9" s="11">
        <v>9</v>
      </c>
      <c r="C9" s="4" t="str">
        <v>Calibration - Camera</v>
      </c>
      <c r="D9" s="7" t="str">
        <v>Calibrating the validity of the camera system to ensure accurate measurements</v>
      </c>
      <c r="E9" s="7" t="str">
        <v>Idle</v>
      </c>
      <c r="F9" s="7">
        <v>0</v>
      </c>
      <c r="G9" s="10" t="b">
        <v>1</v>
      </c>
      <c r="H9" s="10" t="b">
        <v>1</v>
      </c>
      <c r="I9" s="10" t="b">
        <v>1</v>
      </c>
      <c r="J9" s="10" t="b">
        <v>1</v>
      </c>
      <c r="K9" s="10" t="b">
        <v>0</v>
      </c>
      <c r="L9" s="10" t="b">
        <v>0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0</v>
      </c>
      <c r="R9" s="14" t="b">
        <v>0</v>
      </c>
    </row>
    <row r="10" spans="1:18">
      <c r="A10" s="21" t="str">
        <v>Scheduled</v>
      </c>
      <c r="B10" s="11">
        <v>10</v>
      </c>
      <c r="C10" s="4" t="str">
        <v>Calibration - ADCS</v>
      </c>
      <c r="D10" s="7" t="str">
        <v>Verify orientation and position</v>
      </c>
      <c r="E10" s="7" t="str">
        <v>Initial Startup, Idle</v>
      </c>
      <c r="F10" s="7" t="str">
        <v>Idle</v>
      </c>
      <c r="G10" s="10" t="b">
        <v>0</v>
      </c>
      <c r="H10" s="10" t="b">
        <v>1</v>
      </c>
      <c r="I10" s="10" t="b">
        <v>1</v>
      </c>
      <c r="J10" s="10" t="b">
        <v>1</v>
      </c>
      <c r="K10" s="10" t="b">
        <v>0</v>
      </c>
      <c r="L10" s="10" t="b">
        <v>0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0</v>
      </c>
      <c r="R10" s="14" t="b">
        <v>0</v>
      </c>
    </row>
    <row r="11" spans="1:18">
      <c r="A11" s="21" t="str">
        <v>Scheduled</v>
      </c>
      <c r="B11" s="11">
        <v>11</v>
      </c>
      <c r="C11" s="4" t="str">
        <v>Data Processing</v>
      </c>
      <c r="D11" s="7">
        <v>0</v>
      </c>
      <c r="E11" s="7" t="str">
        <v>Imaging</v>
      </c>
      <c r="F11" s="7" t="str">
        <v>Idle</v>
      </c>
      <c r="G11" s="10" t="b">
        <v>0</v>
      </c>
      <c r="H11" s="10" t="b">
        <v>0</v>
      </c>
      <c r="I11" s="10" t="b">
        <v>0</v>
      </c>
      <c r="J11" s="10" t="b">
        <v>1</v>
      </c>
      <c r="K11" s="10" t="b">
        <v>0</v>
      </c>
      <c r="L11" s="10" t="b">
        <v>1</v>
      </c>
      <c r="M11" s="10" t="b">
        <v>0</v>
      </c>
      <c r="N11" s="10" t="b">
        <v>1</v>
      </c>
      <c r="O11" s="10" t="b">
        <v>1</v>
      </c>
      <c r="P11" s="10" t="b">
        <v>1</v>
      </c>
      <c r="Q11" s="10" t="b">
        <v>0</v>
      </c>
      <c r="R11" s="14" t="b">
        <v>0</v>
      </c>
    </row>
    <row r="12" spans="1:18" ht="28.5">
      <c r="A12" s="21" t="str">
        <v>Scheduled</v>
      </c>
      <c r="B12" s="11">
        <v>12</v>
      </c>
      <c r="C12" s="4" t="str">
        <v>Desaturation - ADCS</v>
      </c>
      <c r="D12" s="7" t="str">
        <v>Use magnetorquer to reset/slow down reaction wheels</v>
      </c>
      <c r="E12" s="7" t="str">
        <v>Idle</v>
      </c>
      <c r="F12" s="7" t="str">
        <v>Idle</v>
      </c>
      <c r="G12" s="10" t="b">
        <v>0</v>
      </c>
      <c r="H12" s="10" t="b">
        <v>1</v>
      </c>
      <c r="I12" s="10" t="b">
        <v>1</v>
      </c>
      <c r="J12" s="10" t="b">
        <v>1</v>
      </c>
      <c r="K12" s="10" t="b">
        <v>0</v>
      </c>
      <c r="L12" s="10" t="b">
        <v>0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0</v>
      </c>
      <c r="R12" s="14" t="b">
        <v>0</v>
      </c>
    </row>
    <row r="13" spans="1:18">
      <c r="A13" s="21" t="str">
        <v>Scheduled</v>
      </c>
      <c r="B13" s="11">
        <v>13</v>
      </c>
      <c r="C13" s="4" t="str">
        <v>Pointing</v>
      </c>
      <c r="D13" s="7" t="str">
        <v>Point camera or solar panels to desired field of view</v>
      </c>
      <c r="E13" s="7" t="str">
        <v>Idle</v>
      </c>
      <c r="F13" s="7" t="str">
        <v>Imaging</v>
      </c>
      <c r="G13" s="10" t="b">
        <v>0</v>
      </c>
      <c r="H13" s="10" t="b">
        <v>1</v>
      </c>
      <c r="I13" s="10" t="b">
        <v>1</v>
      </c>
      <c r="J13" s="10" t="b">
        <v>1</v>
      </c>
      <c r="K13" s="10" t="b">
        <v>0</v>
      </c>
      <c r="L13" s="10" t="b">
        <v>0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0</v>
      </c>
      <c r="R13" s="14" t="b">
        <v>0</v>
      </c>
    </row>
    <row r="14" spans="1:18">
      <c r="A14" s="21" t="str">
        <v>Commanded</v>
      </c>
      <c r="B14" s="11">
        <v>14</v>
      </c>
      <c r="C14" s="4" t="str">
        <v>Receiving</v>
      </c>
      <c r="D14" s="7" t="str">
        <v>Receive commands from gr</v>
      </c>
      <c r="E14" s="7" t="str">
        <v>Idle</v>
      </c>
      <c r="F14" s="7" t="str">
        <v>Idle</v>
      </c>
      <c r="G14" s="10" t="b">
        <v>0</v>
      </c>
      <c r="H14" s="10" t="b">
        <v>1</v>
      </c>
      <c r="I14" s="10" t="b">
        <v>1</v>
      </c>
      <c r="J14" s="10" t="b">
        <v>1</v>
      </c>
      <c r="K14" s="10" t="b">
        <v>1</v>
      </c>
      <c r="L14" s="10" t="b">
        <v>0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0</v>
      </c>
      <c r="R14" s="14" t="b">
        <v>0</v>
      </c>
    </row>
  </sheetData>
  <conditionalFormatting sqref="G2:R14">
    <cfRule type="cellIs" dxfId="9" priority="1" operator="equal">
      <formula>FALSE</formula>
    </cfRule>
    <cfRule type="cellIs" dxfId="8" priority="2" operator="equal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E686-2601-4BB6-8423-B09B142AA786}">
  <dimension ref="A1:R8"/>
  <sheetViews>
    <sheetView workbookViewId="0">
      <selection sqref="A1:R1048576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>
      <c r="A2" s="21" t="str" cm="1">
        <f t="array" ref="A2:R8">_xlfn._xlws.FILTER(Table6[], Table6[Communications] + Table6[Data Handling])</f>
        <v>N/A</v>
      </c>
      <c r="B2" s="11">
        <v>2</v>
      </c>
      <c r="C2" s="4" t="str">
        <v>Initial Startup</v>
      </c>
      <c r="D2" s="7" t="str">
        <v>Bring critical systems online</v>
      </c>
      <c r="E2" s="7" t="str">
        <v>Initial Startup</v>
      </c>
      <c r="F2" s="7" t="str">
        <v>Detumble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1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1</v>
      </c>
      <c r="R2" s="14" t="b">
        <v>1</v>
      </c>
    </row>
    <row r="3" spans="1:18">
      <c r="A3" s="21" t="str">
        <v>N/A</v>
      </c>
      <c r="B3" s="11">
        <v>4</v>
      </c>
      <c r="C3" s="4" t="str">
        <v>Deployment Monitoring</v>
      </c>
      <c r="D3" s="7" t="str">
        <v>Finding PHAT-Sat?</v>
      </c>
      <c r="E3" s="7" t="str">
        <v>Detumble</v>
      </c>
      <c r="F3" s="7" t="str">
        <v>Idle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0</v>
      </c>
      <c r="R3" s="14" t="b">
        <v>0</v>
      </c>
    </row>
    <row r="4" spans="1:18" ht="42.75">
      <c r="A4" s="21" t="str">
        <v>Scheduled</v>
      </c>
      <c r="B4" s="11">
        <v>5</v>
      </c>
      <c r="C4" s="4" t="str">
        <v>Idle</v>
      </c>
      <c r="D4" s="7" t="str">
        <v>Charging state, transmitting satellite heartbeat (UHF), thermal keeping components within desired temperature range, rest of system off</v>
      </c>
      <c r="E4" s="7" t="str">
        <v>Any</v>
      </c>
      <c r="F4" s="7" t="str">
        <v>Most</v>
      </c>
      <c r="G4" s="10" t="b">
        <v>0</v>
      </c>
      <c r="H4" s="10" t="b">
        <v>1</v>
      </c>
      <c r="I4" s="10" t="b">
        <v>1</v>
      </c>
      <c r="J4" s="10" t="b">
        <v>1</v>
      </c>
      <c r="K4" s="10" t="b">
        <v>1</v>
      </c>
      <c r="L4" s="10" t="b">
        <v>1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0</v>
      </c>
      <c r="R4" s="14" t="b">
        <v>0</v>
      </c>
    </row>
    <row r="5" spans="1:18" ht="28.5">
      <c r="A5" s="21" t="str">
        <v>Reaction</v>
      </c>
      <c r="B5" s="11">
        <v>6</v>
      </c>
      <c r="C5" s="4" t="str">
        <v>Survival</v>
      </c>
      <c r="D5" s="7" t="str">
        <v>Emergency state if something disasterous happens. Thermal, solar panels, TEGs ON. Transmitting beacon</v>
      </c>
      <c r="E5" s="7" t="str">
        <v>Any</v>
      </c>
      <c r="F5" s="7" t="str">
        <v>Idle</v>
      </c>
      <c r="G5" s="10" t="b">
        <v>0</v>
      </c>
      <c r="H5" s="10" t="b">
        <v>0</v>
      </c>
      <c r="I5" s="10" t="b">
        <v>1</v>
      </c>
      <c r="J5" s="10" t="b">
        <v>1</v>
      </c>
      <c r="K5" s="10" t="b">
        <v>1</v>
      </c>
      <c r="L5" s="10" t="b">
        <v>0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>
      <c r="A6" s="21" t="str">
        <v>Scheduled</v>
      </c>
      <c r="B6" s="11">
        <v>8</v>
      </c>
      <c r="C6" s="4" t="str">
        <v>Transmitting</v>
      </c>
      <c r="D6" s="7" t="str">
        <v>Downlinking imager data</v>
      </c>
      <c r="E6" s="7" t="str">
        <v>Idle</v>
      </c>
      <c r="F6" s="7" t="str">
        <v>Idle</v>
      </c>
      <c r="G6" s="10" t="b">
        <v>0</v>
      </c>
      <c r="H6" s="10" t="b">
        <v>0</v>
      </c>
      <c r="I6" s="10" t="b">
        <v>0</v>
      </c>
      <c r="J6" s="10" t="b">
        <v>1</v>
      </c>
      <c r="K6" s="10" t="b">
        <v>1</v>
      </c>
      <c r="L6" s="10" t="b">
        <v>0</v>
      </c>
      <c r="M6" s="10" t="b">
        <v>0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>
      <c r="A7" s="21" t="str">
        <v>Scheduled</v>
      </c>
      <c r="B7" s="11">
        <v>11</v>
      </c>
      <c r="C7" s="4" t="str">
        <v>Data Processing</v>
      </c>
      <c r="D7" s="7">
        <v>0</v>
      </c>
      <c r="E7" s="7" t="str">
        <v>Imaging</v>
      </c>
      <c r="F7" s="7" t="str">
        <v>Idle</v>
      </c>
      <c r="G7" s="10" t="b">
        <v>0</v>
      </c>
      <c r="H7" s="10" t="b">
        <v>0</v>
      </c>
      <c r="I7" s="10" t="b">
        <v>0</v>
      </c>
      <c r="J7" s="10" t="b">
        <v>1</v>
      </c>
      <c r="K7" s="10" t="b">
        <v>0</v>
      </c>
      <c r="L7" s="10" t="b">
        <v>1</v>
      </c>
      <c r="M7" s="10" t="b">
        <v>0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Commanded</v>
      </c>
      <c r="B8" s="11">
        <v>14</v>
      </c>
      <c r="C8" s="4" t="str">
        <v>Receiving</v>
      </c>
      <c r="D8" s="7" t="str">
        <v>Receive commands from gr</v>
      </c>
      <c r="E8" s="7" t="str">
        <v>Idle</v>
      </c>
      <c r="F8" s="7" t="str">
        <v>Idle</v>
      </c>
      <c r="G8" s="10" t="b">
        <v>0</v>
      </c>
      <c r="H8" s="10" t="b">
        <v>1</v>
      </c>
      <c r="I8" s="10" t="b">
        <v>1</v>
      </c>
      <c r="J8" s="10" t="b">
        <v>1</v>
      </c>
      <c r="K8" s="10" t="b">
        <v>1</v>
      </c>
      <c r="L8" s="10" t="b">
        <v>0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</sheetData>
  <conditionalFormatting sqref="G2:R8">
    <cfRule type="cellIs" dxfId="7" priority="1" operator="equal">
      <formula>FALSE</formula>
    </cfRule>
    <cfRule type="cellIs" dxfId="6" priority="2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E200-62C7-42A8-A358-54CDCCEBA964}">
  <dimension ref="A1:R12"/>
  <sheetViews>
    <sheetView topLeftCell="J1" workbookViewId="0">
      <selection activeCell="R1" sqref="A1:R1048576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ht="28.5">
      <c r="A2" s="21" t="str" cm="1">
        <f t="array" ref="A2:R12">_xlfn._xlws.FILTER(Table6[], Table6[Data Handling]+Table6[TEG]+Table6[Solar Panels])</f>
        <v>N/A</v>
      </c>
      <c r="B2" s="11">
        <v>1</v>
      </c>
      <c r="C2" s="4" t="str">
        <v>Detumble</v>
      </c>
      <c r="D2" s="7" t="str">
        <v>Bring PHAT-Sat to a stable state with camera payload facing Earth</v>
      </c>
      <c r="E2" s="7" t="str">
        <v>Deployment Monitoring, Survival, Initial Startup</v>
      </c>
      <c r="F2" s="7" t="str">
        <v>Deployment Monitoring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0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>
      <c r="A3" s="21" t="str">
        <v>N/A</v>
      </c>
      <c r="B3" s="11">
        <v>2</v>
      </c>
      <c r="C3" s="4" t="str">
        <v>Initial Startup</v>
      </c>
      <c r="D3" s="7" t="str">
        <v>Bring critical systems online</v>
      </c>
      <c r="E3" s="7" t="str">
        <v>Initial Startup</v>
      </c>
      <c r="F3" s="7" t="str">
        <v>Detumble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1</v>
      </c>
      <c r="R3" s="14" t="b">
        <v>1</v>
      </c>
    </row>
    <row r="4" spans="1:18">
      <c r="A4" s="21" t="str">
        <v>N/A</v>
      </c>
      <c r="B4" s="11">
        <v>4</v>
      </c>
      <c r="C4" s="4" t="str">
        <v>Deployment Monitoring</v>
      </c>
      <c r="D4" s="7" t="str">
        <v>Finding PHAT-Sat?</v>
      </c>
      <c r="E4" s="7" t="str">
        <v>Detumble</v>
      </c>
      <c r="F4" s="7" t="str">
        <v>Idle</v>
      </c>
      <c r="G4" s="10" t="b">
        <v>0</v>
      </c>
      <c r="H4" s="10" t="b">
        <v>0</v>
      </c>
      <c r="I4" s="10" t="b">
        <v>1</v>
      </c>
      <c r="J4" s="10" t="b">
        <v>1</v>
      </c>
      <c r="K4" s="10" t="b">
        <v>1</v>
      </c>
      <c r="L4" s="10" t="b">
        <v>0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0</v>
      </c>
      <c r="R4" s="14" t="b">
        <v>0</v>
      </c>
    </row>
    <row r="5" spans="1:18" ht="42.75">
      <c r="A5" s="21" t="str">
        <v>Scheduled</v>
      </c>
      <c r="B5" s="11">
        <v>5</v>
      </c>
      <c r="C5" s="4" t="str">
        <v>Idle</v>
      </c>
      <c r="D5" s="7" t="str">
        <v>Charging state, transmitting satellite heartbeat (UHF), thermal keeping components within desired temperature range, rest of system off</v>
      </c>
      <c r="E5" s="7" t="str">
        <v>Any</v>
      </c>
      <c r="F5" s="7" t="str">
        <v>Most</v>
      </c>
      <c r="G5" s="10" t="b">
        <v>0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 ht="28.5">
      <c r="A6" s="21" t="str">
        <v>Reaction</v>
      </c>
      <c r="B6" s="11">
        <v>6</v>
      </c>
      <c r="C6" s="4" t="str">
        <v>Survival</v>
      </c>
      <c r="D6" s="7" t="str">
        <v>Emergency state if something disasterous happens. Thermal, solar panels, TEGs ON. Transmitting beacon</v>
      </c>
      <c r="E6" s="7" t="str">
        <v>Any</v>
      </c>
      <c r="F6" s="7" t="str">
        <v>Idle</v>
      </c>
      <c r="G6" s="10" t="b">
        <v>0</v>
      </c>
      <c r="H6" s="10" t="b">
        <v>0</v>
      </c>
      <c r="I6" s="10" t="b">
        <v>1</v>
      </c>
      <c r="J6" s="10" t="b">
        <v>1</v>
      </c>
      <c r="K6" s="10" t="b">
        <v>1</v>
      </c>
      <c r="L6" s="10" t="b">
        <v>0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 ht="28.5">
      <c r="A7" s="21" t="str">
        <v>Scheduled</v>
      </c>
      <c r="B7" s="11">
        <v>9</v>
      </c>
      <c r="C7" s="4" t="str">
        <v>Calibration - Camera</v>
      </c>
      <c r="D7" s="7" t="str">
        <v>Calibrating the validity of the camera system to ensure accurate measurements</v>
      </c>
      <c r="E7" s="7" t="str">
        <v>Idle</v>
      </c>
      <c r="F7" s="7">
        <v>0</v>
      </c>
      <c r="G7" s="10" t="b">
        <v>1</v>
      </c>
      <c r="H7" s="10" t="b">
        <v>1</v>
      </c>
      <c r="I7" s="10" t="b">
        <v>1</v>
      </c>
      <c r="J7" s="10" t="b">
        <v>1</v>
      </c>
      <c r="K7" s="10" t="b">
        <v>0</v>
      </c>
      <c r="L7" s="10" t="b">
        <v>0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Scheduled</v>
      </c>
      <c r="B8" s="11">
        <v>10</v>
      </c>
      <c r="C8" s="4" t="str">
        <v>Calibration - ADCS</v>
      </c>
      <c r="D8" s="7" t="str">
        <v>Verify orientation and position</v>
      </c>
      <c r="E8" s="7" t="str">
        <v>Initial Startup, Idle</v>
      </c>
      <c r="F8" s="7" t="str">
        <v>Idle</v>
      </c>
      <c r="G8" s="10" t="b">
        <v>0</v>
      </c>
      <c r="H8" s="10" t="b">
        <v>1</v>
      </c>
      <c r="I8" s="10" t="b">
        <v>1</v>
      </c>
      <c r="J8" s="10" t="b">
        <v>1</v>
      </c>
      <c r="K8" s="10" t="b">
        <v>0</v>
      </c>
      <c r="L8" s="10" t="b">
        <v>0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  <row r="9" spans="1:18">
      <c r="A9" s="21" t="str">
        <v>Scheduled</v>
      </c>
      <c r="B9" s="11">
        <v>11</v>
      </c>
      <c r="C9" s="4" t="str">
        <v>Data Processing</v>
      </c>
      <c r="D9" s="7">
        <v>0</v>
      </c>
      <c r="E9" s="7" t="str">
        <v>Imaging</v>
      </c>
      <c r="F9" s="7" t="str">
        <v>Idle</v>
      </c>
      <c r="G9" s="10" t="b">
        <v>0</v>
      </c>
      <c r="H9" s="10" t="b">
        <v>0</v>
      </c>
      <c r="I9" s="10" t="b">
        <v>0</v>
      </c>
      <c r="J9" s="10" t="b">
        <v>1</v>
      </c>
      <c r="K9" s="10" t="b">
        <v>0</v>
      </c>
      <c r="L9" s="10" t="b">
        <v>1</v>
      </c>
      <c r="M9" s="10" t="b">
        <v>0</v>
      </c>
      <c r="N9" s="10" t="b">
        <v>1</v>
      </c>
      <c r="O9" s="10" t="b">
        <v>1</v>
      </c>
      <c r="P9" s="10" t="b">
        <v>1</v>
      </c>
      <c r="Q9" s="10" t="b">
        <v>0</v>
      </c>
      <c r="R9" s="14" t="b">
        <v>0</v>
      </c>
    </row>
    <row r="10" spans="1:18" ht="28.5">
      <c r="A10" s="21" t="str">
        <v>Scheduled</v>
      </c>
      <c r="B10" s="11">
        <v>12</v>
      </c>
      <c r="C10" s="4" t="str">
        <v>Desaturation - ADCS</v>
      </c>
      <c r="D10" s="7" t="str">
        <v>Use magnetorquer to reset/slow down reaction wheels</v>
      </c>
      <c r="E10" s="7" t="str">
        <v>Idle</v>
      </c>
      <c r="F10" s="7" t="str">
        <v>Idle</v>
      </c>
      <c r="G10" s="10" t="b">
        <v>0</v>
      </c>
      <c r="H10" s="10" t="b">
        <v>1</v>
      </c>
      <c r="I10" s="10" t="b">
        <v>1</v>
      </c>
      <c r="J10" s="10" t="b">
        <v>1</v>
      </c>
      <c r="K10" s="10" t="b">
        <v>0</v>
      </c>
      <c r="L10" s="10" t="b">
        <v>0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0</v>
      </c>
      <c r="R10" s="14" t="b">
        <v>0</v>
      </c>
    </row>
    <row r="11" spans="1:18">
      <c r="A11" s="21" t="str">
        <v>Scheduled</v>
      </c>
      <c r="B11" s="11">
        <v>13</v>
      </c>
      <c r="C11" s="4" t="str">
        <v>Pointing</v>
      </c>
      <c r="D11" s="7" t="str">
        <v>Point camera or solar panels to desired field of view</v>
      </c>
      <c r="E11" s="7" t="str">
        <v>Idle</v>
      </c>
      <c r="F11" s="7" t="str">
        <v>Imaging</v>
      </c>
      <c r="G11" s="10" t="b">
        <v>0</v>
      </c>
      <c r="H11" s="10" t="b">
        <v>1</v>
      </c>
      <c r="I11" s="10" t="b">
        <v>1</v>
      </c>
      <c r="J11" s="10" t="b">
        <v>1</v>
      </c>
      <c r="K11" s="10" t="b">
        <v>0</v>
      </c>
      <c r="L11" s="10" t="b">
        <v>0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0</v>
      </c>
      <c r="R11" s="14" t="b">
        <v>0</v>
      </c>
    </row>
    <row r="12" spans="1:18">
      <c r="A12" s="21" t="str">
        <v>Commanded</v>
      </c>
      <c r="B12" s="11">
        <v>14</v>
      </c>
      <c r="C12" s="4" t="str">
        <v>Receiving</v>
      </c>
      <c r="D12" s="7" t="str">
        <v>Receive commands from gr</v>
      </c>
      <c r="E12" s="7" t="str">
        <v>Idle</v>
      </c>
      <c r="F12" s="7" t="str">
        <v>Idle</v>
      </c>
      <c r="G12" s="10" t="b">
        <v>0</v>
      </c>
      <c r="H12" s="10" t="b">
        <v>1</v>
      </c>
      <c r="I12" s="10" t="b">
        <v>1</v>
      </c>
      <c r="J12" s="10" t="b">
        <v>1</v>
      </c>
      <c r="K12" s="10" t="b">
        <v>1</v>
      </c>
      <c r="L12" s="10" t="b">
        <v>0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0</v>
      </c>
      <c r="R12" s="14" t="b">
        <v>0</v>
      </c>
    </row>
  </sheetData>
  <conditionalFormatting sqref="G2:R12">
    <cfRule type="cellIs" dxfId="5" priority="1" operator="equal">
      <formula>FALSE</formula>
    </cfRule>
    <cfRule type="cellIs" dxfId="4" priority="2" operator="equal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20A6-9619-4CF1-A8A5-D242C6F160F7}">
  <dimension ref="A1:R15"/>
  <sheetViews>
    <sheetView topLeftCell="J1" workbookViewId="0">
      <selection activeCell="R1" sqref="A1:R1048576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ht="28.5">
      <c r="A2" s="21" t="str" cm="1">
        <f t="array" ref="A2:R15">_xlfn._xlws.FILTER(Table6[], Table6[FSW]+Table6[Solar Panels Deployment]+Table6[Antenna Deployment])</f>
        <v>N/A</v>
      </c>
      <c r="B2" s="11">
        <v>1</v>
      </c>
      <c r="C2" s="4" t="str">
        <v>Detumble</v>
      </c>
      <c r="D2" s="7" t="str">
        <v>Bring PHAT-Sat to a stable state with camera payload facing Earth</v>
      </c>
      <c r="E2" s="7" t="str">
        <v>Deployment Monitoring, Survival, Initial Startup</v>
      </c>
      <c r="F2" s="7" t="str">
        <v>Deployment Monitoring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0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>
      <c r="A3" s="21" t="str">
        <v>N/A</v>
      </c>
      <c r="B3" s="11">
        <v>2</v>
      </c>
      <c r="C3" s="4" t="str">
        <v>Initial Startup</v>
      </c>
      <c r="D3" s="7" t="str">
        <v>Bring critical systems online</v>
      </c>
      <c r="E3" s="7" t="str">
        <v>Initial Startup</v>
      </c>
      <c r="F3" s="7" t="str">
        <v>Detumble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1</v>
      </c>
      <c r="R3" s="14" t="b">
        <v>1</v>
      </c>
    </row>
    <row r="4" spans="1:18" ht="57">
      <c r="A4" s="21" t="str">
        <v>N/A</v>
      </c>
      <c r="B4" s="11">
        <v>3</v>
      </c>
      <c r="C4" s="4" t="str">
        <v>Sleep</v>
      </c>
      <c r="D4" s="7" t="str">
        <v>Prior to deployment from rocket--safe mode that ensures no systems will turn on prematurely and protects from transportation, loading, or launching effects on PHAT-Sat</v>
      </c>
      <c r="E4" s="7">
        <v>0</v>
      </c>
      <c r="F4" s="7" t="str">
        <v>Initial Startup</v>
      </c>
      <c r="G4" s="10" t="b">
        <v>0</v>
      </c>
      <c r="H4" s="10" t="b">
        <v>0</v>
      </c>
      <c r="I4" s="10" t="b">
        <v>0</v>
      </c>
      <c r="J4" s="10" t="b">
        <v>0</v>
      </c>
      <c r="K4" s="10" t="b">
        <v>0</v>
      </c>
      <c r="L4" s="10" t="b">
        <v>0</v>
      </c>
      <c r="M4" s="10" t="b">
        <v>0</v>
      </c>
      <c r="N4" s="10" t="b">
        <v>1</v>
      </c>
      <c r="O4" s="10" t="b">
        <v>1</v>
      </c>
      <c r="P4" s="10" t="b">
        <v>0</v>
      </c>
      <c r="Q4" s="10" t="b">
        <v>0</v>
      </c>
      <c r="R4" s="14" t="b">
        <v>1</v>
      </c>
    </row>
    <row r="5" spans="1:18">
      <c r="A5" s="21" t="str">
        <v>N/A</v>
      </c>
      <c r="B5" s="11">
        <v>4</v>
      </c>
      <c r="C5" s="4" t="str">
        <v>Deployment Monitoring</v>
      </c>
      <c r="D5" s="7" t="str">
        <v>Finding PHAT-Sat?</v>
      </c>
      <c r="E5" s="7" t="str">
        <v>Detumble</v>
      </c>
      <c r="F5" s="7" t="str">
        <v>Idle</v>
      </c>
      <c r="G5" s="10" t="b">
        <v>0</v>
      </c>
      <c r="H5" s="10" t="b">
        <v>0</v>
      </c>
      <c r="I5" s="10" t="b">
        <v>1</v>
      </c>
      <c r="J5" s="10" t="b">
        <v>1</v>
      </c>
      <c r="K5" s="10" t="b">
        <v>1</v>
      </c>
      <c r="L5" s="10" t="b">
        <v>0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 ht="42.75">
      <c r="A6" s="21" t="str">
        <v>Scheduled</v>
      </c>
      <c r="B6" s="11">
        <v>5</v>
      </c>
      <c r="C6" s="4" t="str">
        <v>Idle</v>
      </c>
      <c r="D6" s="7" t="str">
        <v>Charging state, transmitting satellite heartbeat (UHF), thermal keeping components within desired temperature range, rest of system off</v>
      </c>
      <c r="E6" s="7" t="str">
        <v>Any</v>
      </c>
      <c r="F6" s="7" t="str">
        <v>Most</v>
      </c>
      <c r="G6" s="10" t="b">
        <v>0</v>
      </c>
      <c r="H6" s="10" t="b">
        <v>1</v>
      </c>
      <c r="I6" s="10" t="b">
        <v>1</v>
      </c>
      <c r="J6" s="10" t="b">
        <v>1</v>
      </c>
      <c r="K6" s="10" t="b">
        <v>1</v>
      </c>
      <c r="L6" s="10" t="b">
        <v>1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 ht="28.5">
      <c r="A7" s="21" t="str">
        <v>Reaction</v>
      </c>
      <c r="B7" s="11">
        <v>6</v>
      </c>
      <c r="C7" s="4" t="str">
        <v>Survival</v>
      </c>
      <c r="D7" s="7" t="str">
        <v>Emergency state if something disasterous happens. Thermal, solar panels, TEGs ON. Transmitting beacon</v>
      </c>
      <c r="E7" s="7" t="str">
        <v>Any</v>
      </c>
      <c r="F7" s="7" t="str">
        <v>Idle</v>
      </c>
      <c r="G7" s="10" t="b">
        <v>0</v>
      </c>
      <c r="H7" s="10" t="b">
        <v>0</v>
      </c>
      <c r="I7" s="10" t="b">
        <v>1</v>
      </c>
      <c r="J7" s="10" t="b">
        <v>1</v>
      </c>
      <c r="K7" s="10" t="b">
        <v>1</v>
      </c>
      <c r="L7" s="10" t="b">
        <v>0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Scheduled</v>
      </c>
      <c r="B8" s="11">
        <v>7</v>
      </c>
      <c r="C8" s="4" t="str">
        <v>Imaging</v>
      </c>
      <c r="D8" s="7">
        <v>0</v>
      </c>
      <c r="E8" s="7" t="str">
        <v>Pointing</v>
      </c>
      <c r="F8" s="7" t="str">
        <v>Data Processing</v>
      </c>
      <c r="G8" s="10" t="b">
        <v>1</v>
      </c>
      <c r="H8" s="10" t="b">
        <v>0</v>
      </c>
      <c r="I8" s="10" t="b">
        <v>0</v>
      </c>
      <c r="J8" s="10" t="b">
        <v>1</v>
      </c>
      <c r="K8" s="10" t="b">
        <v>0</v>
      </c>
      <c r="L8" s="10" t="b">
        <v>0</v>
      </c>
      <c r="M8" s="10" t="b">
        <v>0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  <row r="9" spans="1:18">
      <c r="A9" s="21" t="str">
        <v>Scheduled</v>
      </c>
      <c r="B9" s="11">
        <v>8</v>
      </c>
      <c r="C9" s="4" t="str">
        <v>Transmitting</v>
      </c>
      <c r="D9" s="7" t="str">
        <v>Downlinking imager data</v>
      </c>
      <c r="E9" s="7" t="str">
        <v>Idle</v>
      </c>
      <c r="F9" s="7" t="str">
        <v>Idle</v>
      </c>
      <c r="G9" s="10" t="b">
        <v>0</v>
      </c>
      <c r="H9" s="10" t="b">
        <v>0</v>
      </c>
      <c r="I9" s="10" t="b">
        <v>0</v>
      </c>
      <c r="J9" s="10" t="b">
        <v>1</v>
      </c>
      <c r="K9" s="10" t="b">
        <v>1</v>
      </c>
      <c r="L9" s="10" t="b">
        <v>0</v>
      </c>
      <c r="M9" s="10" t="b">
        <v>0</v>
      </c>
      <c r="N9" s="10" t="b">
        <v>1</v>
      </c>
      <c r="O9" s="10" t="b">
        <v>1</v>
      </c>
      <c r="P9" s="10" t="b">
        <v>1</v>
      </c>
      <c r="Q9" s="10" t="b">
        <v>0</v>
      </c>
      <c r="R9" s="14" t="b">
        <v>0</v>
      </c>
    </row>
    <row r="10" spans="1:18" ht="28.5">
      <c r="A10" s="21" t="str">
        <v>Scheduled</v>
      </c>
      <c r="B10" s="11">
        <v>9</v>
      </c>
      <c r="C10" s="4" t="str">
        <v>Calibration - Camera</v>
      </c>
      <c r="D10" s="7" t="str">
        <v>Calibrating the validity of the camera system to ensure accurate measurements</v>
      </c>
      <c r="E10" s="7" t="str">
        <v>Idle</v>
      </c>
      <c r="F10" s="7">
        <v>0</v>
      </c>
      <c r="G10" s="10" t="b">
        <v>1</v>
      </c>
      <c r="H10" s="10" t="b">
        <v>1</v>
      </c>
      <c r="I10" s="10" t="b">
        <v>1</v>
      </c>
      <c r="J10" s="10" t="b">
        <v>1</v>
      </c>
      <c r="K10" s="10" t="b">
        <v>0</v>
      </c>
      <c r="L10" s="10" t="b">
        <v>0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0</v>
      </c>
      <c r="R10" s="14" t="b">
        <v>0</v>
      </c>
    </row>
    <row r="11" spans="1:18">
      <c r="A11" s="21" t="str">
        <v>Scheduled</v>
      </c>
      <c r="B11" s="11">
        <v>10</v>
      </c>
      <c r="C11" s="4" t="str">
        <v>Calibration - ADCS</v>
      </c>
      <c r="D11" s="7" t="str">
        <v>Verify orientation and position</v>
      </c>
      <c r="E11" s="7" t="str">
        <v>Initial Startup, Idle</v>
      </c>
      <c r="F11" s="7" t="str">
        <v>Idle</v>
      </c>
      <c r="G11" s="10" t="b">
        <v>0</v>
      </c>
      <c r="H11" s="10" t="b">
        <v>1</v>
      </c>
      <c r="I11" s="10" t="b">
        <v>1</v>
      </c>
      <c r="J11" s="10" t="b">
        <v>1</v>
      </c>
      <c r="K11" s="10" t="b">
        <v>0</v>
      </c>
      <c r="L11" s="10" t="b">
        <v>0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0</v>
      </c>
      <c r="R11" s="14" t="b">
        <v>0</v>
      </c>
    </row>
    <row r="12" spans="1:18">
      <c r="A12" s="21" t="str">
        <v>Scheduled</v>
      </c>
      <c r="B12" s="11">
        <v>11</v>
      </c>
      <c r="C12" s="4" t="str">
        <v>Data Processing</v>
      </c>
      <c r="D12" s="7">
        <v>0</v>
      </c>
      <c r="E12" s="7" t="str">
        <v>Imaging</v>
      </c>
      <c r="F12" s="7" t="str">
        <v>Idle</v>
      </c>
      <c r="G12" s="10" t="b">
        <v>0</v>
      </c>
      <c r="H12" s="10" t="b">
        <v>0</v>
      </c>
      <c r="I12" s="10" t="b">
        <v>0</v>
      </c>
      <c r="J12" s="10" t="b">
        <v>1</v>
      </c>
      <c r="K12" s="10" t="b">
        <v>0</v>
      </c>
      <c r="L12" s="10" t="b">
        <v>1</v>
      </c>
      <c r="M12" s="10" t="b">
        <v>0</v>
      </c>
      <c r="N12" s="10" t="b">
        <v>1</v>
      </c>
      <c r="O12" s="10" t="b">
        <v>1</v>
      </c>
      <c r="P12" s="10" t="b">
        <v>1</v>
      </c>
      <c r="Q12" s="10" t="b">
        <v>0</v>
      </c>
      <c r="R12" s="14" t="b">
        <v>0</v>
      </c>
    </row>
    <row r="13" spans="1:18" ht="28.5">
      <c r="A13" s="21" t="str">
        <v>Scheduled</v>
      </c>
      <c r="B13" s="11">
        <v>12</v>
      </c>
      <c r="C13" s="4" t="str">
        <v>Desaturation - ADCS</v>
      </c>
      <c r="D13" s="7" t="str">
        <v>Use magnetorquer to reset/slow down reaction wheels</v>
      </c>
      <c r="E13" s="7" t="str">
        <v>Idle</v>
      </c>
      <c r="F13" s="7" t="str">
        <v>Idle</v>
      </c>
      <c r="G13" s="10" t="b">
        <v>0</v>
      </c>
      <c r="H13" s="10" t="b">
        <v>1</v>
      </c>
      <c r="I13" s="10" t="b">
        <v>1</v>
      </c>
      <c r="J13" s="10" t="b">
        <v>1</v>
      </c>
      <c r="K13" s="10" t="b">
        <v>0</v>
      </c>
      <c r="L13" s="10" t="b">
        <v>0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0</v>
      </c>
      <c r="R13" s="14" t="b">
        <v>0</v>
      </c>
    </row>
    <row r="14" spans="1:18">
      <c r="A14" s="21" t="str">
        <v>Scheduled</v>
      </c>
      <c r="B14" s="11">
        <v>13</v>
      </c>
      <c r="C14" s="4" t="str">
        <v>Pointing</v>
      </c>
      <c r="D14" s="7" t="str">
        <v>Point camera or solar panels to desired field of view</v>
      </c>
      <c r="E14" s="7" t="str">
        <v>Idle</v>
      </c>
      <c r="F14" s="7" t="str">
        <v>Imaging</v>
      </c>
      <c r="G14" s="10" t="b">
        <v>0</v>
      </c>
      <c r="H14" s="10" t="b">
        <v>1</v>
      </c>
      <c r="I14" s="10" t="b">
        <v>1</v>
      </c>
      <c r="J14" s="10" t="b">
        <v>1</v>
      </c>
      <c r="K14" s="10" t="b">
        <v>0</v>
      </c>
      <c r="L14" s="10" t="b">
        <v>0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0</v>
      </c>
      <c r="R14" s="14" t="b">
        <v>0</v>
      </c>
    </row>
    <row r="15" spans="1:18">
      <c r="A15" s="21" t="str">
        <v>Commanded</v>
      </c>
      <c r="B15" s="11">
        <v>14</v>
      </c>
      <c r="C15" s="4" t="str">
        <v>Receiving</v>
      </c>
      <c r="D15" s="7" t="str">
        <v>Receive commands from gr</v>
      </c>
      <c r="E15" s="7" t="str">
        <v>Idle</v>
      </c>
      <c r="F15" s="7" t="str">
        <v>Idle</v>
      </c>
      <c r="G15" s="10" t="b">
        <v>0</v>
      </c>
      <c r="H15" s="10" t="b">
        <v>1</v>
      </c>
      <c r="I15" s="10" t="b">
        <v>1</v>
      </c>
      <c r="J15" s="10" t="b">
        <v>1</v>
      </c>
      <c r="K15" s="10" t="b">
        <v>1</v>
      </c>
      <c r="L15" s="10" t="b">
        <v>0</v>
      </c>
      <c r="M15" s="10" t="b">
        <v>1</v>
      </c>
      <c r="N15" s="10" t="b">
        <v>1</v>
      </c>
      <c r="O15" s="10" t="b">
        <v>1</v>
      </c>
      <c r="P15" s="10" t="b">
        <v>1</v>
      </c>
      <c r="Q15" s="10" t="b">
        <v>0</v>
      </c>
      <c r="R15" s="14" t="b">
        <v>0</v>
      </c>
    </row>
  </sheetData>
  <conditionalFormatting sqref="G2:R15">
    <cfRule type="cellIs" dxfId="3" priority="1" operator="equal">
      <formula>FALSE</formula>
    </cfRule>
    <cfRule type="cellIs" dxfId="2" priority="2" operator="equal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DE02-40A1-4FFF-A21E-B56ACAEDD08A}">
  <dimension ref="A1:R14"/>
  <sheetViews>
    <sheetView topLeftCell="F1" workbookViewId="0">
      <selection activeCell="D8" sqref="D8"/>
    </sheetView>
  </sheetViews>
  <sheetFormatPr defaultRowHeight="14.25"/>
  <cols>
    <col min="1" max="1" width="14.140625" customWidth="1"/>
    <col min="2" max="2" width="18.5703125" customWidth="1"/>
    <col min="3" max="3" width="29.28515625" bestFit="1" customWidth="1"/>
    <col min="4" max="4" width="43" bestFit="1" customWidth="1"/>
    <col min="5" max="5" width="41.85546875" bestFit="1" customWidth="1"/>
    <col min="6" max="6" width="18.5703125" customWidth="1"/>
    <col min="7" max="18" width="12.7109375" customWidth="1"/>
  </cols>
  <sheetData>
    <row r="1" spans="1:18" ht="47.25">
      <c r="A1" s="17" t="s">
        <v>97</v>
      </c>
      <c r="B1" s="15" t="s">
        <v>98</v>
      </c>
      <c r="C1" s="16" t="s">
        <v>25</v>
      </c>
      <c r="D1" s="16" t="s">
        <v>99</v>
      </c>
      <c r="E1" s="16" t="s">
        <v>100</v>
      </c>
      <c r="F1" s="17" t="s">
        <v>101</v>
      </c>
      <c r="G1" s="17" t="s">
        <v>102</v>
      </c>
      <c r="H1" s="17" t="s">
        <v>103</v>
      </c>
      <c r="I1" s="17" t="s">
        <v>104</v>
      </c>
      <c r="J1" s="17" t="s">
        <v>105</v>
      </c>
      <c r="K1" s="17" t="s">
        <v>106</v>
      </c>
      <c r="L1" s="17" t="s">
        <v>107</v>
      </c>
      <c r="M1" s="17" t="s">
        <v>108</v>
      </c>
      <c r="N1" s="17" t="s">
        <v>109</v>
      </c>
      <c r="O1" s="17" t="s">
        <v>110</v>
      </c>
      <c r="P1" s="17" t="s">
        <v>148</v>
      </c>
      <c r="Q1" s="17" t="s">
        <v>112</v>
      </c>
      <c r="R1" s="18" t="s">
        <v>113</v>
      </c>
    </row>
    <row r="2" spans="1:18" ht="28.5">
      <c r="A2" s="21" t="str" cm="1">
        <f t="array" ref="A2:R14">_xlfn._xlws.FILTER(Table6[], Table6[Thermal])</f>
        <v>N/A</v>
      </c>
      <c r="B2" s="11">
        <v>1</v>
      </c>
      <c r="C2" s="4" t="str">
        <v>Detumble</v>
      </c>
      <c r="D2" s="7" t="str">
        <v>Bring PHAT-Sat to a stable state with camera payload facing Earth</v>
      </c>
      <c r="E2" s="7" t="str">
        <v>Deployment Monitoring, Survival, Initial Startup</v>
      </c>
      <c r="F2" s="7" t="str">
        <v>Deployment Monitoring</v>
      </c>
      <c r="G2" s="10" t="b">
        <v>0</v>
      </c>
      <c r="H2" s="10" t="b">
        <v>0</v>
      </c>
      <c r="I2" s="10" t="b">
        <v>1</v>
      </c>
      <c r="J2" s="10" t="b">
        <v>1</v>
      </c>
      <c r="K2" s="10" t="b">
        <v>0</v>
      </c>
      <c r="L2" s="10" t="b">
        <v>0</v>
      </c>
      <c r="M2" s="10" t="b">
        <v>1</v>
      </c>
      <c r="N2" s="10" t="b">
        <v>1</v>
      </c>
      <c r="O2" s="10" t="b">
        <v>1</v>
      </c>
      <c r="P2" s="10" t="b">
        <v>1</v>
      </c>
      <c r="Q2" s="10" t="b">
        <v>0</v>
      </c>
      <c r="R2" s="14" t="b">
        <v>0</v>
      </c>
    </row>
    <row r="3" spans="1:18">
      <c r="A3" s="21" t="str">
        <v>N/A</v>
      </c>
      <c r="B3" s="11">
        <v>2</v>
      </c>
      <c r="C3" s="4" t="str">
        <v>Initial Startup</v>
      </c>
      <c r="D3" s="7" t="str">
        <v>Bring critical systems online</v>
      </c>
      <c r="E3" s="7" t="str">
        <v>Initial Startup</v>
      </c>
      <c r="F3" s="7" t="str">
        <v>Detumble</v>
      </c>
      <c r="G3" s="10" t="b">
        <v>0</v>
      </c>
      <c r="H3" s="10" t="b">
        <v>0</v>
      </c>
      <c r="I3" s="10" t="b">
        <v>1</v>
      </c>
      <c r="J3" s="10" t="b">
        <v>1</v>
      </c>
      <c r="K3" s="10" t="b">
        <v>1</v>
      </c>
      <c r="L3" s="10" t="b">
        <v>0</v>
      </c>
      <c r="M3" s="10" t="b">
        <v>1</v>
      </c>
      <c r="N3" s="10" t="b">
        <v>1</v>
      </c>
      <c r="O3" s="10" t="b">
        <v>1</v>
      </c>
      <c r="P3" s="10" t="b">
        <v>1</v>
      </c>
      <c r="Q3" s="10" t="b">
        <v>1</v>
      </c>
      <c r="R3" s="14" t="b">
        <v>1</v>
      </c>
    </row>
    <row r="4" spans="1:18">
      <c r="A4" s="21" t="str">
        <v>N/A</v>
      </c>
      <c r="B4" s="11">
        <v>4</v>
      </c>
      <c r="C4" s="4" t="str">
        <v>Deployment Monitoring</v>
      </c>
      <c r="D4" s="7" t="str">
        <v>Finding PHAT-Sat?</v>
      </c>
      <c r="E4" s="7" t="str">
        <v>Detumble</v>
      </c>
      <c r="F4" s="7" t="str">
        <v>Idle</v>
      </c>
      <c r="G4" s="10" t="b">
        <v>0</v>
      </c>
      <c r="H4" s="10" t="b">
        <v>0</v>
      </c>
      <c r="I4" s="10" t="b">
        <v>1</v>
      </c>
      <c r="J4" s="10" t="b">
        <v>1</v>
      </c>
      <c r="K4" s="10" t="b">
        <v>1</v>
      </c>
      <c r="L4" s="10" t="b">
        <v>0</v>
      </c>
      <c r="M4" s="10" t="b">
        <v>1</v>
      </c>
      <c r="N4" s="10" t="b">
        <v>1</v>
      </c>
      <c r="O4" s="10" t="b">
        <v>1</v>
      </c>
      <c r="P4" s="10" t="b">
        <v>1</v>
      </c>
      <c r="Q4" s="10" t="b">
        <v>0</v>
      </c>
      <c r="R4" s="14" t="b">
        <v>0</v>
      </c>
    </row>
    <row r="5" spans="1:18" ht="42.75">
      <c r="A5" s="21" t="str">
        <v>Scheduled</v>
      </c>
      <c r="B5" s="11">
        <v>5</v>
      </c>
      <c r="C5" s="4" t="str">
        <v>Idle</v>
      </c>
      <c r="D5" s="7" t="str">
        <v>Charging state, transmitting satellite heartbeat (UHF), thermal keeping components within desired temperature range, rest of system off</v>
      </c>
      <c r="E5" s="7" t="str">
        <v>Any</v>
      </c>
      <c r="F5" s="7" t="str">
        <v>Most</v>
      </c>
      <c r="G5" s="10" t="b">
        <v>0</v>
      </c>
      <c r="H5" s="10" t="b">
        <v>1</v>
      </c>
      <c r="I5" s="10" t="b">
        <v>1</v>
      </c>
      <c r="J5" s="10" t="b">
        <v>1</v>
      </c>
      <c r="K5" s="10" t="b">
        <v>1</v>
      </c>
      <c r="L5" s="10" t="b">
        <v>1</v>
      </c>
      <c r="M5" s="10" t="b">
        <v>1</v>
      </c>
      <c r="N5" s="10" t="b">
        <v>1</v>
      </c>
      <c r="O5" s="10" t="b">
        <v>1</v>
      </c>
      <c r="P5" s="10" t="b">
        <v>1</v>
      </c>
      <c r="Q5" s="10" t="b">
        <v>0</v>
      </c>
      <c r="R5" s="14" t="b">
        <v>0</v>
      </c>
    </row>
    <row r="6" spans="1:18" ht="28.5">
      <c r="A6" s="21" t="str">
        <v>Reaction</v>
      </c>
      <c r="B6" s="11">
        <v>6</v>
      </c>
      <c r="C6" s="4" t="str">
        <v>Survival</v>
      </c>
      <c r="D6" s="7" t="str">
        <v>Emergency state if something disasterous happens. Thermal, solar panels, TEGs ON. Transmitting beacon</v>
      </c>
      <c r="E6" s="7" t="str">
        <v>Any</v>
      </c>
      <c r="F6" s="7" t="str">
        <v>Idle</v>
      </c>
      <c r="G6" s="10" t="b">
        <v>0</v>
      </c>
      <c r="H6" s="10" t="b">
        <v>0</v>
      </c>
      <c r="I6" s="10" t="b">
        <v>1</v>
      </c>
      <c r="J6" s="10" t="b">
        <v>1</v>
      </c>
      <c r="K6" s="10" t="b">
        <v>1</v>
      </c>
      <c r="L6" s="10" t="b">
        <v>0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0</v>
      </c>
      <c r="R6" s="14" t="b">
        <v>0</v>
      </c>
    </row>
    <row r="7" spans="1:18">
      <c r="A7" s="21" t="str">
        <v>Scheduled</v>
      </c>
      <c r="B7" s="11">
        <v>7</v>
      </c>
      <c r="C7" s="4" t="str">
        <v>Imaging</v>
      </c>
      <c r="D7" s="7">
        <v>0</v>
      </c>
      <c r="E7" s="7" t="str">
        <v>Pointing</v>
      </c>
      <c r="F7" s="7" t="str">
        <v>Data Processing</v>
      </c>
      <c r="G7" s="10" t="b">
        <v>1</v>
      </c>
      <c r="H7" s="10" t="b">
        <v>0</v>
      </c>
      <c r="I7" s="10" t="b">
        <v>0</v>
      </c>
      <c r="J7" s="10" t="b">
        <v>1</v>
      </c>
      <c r="K7" s="10" t="b">
        <v>0</v>
      </c>
      <c r="L7" s="10" t="b">
        <v>0</v>
      </c>
      <c r="M7" s="10" t="b">
        <v>0</v>
      </c>
      <c r="N7" s="10" t="b">
        <v>1</v>
      </c>
      <c r="O7" s="10" t="b">
        <v>1</v>
      </c>
      <c r="P7" s="10" t="b">
        <v>1</v>
      </c>
      <c r="Q7" s="10" t="b">
        <v>0</v>
      </c>
      <c r="R7" s="14" t="b">
        <v>0</v>
      </c>
    </row>
    <row r="8" spans="1:18">
      <c r="A8" s="21" t="str">
        <v>Scheduled</v>
      </c>
      <c r="B8" s="11">
        <v>8</v>
      </c>
      <c r="C8" s="4" t="str">
        <v>Transmitting</v>
      </c>
      <c r="D8" s="7" t="str">
        <v>Downlinking imager data</v>
      </c>
      <c r="E8" s="7" t="str">
        <v>Idle</v>
      </c>
      <c r="F8" s="7" t="str">
        <v>Idle</v>
      </c>
      <c r="G8" s="10" t="b">
        <v>0</v>
      </c>
      <c r="H8" s="10" t="b">
        <v>0</v>
      </c>
      <c r="I8" s="10" t="b">
        <v>0</v>
      </c>
      <c r="J8" s="10" t="b">
        <v>1</v>
      </c>
      <c r="K8" s="10" t="b">
        <v>1</v>
      </c>
      <c r="L8" s="10" t="b">
        <v>0</v>
      </c>
      <c r="M8" s="10" t="b">
        <v>0</v>
      </c>
      <c r="N8" s="10" t="b">
        <v>1</v>
      </c>
      <c r="O8" s="10" t="b">
        <v>1</v>
      </c>
      <c r="P8" s="10" t="b">
        <v>1</v>
      </c>
      <c r="Q8" s="10" t="b">
        <v>0</v>
      </c>
      <c r="R8" s="14" t="b">
        <v>0</v>
      </c>
    </row>
    <row r="9" spans="1:18" ht="28.5">
      <c r="A9" s="21" t="str">
        <v>Scheduled</v>
      </c>
      <c r="B9" s="11">
        <v>9</v>
      </c>
      <c r="C9" s="4" t="str">
        <v>Calibration - Camera</v>
      </c>
      <c r="D9" s="7" t="str">
        <v>Calibrating the validity of the camera system to ensure accurate measurements</v>
      </c>
      <c r="E9" s="7" t="str">
        <v>Idle</v>
      </c>
      <c r="F9" s="7">
        <v>0</v>
      </c>
      <c r="G9" s="10" t="b">
        <v>1</v>
      </c>
      <c r="H9" s="10" t="b">
        <v>1</v>
      </c>
      <c r="I9" s="10" t="b">
        <v>1</v>
      </c>
      <c r="J9" s="10" t="b">
        <v>1</v>
      </c>
      <c r="K9" s="10" t="b">
        <v>0</v>
      </c>
      <c r="L9" s="10" t="b">
        <v>0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0</v>
      </c>
      <c r="R9" s="14" t="b">
        <v>0</v>
      </c>
    </row>
    <row r="10" spans="1:18">
      <c r="A10" s="21" t="str">
        <v>Scheduled</v>
      </c>
      <c r="B10" s="11">
        <v>10</v>
      </c>
      <c r="C10" s="4" t="str">
        <v>Calibration - ADCS</v>
      </c>
      <c r="D10" s="7" t="str">
        <v>Verify orientation and position</v>
      </c>
      <c r="E10" s="7" t="str">
        <v>Initial Startup, Idle</v>
      </c>
      <c r="F10" s="7" t="str">
        <v>Idle</v>
      </c>
      <c r="G10" s="10" t="b">
        <v>0</v>
      </c>
      <c r="H10" s="10" t="b">
        <v>1</v>
      </c>
      <c r="I10" s="10" t="b">
        <v>1</v>
      </c>
      <c r="J10" s="10" t="b">
        <v>1</v>
      </c>
      <c r="K10" s="10" t="b">
        <v>0</v>
      </c>
      <c r="L10" s="10" t="b">
        <v>0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0</v>
      </c>
      <c r="R10" s="14" t="b">
        <v>0</v>
      </c>
    </row>
    <row r="11" spans="1:18">
      <c r="A11" s="21" t="str">
        <v>Scheduled</v>
      </c>
      <c r="B11" s="11">
        <v>11</v>
      </c>
      <c r="C11" s="4" t="str">
        <v>Data Processing</v>
      </c>
      <c r="D11" s="7">
        <v>0</v>
      </c>
      <c r="E11" s="7" t="str">
        <v>Imaging</v>
      </c>
      <c r="F11" s="7" t="str">
        <v>Idle</v>
      </c>
      <c r="G11" s="10" t="b">
        <v>0</v>
      </c>
      <c r="H11" s="10" t="b">
        <v>0</v>
      </c>
      <c r="I11" s="10" t="b">
        <v>0</v>
      </c>
      <c r="J11" s="10" t="b">
        <v>1</v>
      </c>
      <c r="K11" s="10" t="b">
        <v>0</v>
      </c>
      <c r="L11" s="10" t="b">
        <v>1</v>
      </c>
      <c r="M11" s="10" t="b">
        <v>0</v>
      </c>
      <c r="N11" s="10" t="b">
        <v>1</v>
      </c>
      <c r="O11" s="10" t="b">
        <v>1</v>
      </c>
      <c r="P11" s="10" t="b">
        <v>1</v>
      </c>
      <c r="Q11" s="10" t="b">
        <v>0</v>
      </c>
      <c r="R11" s="14" t="b">
        <v>0</v>
      </c>
    </row>
    <row r="12" spans="1:18" ht="28.5">
      <c r="A12" s="21" t="str">
        <v>Scheduled</v>
      </c>
      <c r="B12" s="11">
        <v>12</v>
      </c>
      <c r="C12" s="4" t="str">
        <v>Desaturation - ADCS</v>
      </c>
      <c r="D12" s="7" t="str">
        <v>Use magnetorquer to reset/slow down reaction wheels</v>
      </c>
      <c r="E12" s="7" t="str">
        <v>Idle</v>
      </c>
      <c r="F12" s="7" t="str">
        <v>Idle</v>
      </c>
      <c r="G12" s="10" t="b">
        <v>0</v>
      </c>
      <c r="H12" s="10" t="b">
        <v>1</v>
      </c>
      <c r="I12" s="10" t="b">
        <v>1</v>
      </c>
      <c r="J12" s="10" t="b">
        <v>1</v>
      </c>
      <c r="K12" s="10" t="b">
        <v>0</v>
      </c>
      <c r="L12" s="10" t="b">
        <v>0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0</v>
      </c>
      <c r="R12" s="14" t="b">
        <v>0</v>
      </c>
    </row>
    <row r="13" spans="1:18">
      <c r="A13" s="21" t="str">
        <v>Scheduled</v>
      </c>
      <c r="B13" s="11">
        <v>13</v>
      </c>
      <c r="C13" s="4" t="str">
        <v>Pointing</v>
      </c>
      <c r="D13" s="7" t="str">
        <v>Point camera or solar panels to desired field of view</v>
      </c>
      <c r="E13" s="7" t="str">
        <v>Idle</v>
      </c>
      <c r="F13" s="7" t="str">
        <v>Imaging</v>
      </c>
      <c r="G13" s="10" t="b">
        <v>0</v>
      </c>
      <c r="H13" s="10" t="b">
        <v>1</v>
      </c>
      <c r="I13" s="10" t="b">
        <v>1</v>
      </c>
      <c r="J13" s="10" t="b">
        <v>1</v>
      </c>
      <c r="K13" s="10" t="b">
        <v>0</v>
      </c>
      <c r="L13" s="10" t="b">
        <v>0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0</v>
      </c>
      <c r="R13" s="14" t="b">
        <v>0</v>
      </c>
    </row>
    <row r="14" spans="1:18">
      <c r="A14" s="21" t="str">
        <v>Commanded</v>
      </c>
      <c r="B14" s="11">
        <v>14</v>
      </c>
      <c r="C14" s="4" t="str">
        <v>Receiving</v>
      </c>
      <c r="D14" s="7" t="str">
        <v>Receive commands from gr</v>
      </c>
      <c r="E14" s="7" t="str">
        <v>Idle</v>
      </c>
      <c r="F14" s="7" t="str">
        <v>Idle</v>
      </c>
      <c r="G14" s="10" t="b">
        <v>0</v>
      </c>
      <c r="H14" s="10" t="b">
        <v>1</v>
      </c>
      <c r="I14" s="10" t="b">
        <v>1</v>
      </c>
      <c r="J14" s="10" t="b">
        <v>1</v>
      </c>
      <c r="K14" s="10" t="b">
        <v>1</v>
      </c>
      <c r="L14" s="10" t="b">
        <v>0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0</v>
      </c>
      <c r="R14" s="14" t="b">
        <v>0</v>
      </c>
    </row>
  </sheetData>
  <conditionalFormatting sqref="G2:R14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ddea37-9a81-40be-be52-43bc8c450325" xsi:nil="true"/>
    <lcf76f155ced4ddcb4097134ff3c332f xmlns="712454dd-5204-4a53-9b93-2190bcc5a4da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367FFA6CE6AF44BB5A0A799E41418A" ma:contentTypeVersion="11" ma:contentTypeDescription="Create a new document." ma:contentTypeScope="" ma:versionID="f59536566074521001550b52c87f00ed">
  <xsd:schema xmlns:xsd="http://www.w3.org/2001/XMLSchema" xmlns:xs="http://www.w3.org/2001/XMLSchema" xmlns:p="http://schemas.microsoft.com/office/2006/metadata/properties" xmlns:ns2="712454dd-5204-4a53-9b93-2190bcc5a4da" xmlns:ns3="9fddea37-9a81-40be-be52-43bc8c450325" targetNamespace="http://schemas.microsoft.com/office/2006/metadata/properties" ma:root="true" ma:fieldsID="ec2e0682c75946a6a7dfa053251170bc" ns2:_="" ns3:_="">
    <xsd:import namespace="712454dd-5204-4a53-9b93-2190bcc5a4da"/>
    <xsd:import namespace="9fddea37-9a81-40be-be52-43bc8c450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54dd-5204-4a53-9b93-2190bcc5a4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8ed7cba-b263-44e1-aaea-116db9091a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dea37-9a81-40be-be52-43bc8c4503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3b27e4-fcd5-41c3-bf5d-5ad76d556dcf}" ma:internalName="TaxCatchAll" ma:showField="CatchAllData" ma:web="9fddea37-9a81-40be-be52-43bc8c450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F88DB-CC13-470F-9D92-CD3324974CCD}"/>
</file>

<file path=customXml/itemProps2.xml><?xml version="1.0" encoding="utf-8"?>
<ds:datastoreItem xmlns:ds="http://schemas.openxmlformats.org/officeDocument/2006/customXml" ds:itemID="{F993EF0B-D2FF-49B6-8E77-B6453986B17E}"/>
</file>

<file path=customXml/itemProps3.xml><?xml version="1.0" encoding="utf-8"?>
<ds:datastoreItem xmlns:ds="http://schemas.openxmlformats.org/officeDocument/2006/customXml" ds:itemID="{1CDA1FB8-FF01-4A12-A2B1-DB1503163B75}"/>
</file>

<file path=customXml/itemProps4.xml><?xml version="1.0" encoding="utf-8"?>
<ds:datastoreItem xmlns:ds="http://schemas.openxmlformats.org/officeDocument/2006/customXml" ds:itemID="{4ADB614B-3A00-46D2-A508-96E08108A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2025-04-16T12:59:59Z</dcterms:created>
  <dcterms:modified xsi:type="dcterms:W3CDTF">2026-01-25T06:31:54Z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0x0101004F367FFA6CE6AF44BB5A0A799E41418A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